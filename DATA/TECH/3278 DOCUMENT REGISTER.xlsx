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Offshore Technical\ConstructionEngineering\ConstructionEnggProjects\PROJECTS\3278\REGISTER\"/>
    </mc:Choice>
  </mc:AlternateContent>
  <bookViews>
    <workbookView xWindow="5430" yWindow="15720" windowWidth="9390" windowHeight="1170" tabRatio="772" activeTab="1"/>
  </bookViews>
  <sheets>
    <sheet name="Documents " sheetId="21" r:id="rId1"/>
    <sheet name="Drawings" sheetId="20" r:id="rId2"/>
    <sheet name="Available Numbers" sheetId="22" state="hidden" r:id="rId3"/>
    <sheet name="Deleted Documents" sheetId="23" state="hidden" r:id="rId4"/>
    <sheet name="Sheet1" sheetId="24" state="hidden" r:id="rId5"/>
    <sheet name="Sheet2" sheetId="25" state="hidden" r:id="rId6"/>
    <sheet name="Sheet3" sheetId="26" state="hidden" r:id="rId7"/>
  </sheets>
  <definedNames>
    <definedName name="_xlnm._FilterDatabase" localSheetId="1" hidden="1">Drawings!$A$8:$W$8</definedName>
    <definedName name="_xlnm.Print_Area" localSheetId="1">Drawings!#REF!</definedName>
    <definedName name="Print_Area_MI">#REF!</definedName>
    <definedName name="_xlnm.Print_Titles" localSheetId="0">'Documents '!$1:$8</definedName>
    <definedName name="_xlnm.Print_Titles" localSheetId="1">Drawings!$1:$8</definedName>
  </definedNames>
  <calcPr calcId="162913"/>
</workbook>
</file>

<file path=xl/calcChain.xml><?xml version="1.0" encoding="utf-8"?>
<calcChain xmlns="http://schemas.openxmlformats.org/spreadsheetml/2006/main">
  <c r="A3" i="23" l="1"/>
  <c r="A4" i="23" s="1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</calcChain>
</file>

<file path=xl/sharedStrings.xml><?xml version="1.0" encoding="utf-8"?>
<sst xmlns="http://schemas.openxmlformats.org/spreadsheetml/2006/main" count="848" uniqueCount="657">
  <si>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</si>
  <si>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</si>
  <si>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</si>
  <si>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</si>
  <si>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</si>
  <si>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</si>
  <si>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</si>
  <si>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</si>
  <si>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</si>
  <si>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</si>
  <si>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</si>
  <si>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 xml:space="preserve">SUBMISSION PLAN </t>
  </si>
  <si>
    <t>NPCC</t>
  </si>
  <si>
    <t>ADMA-OPCO</t>
  </si>
  <si>
    <t>TPA (BV)</t>
  </si>
  <si>
    <t>REV.</t>
  </si>
  <si>
    <t>ADMA DOC. No. :</t>
  </si>
  <si>
    <t>NPCC
DOCUMENT NUMBER</t>
  </si>
  <si>
    <t>ADMA-OPCO
DOCUMENT NUMBER</t>
  </si>
  <si>
    <t>OFFSHORE CONSTRUCTION ENGINEERING DRAWINGS</t>
  </si>
  <si>
    <t>RISER/SPOOL LIFTING AND INSTALLATION FOR PIPELINE PL-1 AT ZK293</t>
  </si>
  <si>
    <t>RISER/SPOOL LIFTING AND INSTALLATION FOR PIPELINE PL-1 AT ZK277</t>
  </si>
  <si>
    <t>RISER/SPOOL LIFTING AND INSTALLATION FOR PIPELINE PL-2 AT ZK189</t>
  </si>
  <si>
    <t>RISER/SPOOL LIFTING AND INSTALLATION FOR PIPELINE PL-2 AT ZK293</t>
  </si>
  <si>
    <t>RISER/SPOOL LIFTING AND INSTALLATION FOR PIPELINE PL-3 AT ZK293</t>
  </si>
  <si>
    <t>RISER/SPOOL LIFTING AND INSTALLATION FOR PIPELINE PL-3 AT ZK153</t>
  </si>
  <si>
    <t>RISER/SPOOL LIFTING AND INSTALLATION FOR PIPELINE PL-4 AT ZK288</t>
  </si>
  <si>
    <t>RISER/SPOOL LIFTING AND INSTALLATION FOR PIPELINE PL-4 AT ZK110</t>
  </si>
  <si>
    <t>RISER/SPOOL LIFTING AND INSTALLATION FOR PIPELINE PL-5 AT ZK110</t>
  </si>
  <si>
    <t>RISER/SPOOL LIFTING AND INSTALLATION FOR PIPELINE PL-5 AT ZK88</t>
  </si>
  <si>
    <t>RISER/SPOOL LIFTING AND INSTALLATION FOR PIPELINE PL-6 AT ZK329</t>
  </si>
  <si>
    <t>RISER/SPOOL LIFTING AND INSTALLATION FOR PIPELINE PL-7 AT ZK38</t>
  </si>
  <si>
    <t>RISER/SPOOL LIFTING AND INSTALLATION FOR PIPELINE-8 AT ZK129</t>
  </si>
  <si>
    <t>RISER/SPOOL LIFTING AND INSTALLATION FOR PIPELINE-8 AT ZK39</t>
  </si>
  <si>
    <t>RISER/SPOOL LIFTING AND INSTALLATION FOR PIPELINE PL-9 AT ZK39</t>
  </si>
  <si>
    <t>RISER/SPOOL LIFTING AND INSTALLATION FOR PIPELINE PL-9 AT ZK22</t>
  </si>
  <si>
    <t>RISER/SPOOL LIFTING AND INSTALLATION FOR PIPELINE PL-10 AT ZK20</t>
  </si>
  <si>
    <t>RISER/SPOOL LIFTING AND INSTALLATION FOR PIPELINE PL-11 AT ZK13</t>
  </si>
  <si>
    <t>RISER/SPOOL LIFTING AND INSTALLATION FOR PIPELINE PL-11 AT ZK14</t>
  </si>
  <si>
    <t>RISER/SPOOL LIFTING AND INSTALLATION FOR PIPELINE PL-12 AT ZK304</t>
  </si>
  <si>
    <t>RISER/SPOOL LIFTING AND INSTALLATION FOR PIPELINE PL-12 AT ZK13</t>
  </si>
  <si>
    <t>RISER/SPOOL LIFTING AND INSTALLATION FOR PIPELINE PL-13 AT ZK304</t>
  </si>
  <si>
    <t>RISER/SPOOL LIFTING AND INSTALLATION FOR PIPELINE PL-14 AT ZK237</t>
  </si>
  <si>
    <t>RISER/SPOOL LIFTING AND INSTALLATION FOR PIPELINE PL-14 AT ZK235</t>
  </si>
  <si>
    <t>RISER/SPOOL LIFTING AND INSTALLATION FOR PIPELINE PL-15 AT ZK237</t>
  </si>
  <si>
    <t>RISER/SPOOL LIFTING AND INSTALLATION FOR PIPELINE PL-19 AT ZK22</t>
  </si>
  <si>
    <t>RISER/SPOOL LIFTING AND INSTALLATION FOR PIPELINE PL-20 AT ZK153</t>
  </si>
  <si>
    <t>RISER/SPOOL LIFTING AND INSTALLATION FOR PIPELINE PL-21 AT ZK88</t>
  </si>
  <si>
    <t>RISER/SPOOL LIFTING AND INSTALLATION FOR PIPELINE PL-22 AT ZK290</t>
  </si>
  <si>
    <t>RISER/SPOOL LIFTING AND INSTALLATION FOR PIPELINE PL-22 AT ZK167</t>
  </si>
  <si>
    <t>RISER/SPOOL LIFTING AND INSTALLATION FOR PIPELINE PL-23 AT ZK47</t>
  </si>
  <si>
    <t>RISER/SPOOL LIFTING AND INSTALLATION FOR PIPELINE PL-23 AT ZK290</t>
  </si>
  <si>
    <t>RISER/SPOOL LIFTING AND INSTALLATION FOR PIPELINE PL-31 AT ZK42</t>
  </si>
  <si>
    <t>RISER/SPOOL LIFTING AND INSTALLATION FOR PIPELINE PL-31 AT ZK38</t>
  </si>
  <si>
    <t>RISER/SPOOL LIFTING AND INSTALLATION FOR PIPELINE PL-35 AT ZK280</t>
  </si>
  <si>
    <t>RISER/SPOOL LIFTING AND INSTALLATION FOR PIPELINE PL-35 AT ZK29</t>
  </si>
  <si>
    <t>RISER/SPOOL LIFTING AND INSTALLATION FOR PIPELINE PL-41 AT ZK158/76</t>
  </si>
  <si>
    <t>RISER/SPOOL LIFTING AND INSTALLATION FOR PIPELINE PL-41 AT ZK24</t>
  </si>
  <si>
    <t>RISER/SPOOL LIFTING AND INSTALLATION FOR PIPELINE PL-42 AT ZK158/76</t>
  </si>
  <si>
    <t>RISER/SPOOL LIFTING AND INSTALLATION FOR PIPELINE PL-43 AT ZK153</t>
  </si>
  <si>
    <t>RISER/SPOOL LIFTING AND INSTALLATION FOR PIPELINE PL-43 AT ZK162</t>
  </si>
  <si>
    <t>RISER/SPOOL LIFTING AND INSTALLATION FOR PIPELINE PL-44 AT ZK50</t>
  </si>
  <si>
    <t>RISER/SPOOL LIFTING AND INSTALLATION FOR PIPELINE PL-44 AT ZK44</t>
  </si>
  <si>
    <t>PL-1</t>
  </si>
  <si>
    <t>PL-2</t>
  </si>
  <si>
    <t>PL-3</t>
  </si>
  <si>
    <t>PL-4</t>
  </si>
  <si>
    <t>PL-5</t>
  </si>
  <si>
    <t>PL-6</t>
  </si>
  <si>
    <t>PL-7</t>
  </si>
  <si>
    <t>PL-8</t>
  </si>
  <si>
    <t>PL-9</t>
  </si>
  <si>
    <t>PL-10</t>
  </si>
  <si>
    <t>PL-11</t>
  </si>
  <si>
    <t>PL-12</t>
  </si>
  <si>
    <t>PL-13</t>
  </si>
  <si>
    <t>PL-14</t>
  </si>
  <si>
    <t>PL-15</t>
  </si>
  <si>
    <t>PL-19</t>
  </si>
  <si>
    <t>PL-20</t>
  </si>
  <si>
    <t>PL-21</t>
  </si>
  <si>
    <t>PL-22</t>
  </si>
  <si>
    <t>PL-23</t>
  </si>
  <si>
    <t>PL-31</t>
  </si>
  <si>
    <t>PL-35</t>
  </si>
  <si>
    <t>PL-41</t>
  </si>
  <si>
    <t>PL-42</t>
  </si>
  <si>
    <t>PL-43</t>
  </si>
  <si>
    <t>PL-44</t>
  </si>
  <si>
    <t>CLASS</t>
  </si>
  <si>
    <t>RADIAL 153</t>
  </si>
  <si>
    <t>RADIAL 88</t>
  </si>
  <si>
    <t>RADIAL 38</t>
  </si>
  <si>
    <t>RADIAL 22</t>
  </si>
  <si>
    <t>RADIAL 304</t>
  </si>
  <si>
    <t>RADIAL 237</t>
  </si>
  <si>
    <t>RADIAL 47</t>
  </si>
  <si>
    <t>RADIAL 24</t>
  </si>
  <si>
    <t>RISER/SPOOL LIFTING AND INSTALLATION FOR PIPELINE PL-7 AT ZCSC BST</t>
  </si>
  <si>
    <t>AD178-27/216-G-09189</t>
  </si>
  <si>
    <t>RADIAL 50</t>
  </si>
  <si>
    <t>RISER/SPOOL LIFTING AND INSTALLATION FOR PIPELINE PL-6 AT ZWSC RP1</t>
  </si>
  <si>
    <t>RISER/SPOOL LIFTING AND INSTALLATION FOR PIPELINE PL-13 AT ZCSC CRP</t>
  </si>
  <si>
    <t>RISER/SPOOL LIFTING AND INSTALLATION FOR PIPELINE PL-15 AT ZCSC CRP</t>
  </si>
  <si>
    <t>RISER/SPOOL LIFTING AND INSTALLATION FOR PIPELINE PL-19 AT ZCSC CRP</t>
  </si>
  <si>
    <t>RISER/SPOOL LIFTING AND INSTALLATION FOR PIPELINE PL-20 AT ZWSC RP1</t>
  </si>
  <si>
    <t>RISER/SPOOL LIFTING AND INSTALLATION FOR PIPELINE PL-21 AT ZWSC RP1</t>
  </si>
  <si>
    <t>RISER/SPOOL LIFTING AND INSTALLATION FOR PIPELINE PL-42 AT ZCSC CRP</t>
  </si>
  <si>
    <t>CSE TO PMT</t>
  </si>
  <si>
    <t>PMT TO ADMA-OPCO</t>
  </si>
  <si>
    <t>MOORING ANALYSIS FOR BARGE DLB-1000 DURING DEMOLITION OF ZCSC OAP JACKET, TOPSIDE AND 
BRIDGE</t>
  </si>
  <si>
    <t>MOORING ANALYSIS FOR BARGE DLB-1000 DURING INSTALLATION OF ZCSC BST-Q</t>
  </si>
  <si>
    <t>MOORING ANALYSIS FOR BARGE DLB-1000 DURING INSTALLATION OF ZCSC CRP JACKET AND TOPSIDE</t>
  </si>
  <si>
    <t>MOORING ANALYSIS FOR BARGE DLS-1000 DURING INSTALLATION OF BRIDGE BR (CRP - ZCSC CSP)</t>
  </si>
  <si>
    <t xml:space="preserve">MOORING ANALYSIS FOR BARGE DLB-1000 DURING DEMOLITION OF EXISTING BRIDGE BS (ZK01 - ZCSC CSP) </t>
  </si>
  <si>
    <t>MOORING ANALYSIS FOR BARGE DLB-1000 DURING INSTALLATION OF ZCSC BST JACKET &amp; DECK</t>
  </si>
  <si>
    <t>MOORING ANALYSIS FOR BARGE DLB-1000 DURING INSTALLATION OF NEW BRIDGE BS (ZK01 - ZCSC CSP)</t>
  </si>
  <si>
    <t>MOORING ANALYSIS FOR BARGE DLB-1000 DURING INSTALLATION OF ZWSC BST-S8 &amp; BST-S9</t>
  </si>
  <si>
    <t>MOORING ANALYSIS FOR BARGE DLB-1000 DURING INSTALLATION OF ZWSC RP1 JACKET</t>
  </si>
  <si>
    <t>MOORING ANALYSIS FOR BARGE DLS-4200 DURING INSTALLATION OF ZWSC RP1 TOPSIDE</t>
  </si>
  <si>
    <t>MOORING ANALYSIS FOR BARGE DLS-4200 DURING INSTALLATION OF BRIDGE B13A &amp; B13B (ZWSC RP1 - CSP)</t>
  </si>
  <si>
    <t>MOORING ANALYSIS FOR BARGE DLB-1000 DURING INSTALLATION OF ZWSC BST-S10 AND BST-S11</t>
  </si>
  <si>
    <t>MOORING ANALYSIS FOR BARGE DLS-4200 DURING INSTALLATION OF BRIDGE B14 (ZWSC RP - CSP)</t>
  </si>
  <si>
    <t>Available numbers</t>
  </si>
  <si>
    <t>AD178-201-G-09497</t>
  </si>
  <si>
    <t>AD178-201-G-09498</t>
  </si>
  <si>
    <t>AD178-201-G-09499</t>
  </si>
  <si>
    <t>AD178-201-G-09500</t>
  </si>
  <si>
    <t>AD178-201-G-09501</t>
  </si>
  <si>
    <t>AD178-201-G-09502</t>
  </si>
  <si>
    <t>AD178-201-G-09503</t>
  </si>
  <si>
    <t>AD178-201-G-09504</t>
  </si>
  <si>
    <t>AD178-201-G-09505</t>
  </si>
  <si>
    <t>AD178-201-G-09506</t>
  </si>
  <si>
    <t>AD178-201-G-09507</t>
  </si>
  <si>
    <t>AD178-201-G-09508</t>
  </si>
  <si>
    <t>AD178-201-G-09509</t>
  </si>
  <si>
    <t>AD178-201-G-09510</t>
  </si>
  <si>
    <t>AD178-201-G-09511</t>
  </si>
  <si>
    <t>AD178-201-G-09512</t>
  </si>
  <si>
    <t>AD178-201-G-09513</t>
  </si>
  <si>
    <t>AD178-201-G-09514</t>
  </si>
  <si>
    <t>AD178-201-G-09515</t>
  </si>
  <si>
    <t>AD178-201-G-09516</t>
  </si>
  <si>
    <t>AD178-201-G-09517</t>
  </si>
  <si>
    <t>AD178-201-G-09518</t>
  </si>
  <si>
    <t>AD178-201-G-09519</t>
  </si>
  <si>
    <t>AD178-201-G-09520</t>
  </si>
  <si>
    <t>AD178-201-G-09521</t>
  </si>
  <si>
    <t>AD178-201-G-09522</t>
  </si>
  <si>
    <t>AD178-201-G-09523</t>
  </si>
  <si>
    <t>AD178-201-G-09524</t>
  </si>
  <si>
    <t>AD178-201-G-09525</t>
  </si>
  <si>
    <t>AD178-201-G-09526</t>
  </si>
  <si>
    <t>AD178-201-G-09527</t>
  </si>
  <si>
    <t>AD178-201-G-09528</t>
  </si>
  <si>
    <t>AD178-201-G-09529</t>
  </si>
  <si>
    <t>AD178-201-G-09530</t>
  </si>
  <si>
    <t>AD178-201-G-09531</t>
  </si>
  <si>
    <t>AD178-201-G-09532</t>
  </si>
  <si>
    <t>AD178-201-G-09533</t>
  </si>
  <si>
    <t>AD178-201-G-09534</t>
  </si>
  <si>
    <t>AD178-201-G-09535</t>
  </si>
  <si>
    <t>AD178-201-G-09536</t>
  </si>
  <si>
    <t>AD178-201-G-09538</t>
  </si>
  <si>
    <t>AD178-201-G-09539</t>
  </si>
  <si>
    <t>AD178-201-G-09540</t>
  </si>
  <si>
    <t>AD178-201-G-09541</t>
  </si>
  <si>
    <t>AD178-201-G-09542</t>
  </si>
  <si>
    <t>AD178-201-G-09543</t>
  </si>
  <si>
    <t>AD178-201-G-09576</t>
  </si>
  <si>
    <t>AD178-201-G-09577</t>
  </si>
  <si>
    <t>AD178-201-G-09578</t>
  </si>
  <si>
    <t>AD178-201-G-09579</t>
  </si>
  <si>
    <t>AD178-201-G-09580</t>
  </si>
  <si>
    <t>AD178-201-G-09581</t>
  </si>
  <si>
    <t>AD178-201-G-09582</t>
  </si>
  <si>
    <t>AD178-201-G-09583</t>
  </si>
  <si>
    <t>AD178-201-G-09584</t>
  </si>
  <si>
    <t>AD178-201-G-09585</t>
  </si>
  <si>
    <t>AD178-201-G-09586</t>
  </si>
  <si>
    <t>AD178-201-G-09587</t>
  </si>
  <si>
    <t>AD178-201-G-09588</t>
  </si>
  <si>
    <t>AD178-201-G-09589</t>
  </si>
  <si>
    <t>AD178-201-G-09590</t>
  </si>
  <si>
    <t>AD178-201-G-09591</t>
  </si>
  <si>
    <t>AD178-201-G-09592</t>
  </si>
  <si>
    <t>AD178-201-G-09593</t>
  </si>
  <si>
    <t>AD178-201-G-09594</t>
  </si>
  <si>
    <t>AD178-201-G-09595</t>
  </si>
  <si>
    <t>AD178-201-G-09596</t>
  </si>
  <si>
    <t>AD178-201-G-09597</t>
  </si>
  <si>
    <t>AD178-201-G-09598</t>
  </si>
  <si>
    <t>AD178-201-G-09599</t>
  </si>
  <si>
    <t>AD178-201-G-09600</t>
  </si>
  <si>
    <t>AD178-201-G-09601</t>
  </si>
  <si>
    <t>AD178-201-G-09602</t>
  </si>
  <si>
    <t>AD178-201-G-09603</t>
  </si>
  <si>
    <t>AD178-201-G-09604</t>
  </si>
  <si>
    <t>AD178-201-G-09605</t>
  </si>
  <si>
    <t>AD178-201-G-09606</t>
  </si>
  <si>
    <t>AD178-201-G-09607</t>
  </si>
  <si>
    <t>AD178-201-G-09608</t>
  </si>
  <si>
    <t>AD178-201-G-09609</t>
  </si>
  <si>
    <t>AD178-201-G-09610</t>
  </si>
  <si>
    <t>AD178-201-G-09611</t>
  </si>
  <si>
    <t>AD178-201-G-09612</t>
  </si>
  <si>
    <t>AD178-201-G-09613</t>
  </si>
  <si>
    <t>AD178-201-G-09614</t>
  </si>
  <si>
    <t>AD178-201-G-09615</t>
  </si>
  <si>
    <t>AD178-201-G-09616</t>
  </si>
  <si>
    <t>AD178-201-G-09617</t>
  </si>
  <si>
    <t>AD178-201-G-09618</t>
  </si>
  <si>
    <t>AD178-201-G-09619</t>
  </si>
  <si>
    <t>AD178-201-G-09620</t>
  </si>
  <si>
    <t>AD178-201-G-09621</t>
  </si>
  <si>
    <t>AD178-201-G-09622</t>
  </si>
  <si>
    <t>AD178-201-G-09623</t>
  </si>
  <si>
    <t>AD178-201-G-09624</t>
  </si>
  <si>
    <t>AD178-201-G-09625</t>
  </si>
  <si>
    <t>AD178-201-G-09626</t>
  </si>
  <si>
    <t>AD178-201-G-09627</t>
  </si>
  <si>
    <t>AD178-201-G-09628</t>
  </si>
  <si>
    <t>AD178-201-G-09629</t>
  </si>
  <si>
    <t>AD178-201-G-09630</t>
  </si>
  <si>
    <t>AD178-201-G-09631</t>
  </si>
  <si>
    <t>AD178-201-G-09632</t>
  </si>
  <si>
    <t>AD178-201-G-09633</t>
  </si>
  <si>
    <t>AD178-201-G-09634</t>
  </si>
  <si>
    <t>AD178-201-G-09635</t>
  </si>
  <si>
    <t>AD178-201-G-09636</t>
  </si>
  <si>
    <t>AD178-201-G-09637</t>
  </si>
  <si>
    <t>AD178-201-G-09638</t>
  </si>
  <si>
    <t>AD178-201-G-09639</t>
  </si>
  <si>
    <t>AD178-201-G-09640</t>
  </si>
  <si>
    <t>AD178-201-G-09641</t>
  </si>
  <si>
    <t>AD178-201-G-09642</t>
  </si>
  <si>
    <t>AD178-201-G-09643</t>
  </si>
  <si>
    <t>AD178-201-G-09644</t>
  </si>
  <si>
    <t>AD178-201-G-09645</t>
  </si>
  <si>
    <t>AD178-201-G-09646</t>
  </si>
  <si>
    <t>AD178-201-G-09647</t>
  </si>
  <si>
    <t>AD178-201-G-09648</t>
  </si>
  <si>
    <t>AD178-201-G-09649</t>
  </si>
  <si>
    <t>AD178-201-G-09650</t>
  </si>
  <si>
    <t>AD178-201-G-09651</t>
  </si>
  <si>
    <t>AD178-201-G-09652</t>
  </si>
  <si>
    <t>AD178-201-G-09653</t>
  </si>
  <si>
    <t>AD178-201-G-09654</t>
  </si>
  <si>
    <t>AD178-201-G-09655</t>
  </si>
  <si>
    <t>AD178-201-G-09656</t>
  </si>
  <si>
    <t>AD178-201-G-09657</t>
  </si>
  <si>
    <t>AD178-201-G-09658</t>
  </si>
  <si>
    <t>AD178-201-G-09659</t>
  </si>
  <si>
    <t>AD178-201-G-09660</t>
  </si>
  <si>
    <t>AD178-201-G-09661</t>
  </si>
  <si>
    <t>AD178-201-G-09662</t>
  </si>
  <si>
    <t>AD178-201-G-09663</t>
  </si>
  <si>
    <t>AD178-201-G-09664</t>
  </si>
  <si>
    <t>AD178-201-G-09665</t>
  </si>
  <si>
    <t>AD178-201-G-09666</t>
  </si>
  <si>
    <t>AD178-201-G-09667</t>
  </si>
  <si>
    <t>AD178-201-G-09668</t>
  </si>
  <si>
    <t>AD178-201-G-09669</t>
  </si>
  <si>
    <t>AD178-201-G-09670</t>
  </si>
  <si>
    <t>AD178-201-G-09671</t>
  </si>
  <si>
    <t>AD178-201-G-09672</t>
  </si>
  <si>
    <t>AD178-201-G-09673</t>
  </si>
  <si>
    <t>AD178-201-G-09674</t>
  </si>
  <si>
    <t>AD178-201-G-09675</t>
  </si>
  <si>
    <t>AD178-201-G-09676</t>
  </si>
  <si>
    <t>AD178-201-G-09677</t>
  </si>
  <si>
    <t>AD178-201-G-09678</t>
  </si>
  <si>
    <t>AD178-201-G-09679</t>
  </si>
  <si>
    <t>AD178-201-G-09680</t>
  </si>
  <si>
    <t>AD178-201-G-09681</t>
  </si>
  <si>
    <t>AD178-201-G-09682</t>
  </si>
  <si>
    <t>AD178-201-G-09683</t>
  </si>
  <si>
    <t>AD178-201-G-09684</t>
  </si>
  <si>
    <t>AD178-201-G-09685</t>
  </si>
  <si>
    <t>AD178-201-G-09686</t>
  </si>
  <si>
    <t>AD178-201-G-09687</t>
  </si>
  <si>
    <t>AD178-201-G-09688</t>
  </si>
  <si>
    <t>AD178-201-G-09689</t>
  </si>
  <si>
    <t>AD178-201-G-09690</t>
  </si>
  <si>
    <t>AD178-201-G-09691</t>
  </si>
  <si>
    <t>AD178-201-G-09692</t>
  </si>
  <si>
    <t>AD178-201-G-09693</t>
  </si>
  <si>
    <t>AD178-201-G-09694</t>
  </si>
  <si>
    <t>AD178-201-G-09695</t>
  </si>
  <si>
    <t>AD178-201-G-09696</t>
  </si>
  <si>
    <t>AD178-201-G-09697</t>
  </si>
  <si>
    <t>AD178-201-G-09698</t>
  </si>
  <si>
    <t>AD178-201-G-09699</t>
  </si>
  <si>
    <t>All numbers are subject to changed as per document and its location</t>
  </si>
  <si>
    <t>AD178-327-G-09497</t>
  </si>
  <si>
    <t>AD178-559/498-G-09498</t>
  </si>
  <si>
    <t>AD178-496-G-09499</t>
  </si>
  <si>
    <t>AD178-328-G-09500</t>
  </si>
  <si>
    <t>AD178-329/328-G-09501</t>
  </si>
  <si>
    <t>AD178-559-G-09502</t>
  </si>
  <si>
    <t>AD178-329/328-G-09503</t>
  </si>
  <si>
    <t>AD178-558/558-G-09504</t>
  </si>
  <si>
    <t>AD178-557-G-09505</t>
  </si>
  <si>
    <t>AD178-557-G-09506</t>
  </si>
  <si>
    <t>AD178-557/202-G-09507</t>
  </si>
  <si>
    <t>AD178-561/561-G-09508</t>
  </si>
  <si>
    <t>AD178-201/202-G-09509</t>
  </si>
  <si>
    <t>2272-ZZ-RP-3504</t>
  </si>
  <si>
    <t>2272-ZZ-RP-3505</t>
  </si>
  <si>
    <t>2272-ZZ-RP-3506</t>
  </si>
  <si>
    <t>2272-ZZ-RP-3507</t>
  </si>
  <si>
    <t>2272-ZZ-RP-3508</t>
  </si>
  <si>
    <t>2272-ZZ-RP-3509</t>
  </si>
  <si>
    <t>2272-ZZ-RP-3510</t>
  </si>
  <si>
    <t>2272-ZZ-RP-3511</t>
  </si>
  <si>
    <t>2272-ZZ-RP-3512</t>
  </si>
  <si>
    <t>2272-ZZ-RP-3513</t>
  </si>
  <si>
    <t>2272-ZZ-RP-3514</t>
  </si>
  <si>
    <t>2272-ZZ-RP-3515</t>
  </si>
  <si>
    <t>2272-ZZ-RP-3516</t>
  </si>
  <si>
    <t>2272-NN-RP-0501</t>
  </si>
  <si>
    <t>2272-NN-RP-0502</t>
  </si>
  <si>
    <t>2272-NN-RP-0503</t>
  </si>
  <si>
    <t>AD178-27/216-G-09497</t>
  </si>
  <si>
    <t>AD178-27/216-G-09498</t>
  </si>
  <si>
    <t>AD178-27/216-G-09499</t>
  </si>
  <si>
    <t>Deleted as per email from Ayman Moh'd El Sherif (NPCC)</t>
  </si>
  <si>
    <t>MWS (GM)</t>
  </si>
  <si>
    <t>2272-NN-1144</t>
  </si>
  <si>
    <t>2272-NN-1145</t>
  </si>
  <si>
    <t>2272-NN-1146</t>
  </si>
  <si>
    <t>2272-NN-1147</t>
  </si>
  <si>
    <t>2272-NN-1148</t>
  </si>
  <si>
    <t>2272-NN-1149</t>
  </si>
  <si>
    <t>2272-NN-1150</t>
  </si>
  <si>
    <t>2272-NN-1151</t>
  </si>
  <si>
    <t>2272-NN-1152</t>
  </si>
  <si>
    <t>2272-NN-1153</t>
  </si>
  <si>
    <t>2272-NN-1154</t>
  </si>
  <si>
    <t>2272-NN-1155</t>
  </si>
  <si>
    <t>2272-NN-1156</t>
  </si>
  <si>
    <t>2272-NN-1157</t>
  </si>
  <si>
    <t>2272-NN-1158</t>
  </si>
  <si>
    <t>2272-NN-1159</t>
  </si>
  <si>
    <t>2272-NN-1160</t>
  </si>
  <si>
    <t>2272-NN-1161</t>
  </si>
  <si>
    <t>2272-NN-1162</t>
  </si>
  <si>
    <t>2272-NN-1163</t>
  </si>
  <si>
    <t>2272-NN-1164</t>
  </si>
  <si>
    <t>2272-NN-1165</t>
  </si>
  <si>
    <t>2272-NN-1166</t>
  </si>
  <si>
    <t>NPCC Numbers</t>
  </si>
  <si>
    <t>AD178-27/216-G-09500</t>
  </si>
  <si>
    <t>AD178-27/216-G-09501</t>
  </si>
  <si>
    <t>AD178-27/216-G-09502</t>
  </si>
  <si>
    <t>AD178-27/216-G-09503</t>
  </si>
  <si>
    <t>AD178-27/216-G-09504</t>
  </si>
  <si>
    <t>AD178-27/216-G-09505</t>
  </si>
  <si>
    <t>AD178-27/216-G-09506</t>
  </si>
  <si>
    <t>AD178-27/216-G-09507</t>
  </si>
  <si>
    <t>AD178-27/216-G-09508</t>
  </si>
  <si>
    <t>AD178-27/216-G-09509</t>
  </si>
  <si>
    <t>AD178-27/216-G-09510</t>
  </si>
  <si>
    <t>AD178-27/216-G-09511</t>
  </si>
  <si>
    <t>AD178-27/216-G-09512</t>
  </si>
  <si>
    <t>AD178-27/216-G-09513</t>
  </si>
  <si>
    <t>AD178-27/216-G-09514</t>
  </si>
  <si>
    <t>AD178-27/216-G-09515</t>
  </si>
  <si>
    <t>AD178-27/216-G-09516</t>
  </si>
  <si>
    <t>AD178-27/216-G-09517</t>
  </si>
  <si>
    <t>AD178-27/216-G-09518</t>
  </si>
  <si>
    <t>AD178-27/216-G-09519</t>
  </si>
  <si>
    <t>AD178-27/216-G-09520</t>
  </si>
  <si>
    <t>AD178-27/216-G-09521</t>
  </si>
  <si>
    <t>AD178-27/216-G-09522</t>
  </si>
  <si>
    <t>RISER/SPOOL LIFTING AND INSTALLATION FOR 8" OIL PIPELINE (PL-10) AT ZK300</t>
  </si>
  <si>
    <t>AD178-327-G-09523</t>
  </si>
  <si>
    <t>AD178-559/498-G-09524</t>
  </si>
  <si>
    <t>AD178-496-G-09525</t>
  </si>
  <si>
    <t>AD178-498-G-09526</t>
  </si>
  <si>
    <t>AD178-560-G-09527</t>
  </si>
  <si>
    <t>AD178-559-G-09528</t>
  </si>
  <si>
    <t>AD178-560-G-09529</t>
  </si>
  <si>
    <t>AD178-558-G-09530</t>
  </si>
  <si>
    <t>AD178-557-G-09531</t>
  </si>
  <si>
    <t>AD178-557-G-09532</t>
  </si>
  <si>
    <t>AD178-558-G-09533</t>
  </si>
  <si>
    <t>AD178-561-G-09534</t>
  </si>
  <si>
    <t>AD178-561-G-09535</t>
  </si>
  <si>
    <t>2272-ZZ-RP-3517</t>
  </si>
  <si>
    <t>AD178-496-G-09536</t>
  </si>
  <si>
    <t>2272-NN-RP-0504</t>
  </si>
  <si>
    <t>2272-NN-RP-0505</t>
  </si>
  <si>
    <t>2272-NN-RP-0506</t>
  </si>
  <si>
    <t>2272-NN-RP-0507</t>
  </si>
  <si>
    <t>2272-NN-RP-0508</t>
  </si>
  <si>
    <t>2272-NN-RP-0509</t>
  </si>
  <si>
    <t>AD178-27/216-G-09538</t>
  </si>
  <si>
    <t>AD178-27/216-G-09539</t>
  </si>
  <si>
    <t>AD178-27/216-G-09540</t>
  </si>
  <si>
    <t>AD178-27/216-G-09541</t>
  </si>
  <si>
    <t>AD178-27/216-G-09542</t>
  </si>
  <si>
    <t>AD178-27/216-G-09543</t>
  </si>
  <si>
    <t>DOCUMENT CLASS : (1) ISSUED FOR APPROVAL; (2) ISSUED FOR REVIEW &amp; COMMENTS; (3) ISSUED FOR INFORMATION</t>
  </si>
  <si>
    <t xml:space="preserve">ADMA-OPCO APPROVAL CODE : (1) REJECTED; (2) COMMENTED - WORK MAY PROCEED; (3) APPROVED; (4) FOR INFORMATION </t>
  </si>
  <si>
    <t>MWS APPROVAL CODE : (A) ACCEPTED WITHOUT COMMENTS; (B) ACCEPTED SUBJECT TO COMMENTS; (C) NOT ACCEPTED; (D) INFORMATION ONLY</t>
  </si>
  <si>
    <t>RADIAL</t>
  </si>
  <si>
    <t>PIPELINE</t>
  </si>
  <si>
    <t>OFFSHORE START DATE</t>
  </si>
  <si>
    <t>SUBMISSION PLANNED DATE FOR DRW</t>
  </si>
  <si>
    <t>SUBMISSION PLANNED DATE FOR DOC</t>
  </si>
  <si>
    <t>SUBMITTED</t>
  </si>
  <si>
    <t>2272-ZZ-RP-1604</t>
  </si>
  <si>
    <t>AD178-27/216-G-09544</t>
  </si>
  <si>
    <t>2272-ZZ-RP-3004</t>
  </si>
  <si>
    <t>AD178-27/216-G-09545</t>
  </si>
  <si>
    <t>AD178-27/216-G-09546</t>
  </si>
  <si>
    <t>2272-NN-RP-0601</t>
  </si>
  <si>
    <t>AD178-27/2161-G-09547</t>
  </si>
  <si>
    <t>2272-NN-0214</t>
  </si>
  <si>
    <t>2272-NN-RP-0701</t>
  </si>
  <si>
    <t>AD178-27/2161-G-09548</t>
  </si>
  <si>
    <t>AD178-27/2161-G-09549</t>
  </si>
  <si>
    <t>2272-NN-0233</t>
  </si>
  <si>
    <t>AD178-27/2161-G-09550</t>
  </si>
  <si>
    <t>AD178-27/2161-G-09551</t>
  </si>
  <si>
    <t>2272-NN-0234</t>
  </si>
  <si>
    <t>2272-NN-0235</t>
  </si>
  <si>
    <t>AD178-27/2161-G-09552</t>
  </si>
  <si>
    <t>2272-NN-0236</t>
  </si>
  <si>
    <t>AD178-27/2161-G-09553</t>
  </si>
  <si>
    <t>2272-NN-0237</t>
  </si>
  <si>
    <t>AD178-27/2161-G-09554</t>
  </si>
  <si>
    <t>2272-NN-0238</t>
  </si>
  <si>
    <t>AD178-27/2161-G-09555</t>
  </si>
  <si>
    <t>2272-NN-0239</t>
  </si>
  <si>
    <t>AD178-27/2161-G-09556</t>
  </si>
  <si>
    <t>2272-NN-RP-0304</t>
  </si>
  <si>
    <t>2272-NN-5049</t>
  </si>
  <si>
    <t>AD178-27/2161-G-09557</t>
  </si>
  <si>
    <t>2272-NN-RP-0510</t>
  </si>
  <si>
    <t>2272-NN-RP-0511</t>
  </si>
  <si>
    <t>2272-NN-0246</t>
  </si>
  <si>
    <t>AD178-27/2161-G-09558</t>
  </si>
  <si>
    <t>AD178-27/2161-G-09559</t>
  </si>
  <si>
    <t>AD178-27/2161-G-09560</t>
  </si>
  <si>
    <t>2272-NN-RP-0512</t>
  </si>
  <si>
    <t>AD178-27/2161-G-09561</t>
  </si>
  <si>
    <t>2272-NN-0247</t>
  </si>
  <si>
    <t>AD178-27/216-G-09537</t>
  </si>
  <si>
    <t>2272-NN-0248</t>
  </si>
  <si>
    <t>AD178-27/2161-G-09562</t>
  </si>
  <si>
    <t>2272-NN-0249</t>
  </si>
  <si>
    <t>AD178-27/216-G-09563</t>
  </si>
  <si>
    <t>2272-NN-0250</t>
  </si>
  <si>
    <t>AD178-27/216-G-09564</t>
  </si>
  <si>
    <t>2272-NN-RP-2005</t>
  </si>
  <si>
    <t>AD178-27/216-G-09565</t>
  </si>
  <si>
    <t>2272-NN-0501</t>
  </si>
  <si>
    <t>AD178-27/216-G-09566</t>
  </si>
  <si>
    <t>2272-NN-RP-2905</t>
  </si>
  <si>
    <t>AD178-27/216-G-09567</t>
  </si>
  <si>
    <t>2272-NN-0502</t>
  </si>
  <si>
    <t>AD178-27/216-G-09568</t>
  </si>
  <si>
    <t>2272-NN-RP-2305</t>
  </si>
  <si>
    <t>AD178-27/216-G-09569</t>
  </si>
  <si>
    <t>2272-NN-3506</t>
  </si>
  <si>
    <t>AD178-27/216-G-09570</t>
  </si>
  <si>
    <t>2272-NN-RP-2205</t>
  </si>
  <si>
    <t>AD178-27/216-G-09571</t>
  </si>
  <si>
    <t>2272-NN-0503</t>
  </si>
  <si>
    <t>AD178-27/216-G-09572</t>
  </si>
  <si>
    <t>2272-NN-0504</t>
  </si>
  <si>
    <t>AD178-27/216-G-09573</t>
  </si>
  <si>
    <t>2272-NN-0240</t>
  </si>
  <si>
    <t>AD178-27/216-G-09574</t>
  </si>
  <si>
    <t>2272-ZZ-RP-3519</t>
  </si>
  <si>
    <t>AD178-335-G-09575</t>
  </si>
  <si>
    <t>SENT TO PMT</t>
  </si>
  <si>
    <t>Client : ADMA-OPCO</t>
  </si>
  <si>
    <t>ADDITIONAL GAS SUPPLY TO ONSHORE AND FLEXIBILITY ASSURANCE AT USSC.</t>
  </si>
  <si>
    <t>Project 3278</t>
  </si>
  <si>
    <t>SEP-250 MOORING ANALYSIS AT ABK-TIP (FIRST SET-UP)</t>
  </si>
  <si>
    <t xml:space="preserve">MOORING ANALYSIS DOCUMENTS FOR JACKET AND DECK INSTALLATION </t>
  </si>
  <si>
    <t>MOORING ANALYSIS DURING TAE JACKET INSTALLATION</t>
  </si>
  <si>
    <t>CABLE INSTALLATION ANALYSIS</t>
  </si>
  <si>
    <t>3278-PP-OF-040</t>
  </si>
  <si>
    <t>AD214-026-G-00900</t>
  </si>
  <si>
    <t>3278-PP-OF-042</t>
  </si>
  <si>
    <t>AD214-026-G-00902</t>
  </si>
  <si>
    <t>3278-NPCC-AO-T-05311</t>
  </si>
  <si>
    <t>3278-PP-OF-061</t>
  </si>
  <si>
    <t>AD214-026-G-01814</t>
  </si>
  <si>
    <t>3278-PP-OF-062</t>
  </si>
  <si>
    <t>3278-PP-OF-064</t>
  </si>
  <si>
    <t>AD214-026-G-01815</t>
  </si>
  <si>
    <t>AD214-026-G-01817</t>
  </si>
  <si>
    <t>3278-NPCC-AO-T-07054</t>
  </si>
  <si>
    <t xml:space="preserve">OFFSHORE CONSTRUCTION ENGINEERING DOCUMENTS </t>
  </si>
  <si>
    <t>3278-OFF-9799</t>
  </si>
  <si>
    <t>UMM SHAIF BST-S7 JACKET MODIFICATION J-TUBE INSTALLATION DRAWING AT BST (S7)</t>
  </si>
  <si>
    <t>AD214-521-C-79799</t>
  </si>
  <si>
    <t xml:space="preserve">UMM SHAIF US-216 JACKET MODIFICATION J-TUBE INSTALLATION DRAWING AT US-216 </t>
  </si>
  <si>
    <t>3278-OFF-9800</t>
  </si>
  <si>
    <t>AD214-521-C-79800</t>
  </si>
  <si>
    <t>3278-OFF-9801</t>
  </si>
  <si>
    <t>AD214-521-C-79801</t>
  </si>
  <si>
    <t>3278-OFF-9802</t>
  </si>
  <si>
    <t>AD214-521-C-79802</t>
  </si>
  <si>
    <t>3278-PP-OF-065</t>
  </si>
  <si>
    <t>AD214-026-G-01818</t>
  </si>
  <si>
    <t>CSE-OF-3278-001</t>
  </si>
  <si>
    <t>CSE-OF-3278-002</t>
  </si>
  <si>
    <t>CSE-OF-3278-003</t>
  </si>
  <si>
    <t>OFF TO PMT</t>
  </si>
  <si>
    <t>PMT TO ADMA OPCO</t>
  </si>
  <si>
    <t>3278-NPCC-AO-T-07246</t>
  </si>
  <si>
    <t>MOORING ANALYSIS DURING TAE DECK  INSTALLATION</t>
  </si>
  <si>
    <t>3278-PP-OF-068</t>
  </si>
  <si>
    <t>AD214-026-G-01821</t>
  </si>
  <si>
    <t>CSE-OF-3278-004</t>
  </si>
  <si>
    <t>3278-NPCC-AO-T-07280</t>
  </si>
  <si>
    <t>MWS (MD)</t>
  </si>
  <si>
    <t>AO-NPCC-TN-3229</t>
  </si>
  <si>
    <t>B</t>
  </si>
  <si>
    <t>MDDXB 5092-MD-03-407-01</t>
  </si>
  <si>
    <t>COMMENTED</t>
  </si>
  <si>
    <t>DOCUMENT CLASS : (1) ISSUED FOR COMMENTS &amp; APPROVAL (2) ISSUED FOR CONSTRUCTION (3) ISSUED FOR INFORMATION</t>
  </si>
  <si>
    <t xml:space="preserve">ADMA-OPCO APPROVAL CODE : (A)APPROVED; (B) GENERALLY ACCEPTABLE ,INCORPORATE COMMENTS &amp; RE-SUBMIT; (C)NOT ACCEPTABLE; (D) FOR INFORMATION </t>
  </si>
  <si>
    <t>CSE-OF-3278-005</t>
  </si>
  <si>
    <t>AO-NPCC-TN-3864</t>
  </si>
  <si>
    <t>3278-NPCC-AO-T-07675</t>
  </si>
  <si>
    <t>CSE-OF-3278-006</t>
  </si>
  <si>
    <t>SEP-250 MOORING ANALYSIS AT S7</t>
  </si>
  <si>
    <t>3278-PP-OF-075</t>
  </si>
  <si>
    <t>AD214-026-G-01828</t>
  </si>
  <si>
    <t>CSE-OF-3278-007</t>
  </si>
  <si>
    <t>AO-NPCC-TN-4219</t>
  </si>
  <si>
    <t xml:space="preserve">3278-NPCC-AO-T-07750 </t>
  </si>
  <si>
    <t xml:space="preserve">3278-NPCC-AO-T-07769 </t>
  </si>
  <si>
    <t>AO-NPCC-TN-4107</t>
  </si>
  <si>
    <t>UMM SHAIF US-218 JACKET MODIFICATION J-TUBE INSTALLATION DRAWING AT US-218</t>
  </si>
  <si>
    <t>UMM SHAIF US-88 JACKET MODIFICATION J-TUBE INSTALLATION DRAWING AT US-88</t>
  </si>
  <si>
    <t>CSE-OF-3278-008</t>
  </si>
  <si>
    <t>CSE-OF-3278-009</t>
  </si>
  <si>
    <t>3278-NPCC-AO-T-07906</t>
  </si>
  <si>
    <t>AO-NPCC-TN-4296</t>
  </si>
  <si>
    <t>AO-NPCC-TN-4279</t>
  </si>
  <si>
    <t>A</t>
  </si>
  <si>
    <t>CSE-OF-3278-010</t>
  </si>
  <si>
    <t>MOORING ANALYSIS ABK TABLE TOP INSTALLATION</t>
  </si>
  <si>
    <t>3278-PP-OF-089</t>
  </si>
  <si>
    <t>AD214-026-G-1842</t>
  </si>
  <si>
    <t>CSE-OF-3278-011</t>
  </si>
  <si>
    <t>CSE-OF-3278-012</t>
  </si>
  <si>
    <t>3278-NPCC-AO-T-08074</t>
  </si>
  <si>
    <t>3278-NPCC-AO-T-08049</t>
  </si>
  <si>
    <t>AO-NPCC-TN-4381</t>
  </si>
  <si>
    <t>MOORING ANALYSIS OF SEP-650 AT WIP</t>
  </si>
  <si>
    <t>3278-PP-OF-092</t>
  </si>
  <si>
    <t>AD214-026-G-01845</t>
  </si>
  <si>
    <t>CSE-OF-3278-013</t>
  </si>
  <si>
    <t xml:space="preserve">3278-NPCC-AO-T-08125 </t>
  </si>
  <si>
    <t>MOORING ANALYSIS OF SEP-650 AT B14</t>
  </si>
  <si>
    <t>3278-PP-OF-093</t>
  </si>
  <si>
    <t>AD214-026-G-01846</t>
  </si>
  <si>
    <t>CSE-OF-3278-014</t>
  </si>
  <si>
    <t xml:space="preserve">3278-NPCC-AO-T-08175 </t>
  </si>
  <si>
    <t>3278-NPCC-AO-T-08180</t>
  </si>
  <si>
    <t>AO-NPCC-TN-4438</t>
  </si>
  <si>
    <t>CSE-OF-3278-015</t>
  </si>
  <si>
    <t>AO-NPCC-TN-4489</t>
  </si>
  <si>
    <t xml:space="preserve">3278-NPCC-AO-T-08270 </t>
  </si>
  <si>
    <t xml:space="preserve">AO-NPCC-TN-4461 </t>
  </si>
  <si>
    <t>CSE-OF-3278-016</t>
  </si>
  <si>
    <t>3278-NPCC-AO-T-08305</t>
  </si>
  <si>
    <t>CSE-OF-3278-017</t>
  </si>
  <si>
    <t>3278-NPCC-AO-T-08321</t>
  </si>
  <si>
    <t>CSE-OF-3278-018</t>
  </si>
  <si>
    <t xml:space="preserve"> MOORING ANALYSIS AT TA PLATFORM</t>
  </si>
  <si>
    <t>3278-NPCC-AO-T-08338</t>
  </si>
  <si>
    <t>AO-NPCC-TN-4519</t>
  </si>
  <si>
    <t>AO-NPCC-TN-4512</t>
  </si>
  <si>
    <t>SEP-250 MOORING ANALYSIS AT US-216</t>
  </si>
  <si>
    <t>CSE-OF-3278-019</t>
  </si>
  <si>
    <t>MOORING ANALYSIS OF WORKBOAT AT B14/NGTP</t>
  </si>
  <si>
    <t>3278-PP-OF-115</t>
  </si>
  <si>
    <t>AD214-026-G-01868</t>
  </si>
  <si>
    <t>CSE-OF-3278-020</t>
  </si>
  <si>
    <t>3278-NPCC-AO-T-08569</t>
  </si>
  <si>
    <t>MDDXB 5092-MD-70-473-01</t>
  </si>
  <si>
    <t>CSE-OF-3278-021</t>
  </si>
  <si>
    <t>3278-NPCC-AO-T-08583</t>
  </si>
  <si>
    <t>AO-NPCC-TN-4683</t>
  </si>
  <si>
    <t>CSE-OF-3278-022</t>
  </si>
  <si>
    <t>MOORING ANALYSIS OF SEP 650 AT US-58</t>
  </si>
  <si>
    <t>3278-PP-OF-122</t>
  </si>
  <si>
    <t>AD214-026-G-01875</t>
  </si>
  <si>
    <t>CSE-OF-3278-023</t>
  </si>
  <si>
    <t>3278-NPCC-AO-T-08645</t>
  </si>
  <si>
    <t>CSE-OF-3278-024</t>
  </si>
  <si>
    <t>3278-NPCC-AO-T-08724</t>
  </si>
  <si>
    <t>3278-NPCC-AO-T-08652</t>
  </si>
  <si>
    <t>AO-NPCC-TN-4771</t>
  </si>
  <si>
    <t>AO-NPCC-TN-4725</t>
  </si>
  <si>
    <t xml:space="preserve">3278-NPCC-AO-T-08506 </t>
  </si>
  <si>
    <t>AO-NPCC-TN-4645</t>
  </si>
  <si>
    <t>MOORING ANALYSIS OF JB-118 AT HAP</t>
  </si>
  <si>
    <t>3278-PP-OF-131</t>
  </si>
  <si>
    <t>AD214-026-G-01884</t>
  </si>
  <si>
    <t>CSE-OF-3278-025</t>
  </si>
  <si>
    <t>3278-NPCC-AO-T-08747</t>
  </si>
  <si>
    <t>CSE-OF-3278-026</t>
  </si>
  <si>
    <t>MOORING ANALYSIS FOR SEP-350 AT ABK</t>
  </si>
  <si>
    <t>3278-PP-OF-135</t>
  </si>
  <si>
    <t>AD214-026-G-01888</t>
  </si>
  <si>
    <t>CSE-OF-3278-027</t>
  </si>
  <si>
    <t>3278-NPCC-AO-T-08750</t>
  </si>
  <si>
    <t>AO-NPCC-TN-4776</t>
  </si>
  <si>
    <t>C</t>
  </si>
  <si>
    <t>AO-NPCC-TN-4772</t>
  </si>
  <si>
    <t>MOORING ANALYSIS OF WORKBOAT AT B11 BRIDGE</t>
  </si>
  <si>
    <t>AD214-026-G-01892</t>
  </si>
  <si>
    <t>CSE-OF-3278-028</t>
  </si>
  <si>
    <t>3278-PP-OF-139</t>
  </si>
  <si>
    <t>3278-NPCC-AO-T-08802</t>
  </si>
  <si>
    <t>3278-NPCC-AO-T-08772</t>
  </si>
  <si>
    <t>AO-NPCC-TN-4795</t>
  </si>
  <si>
    <t>D</t>
  </si>
  <si>
    <t>AO-NPCC-TN-4811</t>
  </si>
  <si>
    <t>AO-NPCC-TN-4802</t>
  </si>
  <si>
    <t>CSE-OF-3278-029</t>
  </si>
  <si>
    <t>3278-PP-OF-141</t>
  </si>
  <si>
    <t>AD214-026-G-01894</t>
  </si>
  <si>
    <t>CSE-OF-3278-030</t>
  </si>
  <si>
    <t>3278-NPCC-AO-T-08816</t>
  </si>
  <si>
    <t>3278-NPCC-AO-T-08810</t>
  </si>
  <si>
    <t>CSE-OF-3278-031</t>
  </si>
  <si>
    <t>MOORING ANALYSIS FOR SEP-650 AT SOUTH OF US58</t>
  </si>
  <si>
    <t>3278-NPCC-AO-T-08825</t>
  </si>
  <si>
    <t>MOORING ANALYSIS FOR SEP-650 AT ABK</t>
  </si>
  <si>
    <t>3278-PP-OF-148</t>
  </si>
  <si>
    <t>AD214-26-G-01600</t>
  </si>
  <si>
    <t>CSE-OF-3278-032</t>
  </si>
  <si>
    <t>3278-PP-OF-154</t>
  </si>
  <si>
    <t>AD214-26-G-01606</t>
  </si>
  <si>
    <t>CSE-OF-3278-033</t>
  </si>
  <si>
    <t>3278-NPCC-AO-T-08929</t>
  </si>
  <si>
    <t>AO-NPCC-TN-4827</t>
  </si>
  <si>
    <t>3278-PP-OF-155</t>
  </si>
  <si>
    <t>AD214-26-G-01607</t>
  </si>
  <si>
    <t>MOORING ANALYSIS FOR SEP-150 AT TAE DECK</t>
  </si>
  <si>
    <t>CSE-OF-3278-034</t>
  </si>
  <si>
    <t>3278-NPCC-AO-T-09003</t>
  </si>
  <si>
    <t>MOORING ANALYSIS FOR SEP-150 AT US-58</t>
  </si>
  <si>
    <t>3278-NPCC-AO-T-09012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</si>
</sst>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General_)"/>
    <numFmt numFmtId="166" formatCode="[$-409]d\-mmm\-yy;@"/>
    <numFmt numFmtId="167" formatCode="[$-409]dd\-mmm\-yy;@"/>
  </numFmts>
  <fonts count="13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b/>
      <sz val="10"/>
      <color indexed="8"/>
      <name val="Tahoma"/>
      <family val="2"/>
    </font>
    <font>
      <sz val="8"/>
      <color rgb="FFFF0000"/>
      <name val="Tahoma"/>
      <family val="2"/>
    </font>
    <font>
      <b/>
      <sz val="10"/>
      <name val="Tms Rmn"/>
    </font>
    <font>
      <sz val="10"/>
      <name val="Times New Roman"/>
      <family val="1"/>
    </font>
    <font>
      <u/>
      <sz val="10"/>
      <color theme="10"/>
      <name val="Tms Rmn"/>
    </font>
    <font>
      <u/>
      <sz val="10"/>
      <color theme="1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165" fontId="0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1" fillId="0" borderId="0" applyNumberFormat="0" applyFill="0" applyBorder="0" applyAlignment="0" applyProtection="0"/>
  </cellStyleXfs>
  <cellXfs count="188">
    <xf numFmtId="165" fontId="0" fillId="0" borderId="0" xfId="0"/>
    <xf numFmtId="0" fontId="2" fillId="0" borderId="0" xfId="2" applyFont="1" applyFill="1" applyAlignment="1">
      <alignment horizontal="centerContinuous"/>
    </xf>
    <xf numFmtId="0" fontId="2" fillId="0" borderId="0" xfId="2" applyFont="1" applyFill="1"/>
    <xf numFmtId="166" fontId="2" fillId="0" borderId="0" xfId="2" applyNumberFormat="1" applyFont="1" applyFill="1"/>
    <xf numFmtId="0" fontId="6" fillId="0" borderId="0" xfId="2" applyFont="1" applyFill="1" applyAlignment="1">
      <alignment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0" xfId="2" applyFont="1" applyFill="1" applyAlignment="1">
      <alignment vertical="center"/>
    </xf>
    <xf numFmtId="0" fontId="4" fillId="0" borderId="4" xfId="2" applyFont="1" applyFill="1" applyBorder="1" applyAlignment="1">
      <alignment horizontal="center" vertical="center"/>
    </xf>
    <xf numFmtId="15" fontId="4" fillId="0" borderId="4" xfId="2" quotePrefix="1" applyNumberFormat="1" applyFont="1" applyFill="1" applyBorder="1" applyAlignment="1">
      <alignment horizontal="center" vertical="center"/>
    </xf>
    <xf numFmtId="0" fontId="4" fillId="0" borderId="4" xfId="2" applyNumberFormat="1" applyFont="1" applyFill="1" applyBorder="1" applyAlignment="1">
      <alignment horizontal="center" vertical="center"/>
    </xf>
    <xf numFmtId="167" fontId="4" fillId="0" borderId="4" xfId="2" applyNumberFormat="1" applyFont="1" applyFill="1" applyBorder="1" applyAlignment="1">
      <alignment horizontal="center" vertical="center"/>
    </xf>
    <xf numFmtId="0" fontId="6" fillId="0" borderId="0" xfId="2" applyFont="1" applyFill="1" applyBorder="1" applyAlignment="1">
      <alignment vertical="center"/>
    </xf>
    <xf numFmtId="0" fontId="4" fillId="0" borderId="0" xfId="2" applyFont="1" applyFill="1" applyAlignment="1">
      <alignment vertical="center" wrapText="1"/>
    </xf>
    <xf numFmtId="0" fontId="4" fillId="0" borderId="4" xfId="1" applyNumberFormat="1" applyFont="1" applyFill="1" applyBorder="1" applyAlignment="1">
      <alignment vertical="center" wrapText="1"/>
    </xf>
    <xf numFmtId="0" fontId="4" fillId="0" borderId="4" xfId="0" applyNumberFormat="1" applyFont="1" applyFill="1" applyBorder="1" applyAlignment="1">
      <alignment vertical="center" wrapText="1"/>
    </xf>
    <xf numFmtId="0" fontId="6" fillId="0" borderId="6" xfId="2" applyFont="1" applyFill="1" applyBorder="1" applyAlignment="1">
      <alignment vertical="center"/>
    </xf>
    <xf numFmtId="0" fontId="6" fillId="0" borderId="7" xfId="2" applyFont="1" applyFill="1" applyBorder="1" applyAlignment="1">
      <alignment vertical="center"/>
    </xf>
    <xf numFmtId="0" fontId="6" fillId="0" borderId="8" xfId="2" applyFont="1" applyFill="1" applyBorder="1" applyAlignment="1">
      <alignment vertical="center"/>
    </xf>
    <xf numFmtId="0" fontId="6" fillId="0" borderId="3" xfId="2" applyFont="1" applyFill="1" applyBorder="1" applyAlignment="1">
      <alignment vertical="center"/>
    </xf>
    <xf numFmtId="0" fontId="6" fillId="0" borderId="9" xfId="2" applyFont="1" applyFill="1" applyBorder="1" applyAlignment="1">
      <alignment vertical="center"/>
    </xf>
    <xf numFmtId="0" fontId="6" fillId="0" borderId="10" xfId="2" applyFont="1" applyFill="1" applyBorder="1" applyAlignment="1">
      <alignment vertical="center"/>
    </xf>
    <xf numFmtId="0" fontId="6" fillId="0" borderId="11" xfId="2" applyFont="1" applyFill="1" applyBorder="1" applyAlignment="1">
      <alignment vertical="center"/>
    </xf>
    <xf numFmtId="167" fontId="4" fillId="0" borderId="15" xfId="2" applyNumberFormat="1" applyFont="1" applyFill="1" applyBorder="1" applyAlignment="1">
      <alignment horizontal="center" vertical="center"/>
    </xf>
    <xf numFmtId="0" fontId="2" fillId="0" borderId="0" xfId="2" applyFont="1" applyFill="1" applyAlignment="1">
      <alignment wrapText="1"/>
    </xf>
    <xf numFmtId="165" fontId="9" fillId="0" borderId="0" xfId="0" applyFont="1"/>
    <xf numFmtId="0" fontId="4" fillId="0" borderId="4" xfId="2" applyFont="1" applyFill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15" fontId="4" fillId="0" borderId="0" xfId="2" quotePrefix="1" applyNumberFormat="1" applyFont="1" applyFill="1" applyBorder="1" applyAlignment="1">
      <alignment horizontal="center" vertical="center"/>
    </xf>
    <xf numFmtId="0" fontId="4" fillId="0" borderId="0" xfId="2" applyNumberFormat="1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 wrapText="1"/>
    </xf>
    <xf numFmtId="0" fontId="5" fillId="5" borderId="5" xfId="2" applyFont="1" applyFill="1" applyBorder="1" applyAlignment="1">
      <alignment horizontal="centerContinuous" vertical="center"/>
    </xf>
    <xf numFmtId="166" fontId="5" fillId="5" borderId="5" xfId="2" applyNumberFormat="1" applyFont="1" applyFill="1" applyBorder="1" applyAlignment="1">
      <alignment horizontal="centerContinuous" vertical="center"/>
    </xf>
    <xf numFmtId="0" fontId="5" fillId="5" borderId="6" xfId="2" applyFont="1" applyFill="1" applyBorder="1" applyAlignment="1">
      <alignment horizontal="center" vertical="center"/>
    </xf>
    <xf numFmtId="166" fontId="5" fillId="5" borderId="5" xfId="2" applyNumberFormat="1" applyFont="1" applyFill="1" applyBorder="1" applyAlignment="1">
      <alignment horizontal="center" vertical="center"/>
    </xf>
    <xf numFmtId="0" fontId="5" fillId="5" borderId="5" xfId="2" applyFont="1" applyFill="1" applyBorder="1" applyAlignment="1">
      <alignment horizontal="centerContinuous" vertical="center" wrapText="1"/>
    </xf>
    <xf numFmtId="0" fontId="5" fillId="5" borderId="5" xfId="2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165" fontId="0" fillId="0" borderId="0" xfId="0" applyBorder="1"/>
    <xf numFmtId="165" fontId="4" fillId="0" borderId="0" xfId="0" applyFont="1" applyFill="1" applyBorder="1" applyAlignment="1">
      <alignment horizontal="center" vertical="center"/>
    </xf>
    <xf numFmtId="15" fontId="4" fillId="0" borderId="0" xfId="2" quotePrefix="1" applyNumberFormat="1" applyFont="1" applyFill="1" applyBorder="1" applyAlignment="1" applyProtection="1">
      <alignment horizontal="center" vertical="center"/>
    </xf>
    <xf numFmtId="165" fontId="0" fillId="0" borderId="0" xfId="0" applyFill="1" applyBorder="1"/>
    <xf numFmtId="165" fontId="9" fillId="0" borderId="0" xfId="0" applyFont="1" applyFill="1" applyBorder="1" applyAlignment="1">
      <alignment horizontal="center"/>
    </xf>
    <xf numFmtId="0" fontId="4" fillId="0" borderId="0" xfId="2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3" borderId="4" xfId="0" applyNumberFormat="1" applyFont="1" applyFill="1" applyBorder="1" applyAlignment="1">
      <alignment vertical="center" wrapText="1"/>
    </xf>
    <xf numFmtId="0" fontId="4" fillId="4" borderId="4" xfId="0" applyNumberFormat="1" applyFont="1" applyFill="1" applyBorder="1" applyAlignment="1">
      <alignment horizontal="center" vertical="center" wrapText="1"/>
    </xf>
    <xf numFmtId="165" fontId="10" fillId="0" borderId="0" xfId="0" applyFont="1" applyAlignment="1">
      <alignment vertical="center" wrapText="1"/>
    </xf>
    <xf numFmtId="165" fontId="4" fillId="0" borderId="4" xfId="0" applyFont="1" applyBorder="1" applyAlignment="1">
      <alignment vertical="center" wrapText="1"/>
    </xf>
    <xf numFmtId="165" fontId="4" fillId="0" borderId="4" xfId="0" applyFont="1" applyBorder="1" applyAlignment="1">
      <alignment vertical="center"/>
    </xf>
    <xf numFmtId="0" fontId="4" fillId="0" borderId="4" xfId="2" applyFont="1" applyFill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 wrapText="1"/>
    </xf>
    <xf numFmtId="166" fontId="5" fillId="5" borderId="5" xfId="2" applyNumberFormat="1" applyFont="1" applyFill="1" applyBorder="1" applyAlignment="1">
      <alignment horizontal="centerContinuous" vertical="center" wrapText="1"/>
    </xf>
    <xf numFmtId="0" fontId="3" fillId="3" borderId="13" xfId="2" applyNumberFormat="1" applyFont="1" applyFill="1" applyBorder="1" applyAlignment="1">
      <alignment vertical="center"/>
    </xf>
    <xf numFmtId="0" fontId="3" fillId="3" borderId="14" xfId="2" applyNumberFormat="1" applyFont="1" applyFill="1" applyBorder="1" applyAlignment="1">
      <alignment vertical="center"/>
    </xf>
    <xf numFmtId="0" fontId="7" fillId="3" borderId="15" xfId="1" applyNumberFormat="1" applyFont="1" applyFill="1" applyBorder="1" applyAlignment="1">
      <alignment vertical="center"/>
    </xf>
    <xf numFmtId="0" fontId="7" fillId="3" borderId="17" xfId="1" applyNumberFormat="1" applyFont="1" applyFill="1" applyBorder="1" applyAlignment="1">
      <alignment vertical="center"/>
    </xf>
    <xf numFmtId="0" fontId="3" fillId="3" borderId="15" xfId="1" applyNumberFormat="1" applyFont="1" applyFill="1" applyBorder="1" applyAlignment="1">
      <alignment vertical="center"/>
    </xf>
    <xf numFmtId="0" fontId="3" fillId="3" borderId="17" xfId="1" applyNumberFormat="1" applyFont="1" applyFill="1" applyBorder="1" applyAlignment="1">
      <alignment vertical="center"/>
    </xf>
    <xf numFmtId="0" fontId="4" fillId="0" borderId="0" xfId="2" applyFont="1" applyFill="1"/>
    <xf numFmtId="0" fontId="4" fillId="0" borderId="0" xfId="2" applyFont="1" applyFill="1" applyAlignment="1">
      <alignment horizontal="centerContinuous"/>
    </xf>
    <xf numFmtId="166" fontId="4" fillId="0" borderId="0" xfId="2" applyNumberFormat="1" applyFont="1" applyFill="1"/>
    <xf numFmtId="0" fontId="4" fillId="0" borderId="0" xfId="2" applyFont="1" applyFill="1" applyAlignment="1">
      <alignment wrapText="1"/>
    </xf>
    <xf numFmtId="0" fontId="5" fillId="0" borderId="0" xfId="2" applyFont="1" applyFill="1" applyAlignment="1">
      <alignment vertical="center"/>
    </xf>
    <xf numFmtId="166" fontId="5" fillId="0" borderId="0" xfId="2" applyNumberFormat="1" applyFont="1" applyFill="1" applyAlignment="1">
      <alignment vertical="center"/>
    </xf>
    <xf numFmtId="0" fontId="6" fillId="0" borderId="0" xfId="2" applyFont="1" applyFill="1" applyBorder="1" applyAlignment="1">
      <alignment horizontal="centerContinuous" vertical="center"/>
    </xf>
    <xf numFmtId="0" fontId="6" fillId="0" borderId="11" xfId="2" applyFont="1" applyFill="1" applyBorder="1" applyAlignment="1">
      <alignment horizontal="centerContinuous" vertical="center"/>
    </xf>
    <xf numFmtId="0" fontId="6" fillId="0" borderId="7" xfId="2" applyFont="1" applyFill="1" applyBorder="1" applyAlignment="1">
      <alignment horizontal="centerContinuous" vertical="center"/>
    </xf>
    <xf numFmtId="0" fontId="3" fillId="0" borderId="7" xfId="2" applyNumberFormat="1" applyFont="1" applyFill="1" applyBorder="1" applyAlignment="1">
      <alignment horizontal="centerContinuous" vertical="center"/>
    </xf>
    <xf numFmtId="0" fontId="3" fillId="0" borderId="8" xfId="2" applyNumberFormat="1" applyFont="1" applyFill="1" applyBorder="1" applyAlignment="1">
      <alignment horizontal="centerContinuous" vertical="center"/>
    </xf>
    <xf numFmtId="0" fontId="7" fillId="0" borderId="0" xfId="1" applyNumberFormat="1" applyFont="1" applyFill="1" applyBorder="1" applyAlignment="1">
      <alignment horizontal="centerContinuous" vertical="center"/>
    </xf>
    <xf numFmtId="0" fontId="7" fillId="0" borderId="9" xfId="1" applyNumberFormat="1" applyFont="1" applyFill="1" applyBorder="1" applyAlignment="1">
      <alignment horizontal="centerContinuous" vertical="center"/>
    </xf>
    <xf numFmtId="0" fontId="3" fillId="0" borderId="0" xfId="1" applyNumberFormat="1" applyFont="1" applyFill="1" applyBorder="1" applyAlignment="1">
      <alignment horizontal="centerContinuous" vertical="center"/>
    </xf>
    <xf numFmtId="0" fontId="3" fillId="0" borderId="9" xfId="1" applyNumberFormat="1" applyFont="1" applyFill="1" applyBorder="1" applyAlignment="1">
      <alignment horizontal="centerContinuous" vertical="center"/>
    </xf>
    <xf numFmtId="0" fontId="3" fillId="0" borderId="11" xfId="1" applyNumberFormat="1" applyFont="1" applyFill="1" applyBorder="1" applyAlignment="1">
      <alignment horizontal="centerContinuous" vertical="center"/>
    </xf>
    <xf numFmtId="0" fontId="3" fillId="0" borderId="12" xfId="1" applyNumberFormat="1" applyFont="1" applyFill="1" applyBorder="1" applyAlignment="1">
      <alignment horizontal="centerContinuous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left"/>
    </xf>
    <xf numFmtId="0" fontId="4" fillId="0" borderId="4" xfId="2" applyFont="1" applyFill="1" applyBorder="1" applyAlignment="1">
      <alignment horizontal="left" wrapText="1"/>
    </xf>
    <xf numFmtId="166" fontId="4" fillId="0" borderId="4" xfId="2" applyNumberFormat="1" applyFont="1" applyFill="1" applyBorder="1" applyAlignment="1">
      <alignment horizontal="left"/>
    </xf>
    <xf numFmtId="166" fontId="4" fillId="0" borderId="4" xfId="2" applyNumberFormat="1" applyFont="1" applyFill="1" applyBorder="1" applyAlignment="1">
      <alignment horizontal="center"/>
    </xf>
    <xf numFmtId="0" fontId="5" fillId="5" borderId="5" xfId="2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11" fillId="0" borderId="4" xfId="4" applyNumberFormat="1" applyFill="1" applyBorder="1" applyAlignment="1">
      <alignment horizontal="center"/>
    </xf>
    <xf numFmtId="0" fontId="4" fillId="0" borderId="4" xfId="2" applyFont="1" applyFill="1" applyBorder="1" applyAlignment="1">
      <alignment horizontal="center"/>
    </xf>
    <xf numFmtId="166" fontId="4" fillId="2" borderId="4" xfId="2" applyNumberFormat="1" applyFont="1" applyFill="1" applyBorder="1" applyAlignment="1">
      <alignment horizontal="left"/>
    </xf>
    <xf numFmtId="0" fontId="12" fillId="0" borderId="4" xfId="4" applyNumberFormat="1" applyFont="1" applyFill="1" applyBorder="1" applyAlignment="1">
      <alignment horizontal="center" vertical="center"/>
    </xf>
    <xf numFmtId="0" fontId="8" fillId="0" borderId="4" xfId="2" applyFont="1" applyFill="1" applyBorder="1" applyAlignment="1">
      <alignment horizontal="center"/>
    </xf>
    <xf numFmtId="0" fontId="11" fillId="0" borderId="0" xfId="4" applyNumberForma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left"/>
    </xf>
    <xf numFmtId="166" fontId="4" fillId="0" borderId="0" xfId="2" applyNumberFormat="1" applyFont="1" applyFill="1" applyBorder="1" applyAlignment="1">
      <alignment horizontal="center"/>
    </xf>
    <xf numFmtId="0" fontId="12" fillId="0" borderId="0" xfId="4" applyNumberFormat="1" applyFont="1" applyFill="1" applyBorder="1" applyAlignment="1">
      <alignment horizontal="center" vertical="center"/>
    </xf>
    <xf numFmtId="166" fontId="4" fillId="0" borderId="0" xfId="2" applyNumberFormat="1" applyFont="1" applyFill="1" applyBorder="1" applyAlignment="1">
      <alignment horizontal="left"/>
    </xf>
    <xf numFmtId="0" fontId="8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left" wrapText="1"/>
    </xf>
    <xf numFmtId="0" fontId="4" fillId="0" borderId="5" xfId="2" applyFont="1" applyFill="1" applyBorder="1" applyAlignment="1">
      <alignment horizontal="left"/>
    </xf>
    <xf numFmtId="0" fontId="11" fillId="0" borderId="5" xfId="4" applyNumberFormat="1" applyFill="1" applyBorder="1" applyAlignment="1">
      <alignment horizontal="center"/>
    </xf>
    <xf numFmtId="0" fontId="4" fillId="0" borderId="5" xfId="2" applyFont="1" applyFill="1" applyBorder="1" applyAlignment="1">
      <alignment horizontal="center"/>
    </xf>
    <xf numFmtId="166" fontId="4" fillId="0" borderId="5" xfId="2" applyNumberFormat="1" applyFont="1" applyFill="1" applyBorder="1" applyAlignment="1">
      <alignment horizontal="center"/>
    </xf>
    <xf numFmtId="166" fontId="4" fillId="0" borderId="5" xfId="2" applyNumberFormat="1" applyFont="1" applyFill="1" applyBorder="1" applyAlignment="1">
      <alignment horizontal="left"/>
    </xf>
    <xf numFmtId="0" fontId="8" fillId="0" borderId="5" xfId="2" applyFont="1" applyFill="1" applyBorder="1" applyAlignment="1">
      <alignment horizontal="center"/>
    </xf>
    <xf numFmtId="0" fontId="4" fillId="0" borderId="5" xfId="2" applyFont="1" applyFill="1" applyBorder="1" applyAlignment="1">
      <alignment horizontal="left" wrapText="1"/>
    </xf>
    <xf numFmtId="0" fontId="4" fillId="0" borderId="4" xfId="2" applyFont="1" applyFill="1" applyBorder="1"/>
    <xf numFmtId="165" fontId="4" fillId="0" borderId="4" xfId="0" applyFont="1" applyBorder="1" applyAlignment="1"/>
    <xf numFmtId="0" fontId="4" fillId="0" borderId="4" xfId="2" applyFont="1" applyFill="1" applyBorder="1" applyAlignment="1">
      <alignment horizontal="left" vertical="center"/>
    </xf>
    <xf numFmtId="165" fontId="4" fillId="0" borderId="0" xfId="0" applyFont="1" applyBorder="1" applyAlignment="1"/>
    <xf numFmtId="0" fontId="4" fillId="0" borderId="0" xfId="2" applyFont="1" applyFill="1" applyBorder="1" applyAlignment="1">
      <alignment horizontal="left" vertical="center"/>
    </xf>
    <xf numFmtId="0" fontId="4" fillId="0" borderId="0" xfId="2" applyFont="1" applyFill="1" applyBorder="1"/>
    <xf numFmtId="0" fontId="4" fillId="0" borderId="0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left" vertical="center"/>
    </xf>
    <xf numFmtId="0" fontId="4" fillId="0" borderId="1" xfId="2" applyFont="1" applyFill="1" applyBorder="1" applyAlignment="1">
      <alignment horizontal="left" vertical="center"/>
    </xf>
    <xf numFmtId="0" fontId="4" fillId="0" borderId="5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5" fillId="5" borderId="4" xfId="2" applyFont="1" applyFill="1" applyBorder="1" applyAlignment="1">
      <alignment horizontal="center" vertical="center" wrapText="1"/>
    </xf>
    <xf numFmtId="0" fontId="5" fillId="5" borderId="5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left" vertical="center"/>
    </xf>
    <xf numFmtId="0" fontId="4" fillId="0" borderId="5" xfId="2" applyFont="1" applyFill="1" applyBorder="1" applyAlignment="1">
      <alignment horizontal="left" vertical="center" wrapText="1"/>
    </xf>
    <xf numFmtId="0" fontId="4" fillId="0" borderId="2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horizontal="left" vertical="center" wrapText="1"/>
    </xf>
    <xf numFmtId="0" fontId="5" fillId="5" borderId="2" xfId="2" applyFont="1" applyFill="1" applyBorder="1" applyAlignment="1">
      <alignment horizontal="center" vertical="center" wrapText="1"/>
    </xf>
    <xf numFmtId="0" fontId="5" fillId="5" borderId="15" xfId="2" applyFont="1" applyFill="1" applyBorder="1" applyAlignment="1">
      <alignment horizontal="center" vertical="center" wrapText="1"/>
    </xf>
    <xf numFmtId="0" fontId="5" fillId="5" borderId="16" xfId="2" applyFont="1" applyFill="1" applyBorder="1" applyAlignment="1">
      <alignment horizontal="center" vertical="center" wrapText="1"/>
    </xf>
    <xf numFmtId="0" fontId="5" fillId="5" borderId="17" xfId="2" applyFont="1" applyFill="1" applyBorder="1" applyAlignment="1">
      <alignment horizontal="center" vertical="center" wrapText="1"/>
    </xf>
    <xf numFmtId="0" fontId="5" fillId="5" borderId="6" xfId="2" applyFont="1" applyFill="1" applyBorder="1" applyAlignment="1">
      <alignment horizontal="center" vertical="center"/>
    </xf>
    <xf numFmtId="0" fontId="5" fillId="5" borderId="7" xfId="2" applyFont="1" applyFill="1" applyBorder="1" applyAlignment="1">
      <alignment horizontal="center" vertical="center"/>
    </xf>
    <xf numFmtId="0" fontId="5" fillId="5" borderId="8" xfId="2" applyFont="1" applyFill="1" applyBorder="1" applyAlignment="1">
      <alignment horizontal="center" vertical="center"/>
    </xf>
    <xf numFmtId="0" fontId="5" fillId="5" borderId="10" xfId="2" applyFont="1" applyFill="1" applyBorder="1" applyAlignment="1">
      <alignment horizontal="center" vertical="center"/>
    </xf>
    <xf numFmtId="0" fontId="5" fillId="5" borderId="11" xfId="2" applyFont="1" applyFill="1" applyBorder="1" applyAlignment="1">
      <alignment horizontal="center" vertical="center"/>
    </xf>
    <xf numFmtId="0" fontId="5" fillId="5" borderId="12" xfId="2" applyFont="1" applyFill="1" applyBorder="1" applyAlignment="1">
      <alignment horizontal="center" vertical="center"/>
    </xf>
    <xf numFmtId="0" fontId="5" fillId="5" borderId="6" xfId="2" applyFont="1" applyFill="1" applyBorder="1" applyAlignment="1">
      <alignment horizontal="center" vertical="center" wrapText="1"/>
    </xf>
    <xf numFmtId="0" fontId="5" fillId="5" borderId="7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5" borderId="10" xfId="2" applyFont="1" applyFill="1" applyBorder="1" applyAlignment="1">
      <alignment horizontal="center" vertical="center" wrapText="1"/>
    </xf>
    <xf numFmtId="0" fontId="5" fillId="5" borderId="11" xfId="2" applyFont="1" applyFill="1" applyBorder="1" applyAlignment="1">
      <alignment horizontal="center" vertical="center" wrapText="1"/>
    </xf>
    <xf numFmtId="0" fontId="5" fillId="5" borderId="12" xfId="2" applyFont="1" applyFill="1" applyBorder="1" applyAlignment="1">
      <alignment horizontal="center" vertical="center" wrapText="1"/>
    </xf>
    <xf numFmtId="0" fontId="6" fillId="0" borderId="7" xfId="2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6" fillId="0" borderId="11" xfId="2" applyFont="1" applyFill="1" applyBorder="1" applyAlignment="1">
      <alignment horizontal="center" vertical="center"/>
    </xf>
    <xf numFmtId="0" fontId="5" fillId="5" borderId="4" xfId="2" applyFont="1" applyFill="1" applyBorder="1" applyAlignment="1">
      <alignment horizontal="center" vertical="center"/>
    </xf>
    <xf numFmtId="0" fontId="5" fillId="5" borderId="5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left"/>
    </xf>
    <xf numFmtId="0" fontId="4" fillId="0" borderId="1" xfId="2" applyFont="1" applyFill="1" applyBorder="1" applyAlignment="1">
      <alignment horizontal="left"/>
    </xf>
    <xf numFmtId="165" fontId="4" fillId="0" borderId="5" xfId="0" applyFont="1" applyBorder="1" applyAlignment="1">
      <alignment horizontal="left"/>
    </xf>
    <xf numFmtId="165" fontId="4" fillId="0" borderId="1" xfId="0" applyFont="1" applyBorder="1" applyAlignment="1">
      <alignment horizontal="left"/>
    </xf>
    <xf numFmtId="0" fontId="5" fillId="5" borderId="1" xfId="2" applyFont="1" applyFill="1" applyBorder="1" applyAlignment="1">
      <alignment horizontal="center" vertical="center" wrapText="1"/>
    </xf>
    <xf numFmtId="0" fontId="6" fillId="0" borderId="6" xfId="2" applyFont="1" applyFill="1" applyBorder="1" applyAlignment="1">
      <alignment horizontal="center" vertical="center"/>
    </xf>
    <xf numFmtId="0" fontId="6" fillId="0" borderId="3" xfId="2" applyFont="1" applyFill="1" applyBorder="1" applyAlignment="1">
      <alignment horizontal="center" vertical="center"/>
    </xf>
    <xf numFmtId="0" fontId="6" fillId="0" borderId="10" xfId="2" applyFont="1" applyFill="1" applyBorder="1" applyAlignment="1">
      <alignment horizontal="center" vertical="center"/>
    </xf>
    <xf numFmtId="165" fontId="4" fillId="5" borderId="2" xfId="0" applyFont="1" applyFill="1" applyBorder="1" applyAlignment="1">
      <alignment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center" vertical="center"/>
    </xf>
    <xf numFmtId="165" fontId="4" fillId="5" borderId="4" xfId="0" applyFont="1" applyFill="1" applyBorder="1" applyAlignment="1">
      <alignment horizontal="center" wrapText="1"/>
    </xf>
    <xf numFmtId="165" fontId="4" fillId="5" borderId="4" xfId="0" applyFont="1" applyFill="1" applyBorder="1"/>
  </cellXfs>
  <cellStyles count="5">
    <cellStyle name="Comma" xfId="1" builtinId="3"/>
    <cellStyle name="Comma 2" xfId="3"/>
    <cellStyle name="Hyperlink" xfId="4" builtinId="8"/>
    <cellStyle name="Normal" xfId="0" builtinId="0"/>
    <cellStyle name="Normal_1116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47625</xdr:rowOff>
    </xdr:from>
    <xdr:to>
      <xdr:col>1</xdr:col>
      <xdr:colOff>935486</xdr:colOff>
      <xdr:row>4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5" y="47625"/>
          <a:ext cx="2036" cy="94297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133349</xdr:colOff>
      <xdr:row>0</xdr:row>
      <xdr:rowOff>205189</xdr:rowOff>
    </xdr:from>
    <xdr:to>
      <xdr:col>1</xdr:col>
      <xdr:colOff>990600</xdr:colOff>
      <xdr:row>3</xdr:row>
      <xdr:rowOff>26670</xdr:rowOff>
    </xdr:to>
    <xdr:pic>
      <xdr:nvPicPr>
        <xdr:cNvPr id="5" name="Picture 4" descr="ADMA-OPCO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349" y="205189"/>
          <a:ext cx="1371601" cy="593006"/>
        </a:xfrm>
        <a:prstGeom prst="rect">
          <a:avLst/>
        </a:prstGeom>
      </xdr:spPr>
    </xdr:pic>
    <xdr:clientData/>
  </xdr:twoCellAnchor>
  <xdr:twoCellAnchor editAs="oneCell">
    <xdr:from>
      <xdr:col>1</xdr:col>
      <xdr:colOff>1304925</xdr:colOff>
      <xdr:row>1</xdr:row>
      <xdr:rowOff>15951</xdr:rowOff>
    </xdr:from>
    <xdr:to>
      <xdr:col>1</xdr:col>
      <xdr:colOff>3030311</xdr:colOff>
      <xdr:row>3</xdr:row>
      <xdr:rowOff>13334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3126"/>
          <a:ext cx="1725386" cy="5117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47625</xdr:rowOff>
    </xdr:from>
    <xdr:to>
      <xdr:col>1</xdr:col>
      <xdr:colOff>2036</xdr:colOff>
      <xdr:row>4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47625"/>
          <a:ext cx="2036" cy="981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47625</xdr:rowOff>
    </xdr:from>
    <xdr:to>
      <xdr:col>1</xdr:col>
      <xdr:colOff>2036</xdr:colOff>
      <xdr:row>4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47625"/>
          <a:ext cx="2036" cy="981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82301</xdr:rowOff>
    </xdr:from>
    <xdr:to>
      <xdr:col>1</xdr:col>
      <xdr:colOff>1361</xdr:colOff>
      <xdr:row>3</xdr:row>
      <xdr:rowOff>51434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740" y="339476"/>
          <a:ext cx="1630136" cy="483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47625</xdr:rowOff>
    </xdr:from>
    <xdr:to>
      <xdr:col>1</xdr:col>
      <xdr:colOff>935486</xdr:colOff>
      <xdr:row>4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5" y="47625"/>
          <a:ext cx="2036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933450</xdr:colOff>
      <xdr:row>0</xdr:row>
      <xdr:rowOff>47625</xdr:rowOff>
    </xdr:from>
    <xdr:to>
      <xdr:col>1</xdr:col>
      <xdr:colOff>935486</xdr:colOff>
      <xdr:row>4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5" y="47625"/>
          <a:ext cx="2036" cy="94297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161924</xdr:colOff>
      <xdr:row>0</xdr:row>
      <xdr:rowOff>251022</xdr:rowOff>
    </xdr:from>
    <xdr:to>
      <xdr:col>1</xdr:col>
      <xdr:colOff>1123950</xdr:colOff>
      <xdr:row>3</xdr:row>
      <xdr:rowOff>121920</xdr:rowOff>
    </xdr:to>
    <xdr:pic>
      <xdr:nvPicPr>
        <xdr:cNvPr id="8" name="Picture 7" descr="ADMA-OPCO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1924" y="251022"/>
          <a:ext cx="1485901" cy="642423"/>
        </a:xfrm>
        <a:prstGeom prst="rect">
          <a:avLst/>
        </a:prstGeom>
      </xdr:spPr>
    </xdr:pic>
    <xdr:clientData/>
  </xdr:twoCellAnchor>
  <xdr:twoCellAnchor editAs="oneCell">
    <xdr:from>
      <xdr:col>1</xdr:col>
      <xdr:colOff>1417865</xdr:colOff>
      <xdr:row>1</xdr:row>
      <xdr:rowOff>82301</xdr:rowOff>
    </xdr:from>
    <xdr:to>
      <xdr:col>1</xdr:col>
      <xdr:colOff>3048001</xdr:colOff>
      <xdr:row>3</xdr:row>
      <xdr:rowOff>51434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8390" y="339476"/>
          <a:ext cx="1630136" cy="483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MOORING%20ANALYSIS\TAE%20DECK%20INSTALLATION\TAE%20DECK\REPORT" TargetMode="External"/><Relationship Id="rId18" Type="http://schemas.openxmlformats.org/officeDocument/2006/relationships/hyperlink" Target="..\MOORING%20ANALYSIS\SEP-650%20AT%20B14\REV-1" TargetMode="External"/><Relationship Id="rId26" Type="http://schemas.openxmlformats.org/officeDocument/2006/relationships/hyperlink" Target="..\MOORING%20ANALYSIS\SEP-250%20MOORING%20ANALYSIS%20@TA\COMMENTS\REV-3\CLIENT" TargetMode="External"/><Relationship Id="rId39" Type="http://schemas.openxmlformats.org/officeDocument/2006/relationships/hyperlink" Target="..\MOORING%20ANALYSIS\JB-118%20AT%20HAP\REV-1\COMMENTS\CLIENT" TargetMode="External"/><Relationship Id="rId3" Type="http://schemas.openxmlformats.org/officeDocument/2006/relationships/hyperlink" Target="..\MOORING%20ANALYSIS\SEP-250%20MOORING%20ANALYSIS%20@TA\REV-1" TargetMode="External"/><Relationship Id="rId21" Type="http://schemas.openxmlformats.org/officeDocument/2006/relationships/hyperlink" Target="..\MOORING%20ANALYSIS\SEP-650%20AT%20WIP\REV-1\COMMENTS\CLIENT" TargetMode="External"/><Relationship Id="rId34" Type="http://schemas.openxmlformats.org/officeDocument/2006/relationships/hyperlink" Target="..\MOORING%20ANALYSIS\WORKBOAT%20@B14NGTP\REV-3" TargetMode="External"/><Relationship Id="rId42" Type="http://schemas.openxmlformats.org/officeDocument/2006/relationships/hyperlink" Target="..\MOORING%20ANALYSIS\SEP-350%20AT%20ABK\REV-1\COMMENTS" TargetMode="External"/><Relationship Id="rId47" Type="http://schemas.openxmlformats.org/officeDocument/2006/relationships/hyperlink" Target="..\MOORING%20ANALYSIS\SEP-650%20AT%20GTP\REV-2" TargetMode="External"/><Relationship Id="rId50" Type="http://schemas.openxmlformats.org/officeDocument/2006/relationships/hyperlink" Target="..\MOORING%20ANALYSIS\SEP-350%20AT%20ABK\REV-2\COMMENTS" TargetMode="External"/><Relationship Id="rId7" Type="http://schemas.openxmlformats.org/officeDocument/2006/relationships/hyperlink" Target="..\MOORING%20ANALYSIS\TAE%20JACKET%20INSTALLATION" TargetMode="External"/><Relationship Id="rId12" Type="http://schemas.openxmlformats.org/officeDocument/2006/relationships/hyperlink" Target="..\MOORING%20ANALYSIS\SEP-250%20AT%20S7\REV-1\COMMENTS\CLIENT" TargetMode="External"/><Relationship Id="rId17" Type="http://schemas.openxmlformats.org/officeDocument/2006/relationships/hyperlink" Target="..\MOORING%20ANALYSIS\SEP-650%20AT%20WIP\REV-1" TargetMode="External"/><Relationship Id="rId25" Type="http://schemas.openxmlformats.org/officeDocument/2006/relationships/hyperlink" Target="..\MOORING%20ANALYSIS\SEP-250%20MOORING%20ANALYSIS%20@TA\REV-3" TargetMode="External"/><Relationship Id="rId33" Type="http://schemas.openxmlformats.org/officeDocument/2006/relationships/hyperlink" Target="..\MOORING%20ANALYSIS\SEP-650%20AT%20US-58\REV-1" TargetMode="External"/><Relationship Id="rId38" Type="http://schemas.openxmlformats.org/officeDocument/2006/relationships/hyperlink" Target="..\MOORING%20ANALYSIS\JB-118%20AT%20HAP\REV-2" TargetMode="External"/><Relationship Id="rId46" Type="http://schemas.openxmlformats.org/officeDocument/2006/relationships/hyperlink" Target="..\MOORING%20ANALYSIS\SEP-650%20AT%20GTP\REV-1" TargetMode="External"/><Relationship Id="rId2" Type="http://schemas.openxmlformats.org/officeDocument/2006/relationships/hyperlink" Target="..\MOORING%20ANALYSIS\SEP-250%20MOORING%20ANALYSIS%20AT%20ABK-TIP\REV-0\REPORT-PDF" TargetMode="External"/><Relationship Id="rId16" Type="http://schemas.openxmlformats.org/officeDocument/2006/relationships/hyperlink" Target="..\MOORING%20ANALYSIS\TAE%20DECK%20INSTALLATION\TAE%20DECK\COMMENTS\CLIENT" TargetMode="External"/><Relationship Id="rId20" Type="http://schemas.openxmlformats.org/officeDocument/2006/relationships/hyperlink" Target="..\MOORING%20ANALYSIS\SEP-650%20AT%20B14\REV-2" TargetMode="External"/><Relationship Id="rId29" Type="http://schemas.openxmlformats.org/officeDocument/2006/relationships/hyperlink" Target="..\MOORING%20ANALYSIS\WORKBOAT%20@B14NGTP\REV-1" TargetMode="External"/><Relationship Id="rId41" Type="http://schemas.openxmlformats.org/officeDocument/2006/relationships/hyperlink" Target="..\MOORING%20ANALYSIS\WORKBOAT%20AT%20B11%20BRIDGE\REV-1" TargetMode="External"/><Relationship Id="rId1" Type="http://schemas.openxmlformats.org/officeDocument/2006/relationships/hyperlink" Target="..\MOORING%20ANALYSIS\TAE%20JACKET%20INSTALLATION" TargetMode="External"/><Relationship Id="rId6" Type="http://schemas.openxmlformats.org/officeDocument/2006/relationships/hyperlink" Target="..\MOORING%20ANALYSIS\TAE%20JACKET%20INSTALLATION\COMMENTS\REV-1\CLIENT" TargetMode="External"/><Relationship Id="rId11" Type="http://schemas.openxmlformats.org/officeDocument/2006/relationships/hyperlink" Target="..\MOORING%20ANALYSIS\TAE%20JACKET%20INSTALLATION\COMMENTS\REV-3\CLIENT" TargetMode="External"/><Relationship Id="rId24" Type="http://schemas.openxmlformats.org/officeDocument/2006/relationships/hyperlink" Target="..\MOORING%20ANALYSIS\SEP-250%20MOORING%20ANALYSIS%20@TA\REV-2" TargetMode="External"/><Relationship Id="rId32" Type="http://schemas.openxmlformats.org/officeDocument/2006/relationships/hyperlink" Target="..\MOORING%20ANALYSIS\SEP-650%20AT%20WIP\REV-3" TargetMode="External"/><Relationship Id="rId37" Type="http://schemas.openxmlformats.org/officeDocument/2006/relationships/hyperlink" Target="..\MOORING%20ANALYSIS\SEP-250%20MOORING%20AT%20US%20216\COMMENTS\CLIENT" TargetMode="External"/><Relationship Id="rId40" Type="http://schemas.openxmlformats.org/officeDocument/2006/relationships/hyperlink" Target="..\MOORING%20ANALYSIS\WORKBOAT%20@B14NGTP\REV-3\COMMENTS\CLIENT" TargetMode="External"/><Relationship Id="rId45" Type="http://schemas.openxmlformats.org/officeDocument/2006/relationships/hyperlink" Target="..\MOORING%20ANALYSIS\SEP-350%20AT%20ABK\REV-2" TargetMode="External"/><Relationship Id="rId53" Type="http://schemas.openxmlformats.org/officeDocument/2006/relationships/drawing" Target="../drawings/drawing1.xml"/><Relationship Id="rId5" Type="http://schemas.openxmlformats.org/officeDocument/2006/relationships/hyperlink" Target="..\MOORING%20ANALYSIS\SEP-250%20MOORING%20ANALYSIS%20AT%20ABK-TIP\REV-1\COMMENTS\MWS" TargetMode="External"/><Relationship Id="rId15" Type="http://schemas.openxmlformats.org/officeDocument/2006/relationships/hyperlink" Target="..\MOORING%20ANALYSIS\ABK%20TABLE%20TOP%20INSTALLATION\REV%202\REPORT" TargetMode="External"/><Relationship Id="rId23" Type="http://schemas.openxmlformats.org/officeDocument/2006/relationships/hyperlink" Target="..\MOORING%20ANALYSIS\SEP-650%20AT%20WIP\REV-2\REPORT" TargetMode="External"/><Relationship Id="rId28" Type="http://schemas.openxmlformats.org/officeDocument/2006/relationships/hyperlink" Target="..\MOORING%20ANALYSIS\SEP-250%20MOORING%20AT%20US%20216\REPORT" TargetMode="External"/><Relationship Id="rId36" Type="http://schemas.openxmlformats.org/officeDocument/2006/relationships/hyperlink" Target="..\MOORING%20ANALYSIS\SEP-650%20AT%20WIP\REV-3\COMMENTS\CLIENT" TargetMode="External"/><Relationship Id="rId49" Type="http://schemas.openxmlformats.org/officeDocument/2006/relationships/hyperlink" Target="..\MOORING%20ANALYSIS\SEP-650%20AT%20GTP\REV-2\COMMENTS" TargetMode="External"/><Relationship Id="rId10" Type="http://schemas.openxmlformats.org/officeDocument/2006/relationships/hyperlink" Target="..\MOORING%20ANALYSIS\SEP-250%20MOORING%20ANALYSIS%20@TA\COMMENTS\REV-1\CLIENT" TargetMode="External"/><Relationship Id="rId19" Type="http://schemas.openxmlformats.org/officeDocument/2006/relationships/hyperlink" Target="..\MOORING%20ANALYSIS\SEP-650%20AT%20B14\REV-1\COMMENTS\CLIENT" TargetMode="External"/><Relationship Id="rId31" Type="http://schemas.openxmlformats.org/officeDocument/2006/relationships/hyperlink" Target="..\MOORING%20ANALYSIS\WORKBOAT%20@B14NGTP\REV-2\COMMENTS\CLIENT" TargetMode="External"/><Relationship Id="rId44" Type="http://schemas.openxmlformats.org/officeDocument/2006/relationships/hyperlink" Target="..\MOORING%20ANALYSIS\JB-118%20AT%20HAP\REV-2\COMMENTS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..\PIPELINE%20&amp;%20CABLES\COMPOSITE%20CABLES%20INSTALLATION\REV-1" TargetMode="External"/><Relationship Id="rId9" Type="http://schemas.openxmlformats.org/officeDocument/2006/relationships/hyperlink" Target="..\PIPELINE%20&amp;%20CABLES\COMPOSITE%20CABLES%20INSTALLATION\REV-1\COMMENTS\CLIENT" TargetMode="External"/><Relationship Id="rId14" Type="http://schemas.openxmlformats.org/officeDocument/2006/relationships/hyperlink" Target="..\MOORING%20ANALYSIS\ABK%20TABLE%20TOP%20INSTALLATION\REPORT" TargetMode="External"/><Relationship Id="rId22" Type="http://schemas.openxmlformats.org/officeDocument/2006/relationships/hyperlink" Target="..\MOORING%20ANALYSIS\ABK%20TABLE%20TOP%20INSTALLATION\REV%202\COMMENTS\CLIENT" TargetMode="External"/><Relationship Id="rId27" Type="http://schemas.openxmlformats.org/officeDocument/2006/relationships/hyperlink" Target="..\MOORING%20ANALYSIS\SEP-650%20AT%20WIP\REV-2\COMMENT\CLIENT" TargetMode="External"/><Relationship Id="rId30" Type="http://schemas.openxmlformats.org/officeDocument/2006/relationships/hyperlink" Target="..\MOORING%20ANALYSIS\WORKBOAT%20@B14NGTP\REV-2" TargetMode="External"/><Relationship Id="rId35" Type="http://schemas.openxmlformats.org/officeDocument/2006/relationships/hyperlink" Target="..\MOORING%20ANALYSIS\SEP-650%20AT%20US-58\REV-1\COMMENTS" TargetMode="External"/><Relationship Id="rId43" Type="http://schemas.openxmlformats.org/officeDocument/2006/relationships/hyperlink" Target="..\MOORING%20ANALYSIS\WORKBOAT%20AT%20B11%20BRIDGE\REV-1\COMMENTS" TargetMode="External"/><Relationship Id="rId48" Type="http://schemas.openxmlformats.org/officeDocument/2006/relationships/hyperlink" Target="..\MOORING%20ANALYSIS\SEP-650%20AT%20ABK\REV-1" TargetMode="External"/><Relationship Id="rId8" Type="http://schemas.openxmlformats.org/officeDocument/2006/relationships/hyperlink" Target="..\MOORING%20ANALYSIS\SEP-250%20AT%20S7\REV-1\REPORT-PDF" TargetMode="External"/><Relationship Id="rId51" Type="http://schemas.openxmlformats.org/officeDocument/2006/relationships/hyperlink" Target="..\MOORING%20ANALYSIS\SEP-150%20AT%20TAE%20DECK\REV-1\PDF-REPOR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\DRAWINGS\3278-OFF-9801\REV-0" TargetMode="External"/><Relationship Id="rId2" Type="http://schemas.openxmlformats.org/officeDocument/2006/relationships/hyperlink" Target="..\DRAWINGS\3278-OFF-9800\REV-0" TargetMode="External"/><Relationship Id="rId1" Type="http://schemas.openxmlformats.org/officeDocument/2006/relationships/hyperlink" Target="..\DRAWINGS\3278-OFF-9799\REV-0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..\DRAWINGS\3278-OFF-9802\REV-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view="pageBreakPreview" zoomScaleNormal="100" zoomScaleSheetLayoutView="100" workbookViewId="0">
      <selection activeCell="C11" sqref="C11"/>
    </sheetView>
  </sheetViews>
  <sheetFormatPr defaultColWidth="10.6640625" defaultRowHeight="12.75" x14ac:dyDescent="0.2"/>
  <cols>
    <col min="1" max="1" width="9" style="2" customWidth="1"/>
    <col min="2" max="2" width="62" style="2" customWidth="1"/>
    <col min="3" max="3" width="20.83203125" style="1" customWidth="1"/>
    <col min="4" max="4" width="22.83203125" style="1" customWidth="1"/>
    <col min="5" max="6" width="6.83203125" style="1" customWidth="1"/>
    <col min="7" max="7" width="12.83203125" style="1" customWidth="1"/>
    <col min="8" max="8" width="18.83203125" style="1" customWidth="1"/>
    <col min="9" max="9" width="10.83203125" style="1" customWidth="1"/>
    <col min="10" max="10" width="22.83203125" style="2" customWidth="1"/>
    <col min="11" max="11" width="10.83203125" style="3" customWidth="1"/>
    <col min="12" max="12" width="22.83203125" style="2" customWidth="1"/>
    <col min="13" max="13" width="10.83203125" style="3" customWidth="1"/>
    <col min="14" max="14" width="6.83203125" style="2" customWidth="1"/>
    <col min="15" max="15" width="14.83203125" style="2" hidden="1" customWidth="1"/>
    <col min="16" max="16" width="12.5" style="2" hidden="1" customWidth="1"/>
    <col min="17" max="17" width="6.83203125" style="2" hidden="1" customWidth="1"/>
    <col min="18" max="18" width="24.33203125" style="2" customWidth="1"/>
    <col min="19" max="19" width="10.83203125" style="3" customWidth="1"/>
    <col min="20" max="20" width="11.5" style="23" customWidth="1"/>
    <col min="21" max="21" width="22.83203125" style="2" customWidth="1"/>
    <col min="22" max="16384" width="10.6640625" style="2"/>
  </cols>
  <sheetData>
    <row r="1" spans="1:21" s="4" customFormat="1" ht="20.25" customHeight="1" x14ac:dyDescent="0.2">
      <c r="A1" s="15"/>
      <c r="B1" s="15"/>
      <c r="C1" s="16"/>
      <c r="D1" s="170" t="s">
        <v>480</v>
      </c>
      <c r="E1" s="170"/>
      <c r="F1" s="170"/>
      <c r="G1" s="170"/>
      <c r="H1" s="16"/>
      <c r="I1" s="16"/>
      <c r="J1" s="16"/>
      <c r="K1" s="16"/>
      <c r="L1" s="68"/>
      <c r="M1" s="68"/>
      <c r="N1" s="69"/>
      <c r="O1" s="70"/>
      <c r="P1" s="54" t="s">
        <v>7</v>
      </c>
      <c r="Q1" s="55"/>
      <c r="R1" s="68"/>
      <c r="S1" s="68"/>
    </row>
    <row r="2" spans="1:21" s="4" customFormat="1" ht="20.25" customHeight="1" x14ac:dyDescent="0.2">
      <c r="A2" s="18"/>
      <c r="B2" s="18"/>
      <c r="C2" s="171" t="s">
        <v>481</v>
      </c>
      <c r="D2" s="171"/>
      <c r="E2" s="171"/>
      <c r="F2" s="171"/>
      <c r="G2" s="171"/>
      <c r="H2" s="171"/>
      <c r="I2" s="171"/>
      <c r="J2" s="171"/>
      <c r="K2" s="11"/>
      <c r="L2" s="11"/>
      <c r="M2" s="66"/>
      <c r="N2" s="71"/>
      <c r="O2" s="72"/>
      <c r="P2" s="56" t="s">
        <v>16</v>
      </c>
      <c r="Q2" s="57"/>
      <c r="R2" s="66"/>
      <c r="S2" s="66"/>
    </row>
    <row r="3" spans="1:21" s="4" customFormat="1" ht="20.25" customHeight="1" x14ac:dyDescent="0.2">
      <c r="A3" s="18"/>
      <c r="B3" s="18"/>
      <c r="C3" s="11"/>
      <c r="D3" s="171" t="s">
        <v>482</v>
      </c>
      <c r="E3" s="171"/>
      <c r="F3" s="171"/>
      <c r="G3" s="171"/>
      <c r="H3" s="11"/>
      <c r="I3" s="11"/>
      <c r="J3" s="11"/>
      <c r="K3" s="11"/>
      <c r="L3" s="66"/>
      <c r="M3" s="66"/>
      <c r="N3" s="73"/>
      <c r="O3" s="74"/>
      <c r="P3" s="58" t="s">
        <v>9</v>
      </c>
      <c r="Q3" s="59"/>
      <c r="R3" s="66"/>
      <c r="S3" s="66"/>
    </row>
    <row r="4" spans="1:21" s="4" customFormat="1" ht="20.25" customHeight="1" x14ac:dyDescent="0.2">
      <c r="A4" s="20"/>
      <c r="B4" s="20"/>
      <c r="C4" s="172" t="s">
        <v>499</v>
      </c>
      <c r="D4" s="172"/>
      <c r="E4" s="172"/>
      <c r="F4" s="172"/>
      <c r="G4" s="172"/>
      <c r="H4" s="172"/>
      <c r="I4" s="172"/>
      <c r="J4" s="172"/>
      <c r="K4" s="21"/>
      <c r="L4" s="67"/>
      <c r="M4" s="67"/>
      <c r="N4" s="75"/>
      <c r="O4" s="76"/>
      <c r="P4" s="58" t="s">
        <v>8</v>
      </c>
      <c r="Q4" s="59"/>
      <c r="R4" s="67"/>
      <c r="S4" s="67"/>
    </row>
    <row r="5" spans="1:21" s="6" customFormat="1" ht="20.25" customHeight="1" x14ac:dyDescent="0.2">
      <c r="A5" s="148" t="s">
        <v>0</v>
      </c>
      <c r="B5" s="148" t="s">
        <v>1</v>
      </c>
      <c r="C5" s="148" t="s">
        <v>17</v>
      </c>
      <c r="D5" s="148" t="s">
        <v>18</v>
      </c>
      <c r="E5" s="148" t="s">
        <v>15</v>
      </c>
      <c r="F5" s="148" t="s">
        <v>89</v>
      </c>
      <c r="G5" s="148" t="s">
        <v>11</v>
      </c>
      <c r="H5" s="155" t="s">
        <v>12</v>
      </c>
      <c r="I5" s="156"/>
      <c r="J5" s="156"/>
      <c r="K5" s="157"/>
      <c r="L5" s="148" t="s">
        <v>13</v>
      </c>
      <c r="M5" s="148"/>
      <c r="N5" s="148"/>
      <c r="O5" s="155" t="s">
        <v>14</v>
      </c>
      <c r="P5" s="156"/>
      <c r="Q5" s="157"/>
      <c r="R5" s="155" t="s">
        <v>523</v>
      </c>
      <c r="S5" s="156"/>
      <c r="T5" s="157"/>
      <c r="U5" s="149" t="s">
        <v>2</v>
      </c>
    </row>
    <row r="6" spans="1:21" s="6" customFormat="1" ht="20.25" customHeight="1" x14ac:dyDescent="0.2">
      <c r="A6" s="148"/>
      <c r="B6" s="148"/>
      <c r="C6" s="148"/>
      <c r="D6" s="148"/>
      <c r="E6" s="173"/>
      <c r="F6" s="148"/>
      <c r="G6" s="148"/>
      <c r="H6" s="155" t="s">
        <v>4</v>
      </c>
      <c r="I6" s="156"/>
      <c r="J6" s="156"/>
      <c r="K6" s="157"/>
      <c r="L6" s="164" t="s">
        <v>5</v>
      </c>
      <c r="M6" s="165"/>
      <c r="N6" s="166"/>
      <c r="O6" s="158" t="s">
        <v>5</v>
      </c>
      <c r="P6" s="159"/>
      <c r="Q6" s="160"/>
      <c r="R6" s="158" t="s">
        <v>5</v>
      </c>
      <c r="S6" s="159"/>
      <c r="T6" s="160"/>
      <c r="U6" s="154"/>
    </row>
    <row r="7" spans="1:21" s="6" customFormat="1" ht="20.25" customHeight="1" x14ac:dyDescent="0.2">
      <c r="A7" s="148"/>
      <c r="B7" s="148"/>
      <c r="C7" s="148"/>
      <c r="D7" s="148"/>
      <c r="E7" s="173"/>
      <c r="F7" s="148"/>
      <c r="G7" s="148"/>
      <c r="H7" s="155" t="s">
        <v>108</v>
      </c>
      <c r="I7" s="157"/>
      <c r="J7" s="156" t="s">
        <v>109</v>
      </c>
      <c r="K7" s="157"/>
      <c r="L7" s="167"/>
      <c r="M7" s="168"/>
      <c r="N7" s="169"/>
      <c r="O7" s="161"/>
      <c r="P7" s="162"/>
      <c r="Q7" s="163"/>
      <c r="R7" s="161"/>
      <c r="S7" s="162"/>
      <c r="T7" s="163"/>
      <c r="U7" s="154"/>
    </row>
    <row r="8" spans="1:21" s="6" customFormat="1" ht="20.25" customHeight="1" x14ac:dyDescent="0.2">
      <c r="A8" s="149"/>
      <c r="B8" s="149"/>
      <c r="C8" s="149"/>
      <c r="D8" s="149"/>
      <c r="E8" s="174"/>
      <c r="F8" s="149"/>
      <c r="G8" s="149"/>
      <c r="H8" s="32" t="s">
        <v>6</v>
      </c>
      <c r="I8" s="33" t="s">
        <v>3</v>
      </c>
      <c r="J8" s="32" t="s">
        <v>6</v>
      </c>
      <c r="K8" s="33" t="s">
        <v>3</v>
      </c>
      <c r="L8" s="36" t="s">
        <v>6</v>
      </c>
      <c r="M8" s="53" t="s">
        <v>3</v>
      </c>
      <c r="N8" s="36" t="s">
        <v>10</v>
      </c>
      <c r="O8" s="34" t="s">
        <v>6</v>
      </c>
      <c r="P8" s="35" t="s">
        <v>3</v>
      </c>
      <c r="Q8" s="36" t="s">
        <v>10</v>
      </c>
      <c r="R8" s="34" t="s">
        <v>6</v>
      </c>
      <c r="S8" s="33" t="s">
        <v>3</v>
      </c>
      <c r="T8" s="36" t="s">
        <v>10</v>
      </c>
      <c r="U8" s="154"/>
    </row>
    <row r="9" spans="1:21" s="60" customFormat="1" ht="20.25" customHeight="1" x14ac:dyDescent="0.2">
      <c r="A9" s="111">
        <v>1</v>
      </c>
      <c r="B9" s="111" t="s">
        <v>584</v>
      </c>
      <c r="C9" s="111" t="s">
        <v>487</v>
      </c>
      <c r="D9" s="112" t="s">
        <v>488</v>
      </c>
      <c r="E9" s="117">
        <v>1</v>
      </c>
      <c r="F9" s="118">
        <v>1</v>
      </c>
      <c r="G9" s="111" t="s">
        <v>412</v>
      </c>
      <c r="H9" s="111" t="s">
        <v>585</v>
      </c>
      <c r="I9" s="114">
        <v>42827</v>
      </c>
      <c r="J9" s="111" t="s">
        <v>606</v>
      </c>
      <c r="K9" s="113">
        <v>42827</v>
      </c>
      <c r="L9" s="120" t="s">
        <v>607</v>
      </c>
      <c r="M9" s="113">
        <v>42850</v>
      </c>
      <c r="N9" s="121" t="s">
        <v>549</v>
      </c>
      <c r="O9" s="111"/>
      <c r="P9" s="113"/>
      <c r="Q9" s="112"/>
      <c r="R9" s="111"/>
      <c r="S9" s="113"/>
      <c r="T9" s="112"/>
      <c r="U9" s="111"/>
    </row>
    <row r="10" spans="1:21" s="60" customFormat="1" ht="20.25" customHeight="1" x14ac:dyDescent="0.2">
      <c r="A10" s="111">
        <v>2</v>
      </c>
      <c r="B10" s="111" t="s">
        <v>483</v>
      </c>
      <c r="C10" s="111" t="s">
        <v>489</v>
      </c>
      <c r="D10" s="112" t="s">
        <v>490</v>
      </c>
      <c r="E10" s="117">
        <v>1</v>
      </c>
      <c r="F10" s="118">
        <v>1</v>
      </c>
      <c r="G10" s="111" t="s">
        <v>412</v>
      </c>
      <c r="H10" s="111" t="s">
        <v>479</v>
      </c>
      <c r="I10" s="114">
        <v>42277</v>
      </c>
      <c r="J10" s="111" t="s">
        <v>491</v>
      </c>
      <c r="K10" s="113">
        <v>42277</v>
      </c>
      <c r="L10" s="120" t="s">
        <v>524</v>
      </c>
      <c r="M10" s="113">
        <v>42283</v>
      </c>
      <c r="N10" s="121" t="s">
        <v>525</v>
      </c>
      <c r="O10" s="111"/>
      <c r="P10" s="113"/>
      <c r="Q10" s="112"/>
      <c r="R10" s="111" t="s">
        <v>526</v>
      </c>
      <c r="S10" s="113">
        <v>42278</v>
      </c>
      <c r="T10" s="112" t="s">
        <v>527</v>
      </c>
      <c r="U10" s="111"/>
    </row>
    <row r="11" spans="1:21" s="60" customFormat="1" ht="20.25" customHeight="1" x14ac:dyDescent="0.15">
      <c r="A11" s="111">
        <v>3</v>
      </c>
      <c r="B11" s="111" t="s">
        <v>484</v>
      </c>
      <c r="C11" s="111" t="s">
        <v>492</v>
      </c>
      <c r="D11" s="112" t="s">
        <v>493</v>
      </c>
      <c r="E11" s="111"/>
      <c r="F11" s="118"/>
      <c r="G11" s="111"/>
      <c r="H11" s="111"/>
      <c r="I11" s="111"/>
      <c r="J11" s="111"/>
      <c r="K11" s="113"/>
      <c r="L11" s="111"/>
      <c r="M11" s="113"/>
      <c r="N11" s="111"/>
      <c r="O11" s="111"/>
      <c r="P11" s="113"/>
      <c r="Q11" s="112"/>
      <c r="R11" s="111"/>
      <c r="S11" s="113"/>
      <c r="T11" s="112"/>
      <c r="U11" s="111"/>
    </row>
    <row r="12" spans="1:21" s="60" customFormat="1" ht="20.25" customHeight="1" x14ac:dyDescent="0.2">
      <c r="A12" s="144">
        <v>4</v>
      </c>
      <c r="B12" s="144" t="s">
        <v>486</v>
      </c>
      <c r="C12" s="144" t="s">
        <v>494</v>
      </c>
      <c r="D12" s="151" t="s">
        <v>496</v>
      </c>
      <c r="E12" s="117">
        <v>1</v>
      </c>
      <c r="F12" s="118">
        <v>1</v>
      </c>
      <c r="G12" s="111" t="s">
        <v>412</v>
      </c>
      <c r="H12" s="111" t="s">
        <v>521</v>
      </c>
      <c r="I12" s="114">
        <v>42459</v>
      </c>
      <c r="J12" s="111" t="s">
        <v>522</v>
      </c>
      <c r="K12" s="113">
        <v>42460</v>
      </c>
      <c r="L12" s="120" t="s">
        <v>538</v>
      </c>
      <c r="M12" s="113">
        <v>42528</v>
      </c>
      <c r="N12" s="121" t="s">
        <v>525</v>
      </c>
      <c r="O12" s="111"/>
      <c r="P12" s="113"/>
      <c r="Q12" s="112"/>
      <c r="R12" s="111"/>
      <c r="S12" s="113"/>
      <c r="T12" s="112"/>
      <c r="U12" s="111"/>
    </row>
    <row r="13" spans="1:21" s="60" customFormat="1" ht="20.25" customHeight="1" x14ac:dyDescent="0.2">
      <c r="A13" s="145"/>
      <c r="B13" s="145"/>
      <c r="C13" s="145"/>
      <c r="D13" s="153"/>
      <c r="E13" s="117">
        <v>2</v>
      </c>
      <c r="F13" s="118">
        <v>1</v>
      </c>
      <c r="G13" s="111" t="s">
        <v>412</v>
      </c>
      <c r="H13" s="111" t="s">
        <v>545</v>
      </c>
      <c r="I13" s="114">
        <v>42563</v>
      </c>
      <c r="J13" s="111" t="s">
        <v>546</v>
      </c>
      <c r="K13" s="113">
        <v>42564</v>
      </c>
      <c r="L13" s="120" t="s">
        <v>547</v>
      </c>
      <c r="M13" s="113">
        <v>42538</v>
      </c>
      <c r="N13" s="121" t="s">
        <v>525</v>
      </c>
      <c r="O13" s="111"/>
      <c r="P13" s="113"/>
      <c r="Q13" s="112"/>
      <c r="R13" s="111"/>
      <c r="S13" s="113"/>
      <c r="T13" s="112"/>
      <c r="U13" s="111"/>
    </row>
    <row r="14" spans="1:21" s="60" customFormat="1" ht="20.25" customHeight="1" x14ac:dyDescent="0.2">
      <c r="A14" s="144">
        <v>5</v>
      </c>
      <c r="B14" s="144" t="s">
        <v>485</v>
      </c>
      <c r="C14" s="144" t="s">
        <v>495</v>
      </c>
      <c r="D14" s="151" t="s">
        <v>497</v>
      </c>
      <c r="E14" s="117">
        <v>1</v>
      </c>
      <c r="F14" s="118">
        <v>1</v>
      </c>
      <c r="G14" s="111" t="s">
        <v>412</v>
      </c>
      <c r="H14" s="111" t="s">
        <v>512</v>
      </c>
      <c r="I14" s="114">
        <v>42432</v>
      </c>
      <c r="J14" s="111" t="s">
        <v>498</v>
      </c>
      <c r="K14" s="113">
        <v>42432</v>
      </c>
      <c r="L14" s="120" t="s">
        <v>531</v>
      </c>
      <c r="M14" s="113">
        <v>42437</v>
      </c>
      <c r="N14" s="121" t="s">
        <v>525</v>
      </c>
      <c r="O14" s="111"/>
      <c r="P14" s="113"/>
      <c r="Q14" s="112"/>
      <c r="R14" s="111"/>
      <c r="S14" s="113"/>
      <c r="T14" s="112"/>
      <c r="U14" s="111"/>
    </row>
    <row r="15" spans="1:21" s="60" customFormat="1" ht="20.25" customHeight="1" x14ac:dyDescent="0.2">
      <c r="A15" s="150"/>
      <c r="B15" s="150"/>
      <c r="C15" s="150"/>
      <c r="D15" s="152"/>
      <c r="E15" s="117">
        <v>2</v>
      </c>
      <c r="F15" s="118">
        <v>1</v>
      </c>
      <c r="G15" s="111" t="s">
        <v>412</v>
      </c>
      <c r="H15" s="111" t="s">
        <v>530</v>
      </c>
      <c r="I15" s="114">
        <v>42501</v>
      </c>
      <c r="J15" s="111" t="s">
        <v>532</v>
      </c>
      <c r="K15" s="113">
        <v>42513</v>
      </c>
      <c r="L15" s="111"/>
      <c r="M15" s="113"/>
      <c r="N15" s="111"/>
      <c r="O15" s="111"/>
      <c r="P15" s="113"/>
      <c r="Q15" s="112"/>
      <c r="R15" s="111"/>
      <c r="S15" s="113"/>
      <c r="T15" s="112"/>
      <c r="U15" s="111"/>
    </row>
    <row r="16" spans="1:21" s="60" customFormat="1" ht="20.25" customHeight="1" x14ac:dyDescent="0.2">
      <c r="A16" s="145"/>
      <c r="B16" s="145"/>
      <c r="C16" s="145"/>
      <c r="D16" s="153"/>
      <c r="E16" s="117">
        <v>3</v>
      </c>
      <c r="F16" s="118">
        <v>1</v>
      </c>
      <c r="G16" s="111" t="s">
        <v>412</v>
      </c>
      <c r="H16" s="111" t="s">
        <v>533</v>
      </c>
      <c r="I16" s="114">
        <v>42528</v>
      </c>
      <c r="J16" s="111" t="s">
        <v>539</v>
      </c>
      <c r="K16" s="113">
        <v>42528</v>
      </c>
      <c r="L16" s="120" t="s">
        <v>548</v>
      </c>
      <c r="M16" s="113">
        <v>42549</v>
      </c>
      <c r="N16" s="121" t="s">
        <v>549</v>
      </c>
      <c r="O16" s="111"/>
      <c r="P16" s="113"/>
      <c r="Q16" s="112"/>
      <c r="R16" s="111"/>
      <c r="S16" s="113"/>
      <c r="T16" s="112"/>
      <c r="U16" s="111"/>
    </row>
    <row r="17" spans="1:21" s="60" customFormat="1" ht="20.25" customHeight="1" x14ac:dyDescent="0.2">
      <c r="A17" s="144">
        <v>6</v>
      </c>
      <c r="B17" s="144" t="s">
        <v>580</v>
      </c>
      <c r="C17" s="144" t="s">
        <v>510</v>
      </c>
      <c r="D17" s="151" t="s">
        <v>511</v>
      </c>
      <c r="E17" s="117">
        <v>1</v>
      </c>
      <c r="F17" s="118">
        <v>1</v>
      </c>
      <c r="G17" s="111" t="s">
        <v>412</v>
      </c>
      <c r="H17" s="111" t="s">
        <v>514</v>
      </c>
      <c r="I17" s="114">
        <v>42457</v>
      </c>
      <c r="J17" s="111" t="s">
        <v>517</v>
      </c>
      <c r="K17" s="113">
        <v>42457</v>
      </c>
      <c r="L17" s="120" t="s">
        <v>541</v>
      </c>
      <c r="M17" s="113">
        <v>42500</v>
      </c>
      <c r="N17" s="121" t="s">
        <v>525</v>
      </c>
      <c r="O17" s="111"/>
      <c r="P17" s="113"/>
      <c r="Q17" s="112"/>
      <c r="R17" s="111"/>
      <c r="S17" s="113"/>
      <c r="T17" s="112"/>
      <c r="U17" s="111"/>
    </row>
    <row r="18" spans="1:21" s="60" customFormat="1" ht="20.25" customHeight="1" x14ac:dyDescent="0.2">
      <c r="A18" s="150"/>
      <c r="B18" s="150"/>
      <c r="C18" s="150"/>
      <c r="D18" s="152"/>
      <c r="E18" s="117">
        <v>2</v>
      </c>
      <c r="F18" s="118">
        <v>1</v>
      </c>
      <c r="G18" s="111" t="s">
        <v>412</v>
      </c>
      <c r="H18" s="111" t="s">
        <v>577</v>
      </c>
      <c r="I18" s="114">
        <v>42711</v>
      </c>
      <c r="J18" s="111" t="s">
        <v>578</v>
      </c>
      <c r="K18" s="113">
        <v>42712</v>
      </c>
      <c r="L18" s="120"/>
      <c r="M18" s="113"/>
      <c r="N18" s="121"/>
      <c r="O18" s="111"/>
      <c r="P18" s="113"/>
      <c r="Q18" s="112"/>
      <c r="R18" s="111"/>
      <c r="S18" s="113"/>
      <c r="T18" s="112"/>
      <c r="U18" s="111"/>
    </row>
    <row r="19" spans="1:21" s="60" customFormat="1" ht="20.25" customHeight="1" x14ac:dyDescent="0.2">
      <c r="A19" s="145"/>
      <c r="B19" s="145"/>
      <c r="C19" s="145"/>
      <c r="D19" s="153"/>
      <c r="E19" s="117">
        <v>3</v>
      </c>
      <c r="F19" s="118">
        <v>1</v>
      </c>
      <c r="G19" s="111" t="s">
        <v>412</v>
      </c>
      <c r="H19" s="111" t="s">
        <v>579</v>
      </c>
      <c r="I19" s="114">
        <v>42719</v>
      </c>
      <c r="J19" s="111" t="s">
        <v>581</v>
      </c>
      <c r="K19" s="113">
        <v>42722</v>
      </c>
      <c r="L19" s="120" t="s">
        <v>582</v>
      </c>
      <c r="M19" s="113">
        <v>42723</v>
      </c>
      <c r="N19" s="121" t="s">
        <v>549</v>
      </c>
      <c r="O19" s="111"/>
      <c r="P19" s="113"/>
      <c r="Q19" s="112"/>
      <c r="R19" s="111"/>
      <c r="S19" s="113"/>
      <c r="T19" s="112"/>
      <c r="U19" s="111"/>
    </row>
    <row r="20" spans="1:21" s="60" customFormat="1" ht="20.25" customHeight="1" x14ac:dyDescent="0.2">
      <c r="A20" s="111">
        <v>7</v>
      </c>
      <c r="B20" s="111" t="s">
        <v>518</v>
      </c>
      <c r="C20" s="111" t="s">
        <v>519</v>
      </c>
      <c r="D20" s="111" t="s">
        <v>520</v>
      </c>
      <c r="E20" s="117">
        <v>1</v>
      </c>
      <c r="F20" s="118">
        <v>1</v>
      </c>
      <c r="G20" s="111" t="s">
        <v>412</v>
      </c>
      <c r="H20" s="111" t="s">
        <v>550</v>
      </c>
      <c r="I20" s="114">
        <v>42603</v>
      </c>
      <c r="J20" s="111" t="s">
        <v>557</v>
      </c>
      <c r="K20" s="114">
        <v>42604</v>
      </c>
      <c r="L20" s="120" t="s">
        <v>558</v>
      </c>
      <c r="M20" s="113">
        <v>42605</v>
      </c>
      <c r="N20" s="121" t="s">
        <v>525</v>
      </c>
      <c r="O20" s="111"/>
      <c r="P20" s="113"/>
      <c r="Q20" s="112"/>
      <c r="R20" s="111"/>
      <c r="S20" s="113"/>
      <c r="T20" s="112"/>
      <c r="U20" s="111"/>
    </row>
    <row r="21" spans="1:21" s="60" customFormat="1" ht="20.25" customHeight="1" x14ac:dyDescent="0.2">
      <c r="A21" s="111">
        <v>8</v>
      </c>
      <c r="B21" s="111" t="s">
        <v>534</v>
      </c>
      <c r="C21" s="111" t="s">
        <v>535</v>
      </c>
      <c r="D21" s="111" t="s">
        <v>536</v>
      </c>
      <c r="E21" s="117">
        <v>1</v>
      </c>
      <c r="F21" s="118">
        <v>1</v>
      </c>
      <c r="G21" s="111" t="s">
        <v>412</v>
      </c>
      <c r="H21" s="111" t="s">
        <v>537</v>
      </c>
      <c r="I21" s="114">
        <v>42530</v>
      </c>
      <c r="J21" s="111" t="s">
        <v>540</v>
      </c>
      <c r="K21" s="113">
        <v>42533</v>
      </c>
      <c r="L21" s="120" t="s">
        <v>548</v>
      </c>
      <c r="M21" s="113">
        <v>42549</v>
      </c>
      <c r="N21" s="121" t="s">
        <v>549</v>
      </c>
      <c r="O21" s="111"/>
      <c r="P21" s="113"/>
      <c r="Q21" s="112"/>
      <c r="R21" s="111"/>
      <c r="S21" s="113"/>
      <c r="T21" s="112"/>
      <c r="U21" s="111"/>
    </row>
    <row r="22" spans="1:21" s="60" customFormat="1" ht="20.25" customHeight="1" x14ac:dyDescent="0.2">
      <c r="A22" s="144">
        <v>9</v>
      </c>
      <c r="B22" s="144" t="s">
        <v>551</v>
      </c>
      <c r="C22" s="144" t="s">
        <v>552</v>
      </c>
      <c r="D22" s="144" t="s">
        <v>553</v>
      </c>
      <c r="E22" s="117">
        <v>1</v>
      </c>
      <c r="F22" s="118">
        <v>1</v>
      </c>
      <c r="G22" s="111" t="s">
        <v>412</v>
      </c>
      <c r="H22" s="111" t="s">
        <v>554</v>
      </c>
      <c r="I22" s="114">
        <v>42610</v>
      </c>
      <c r="J22" s="111" t="s">
        <v>556</v>
      </c>
      <c r="K22" s="113">
        <v>42611</v>
      </c>
      <c r="L22" s="111"/>
      <c r="M22" s="113"/>
      <c r="N22" s="111"/>
      <c r="O22" s="111"/>
      <c r="P22" s="113"/>
      <c r="Q22" s="112"/>
      <c r="R22" s="111"/>
      <c r="S22" s="113"/>
      <c r="T22" s="112"/>
      <c r="U22" s="111"/>
    </row>
    <row r="23" spans="1:21" s="60" customFormat="1" ht="20.25" customHeight="1" x14ac:dyDescent="0.2">
      <c r="A23" s="145"/>
      <c r="B23" s="145"/>
      <c r="C23" s="145"/>
      <c r="D23" s="145"/>
      <c r="E23" s="117">
        <v>2</v>
      </c>
      <c r="F23" s="118">
        <v>1</v>
      </c>
      <c r="G23" s="111" t="s">
        <v>412</v>
      </c>
      <c r="H23" s="111" t="s">
        <v>555</v>
      </c>
      <c r="I23" s="114">
        <v>42620</v>
      </c>
      <c r="J23" s="111" t="s">
        <v>563</v>
      </c>
      <c r="K23" s="114">
        <v>42620</v>
      </c>
      <c r="L23" s="120" t="s">
        <v>574</v>
      </c>
      <c r="M23" s="113">
        <v>42666</v>
      </c>
      <c r="N23" s="121" t="s">
        <v>549</v>
      </c>
      <c r="O23" s="111"/>
      <c r="P23" s="113"/>
      <c r="Q23" s="112"/>
      <c r="R23" s="111"/>
      <c r="S23" s="113"/>
      <c r="T23" s="112"/>
      <c r="U23" s="111"/>
    </row>
    <row r="24" spans="1:21" s="60" customFormat="1" ht="20.25" customHeight="1" x14ac:dyDescent="0.2">
      <c r="A24" s="144">
        <v>10</v>
      </c>
      <c r="B24" s="144" t="s">
        <v>559</v>
      </c>
      <c r="C24" s="144" t="s">
        <v>560</v>
      </c>
      <c r="D24" s="144" t="s">
        <v>561</v>
      </c>
      <c r="E24" s="117">
        <v>1</v>
      </c>
      <c r="F24" s="118">
        <v>1</v>
      </c>
      <c r="G24" s="111" t="s">
        <v>412</v>
      </c>
      <c r="H24" s="111" t="s">
        <v>562</v>
      </c>
      <c r="I24" s="114">
        <v>42641</v>
      </c>
      <c r="J24" s="111" t="s">
        <v>568</v>
      </c>
      <c r="K24" s="114">
        <v>42641</v>
      </c>
      <c r="L24" s="120" t="s">
        <v>572</v>
      </c>
      <c r="M24" s="113">
        <v>42684</v>
      </c>
      <c r="N24" s="121" t="s">
        <v>549</v>
      </c>
      <c r="O24" s="111"/>
      <c r="P24" s="113"/>
      <c r="Q24" s="112"/>
      <c r="R24" s="111"/>
      <c r="S24" s="113"/>
      <c r="T24" s="112"/>
      <c r="U24" s="111"/>
    </row>
    <row r="25" spans="1:21" s="60" customFormat="1" ht="20.25" customHeight="1" x14ac:dyDescent="0.2">
      <c r="A25" s="150"/>
      <c r="B25" s="150"/>
      <c r="C25" s="150"/>
      <c r="D25" s="150"/>
      <c r="E25" s="117">
        <v>2</v>
      </c>
      <c r="F25" s="118">
        <v>1</v>
      </c>
      <c r="G25" s="111" t="s">
        <v>412</v>
      </c>
      <c r="H25" s="111" t="s">
        <v>575</v>
      </c>
      <c r="I25" s="114">
        <v>42703</v>
      </c>
      <c r="J25" s="111" t="s">
        <v>576</v>
      </c>
      <c r="K25" s="114">
        <v>42703</v>
      </c>
      <c r="L25" s="120" t="s">
        <v>583</v>
      </c>
      <c r="M25" s="113">
        <v>42718</v>
      </c>
      <c r="N25" s="121" t="s">
        <v>549</v>
      </c>
      <c r="O25" s="111"/>
      <c r="P25" s="113"/>
      <c r="Q25" s="112"/>
      <c r="R25" s="111"/>
      <c r="S25" s="113"/>
      <c r="T25" s="112"/>
      <c r="U25" s="111"/>
    </row>
    <row r="26" spans="1:21" s="60" customFormat="1" ht="20.25" customHeight="1" x14ac:dyDescent="0.2">
      <c r="A26" s="145"/>
      <c r="B26" s="145"/>
      <c r="C26" s="145"/>
      <c r="D26" s="145"/>
      <c r="E26" s="117">
        <v>3</v>
      </c>
      <c r="F26" s="118">
        <v>1</v>
      </c>
      <c r="G26" s="111" t="s">
        <v>412</v>
      </c>
      <c r="H26" s="111" t="s">
        <v>595</v>
      </c>
      <c r="I26" s="114">
        <v>42932</v>
      </c>
      <c r="J26" s="111" t="s">
        <v>600</v>
      </c>
      <c r="K26" s="114">
        <v>42933</v>
      </c>
      <c r="L26" s="120" t="s">
        <v>605</v>
      </c>
      <c r="M26" s="113">
        <v>42939</v>
      </c>
      <c r="N26" s="121" t="s">
        <v>549</v>
      </c>
      <c r="O26" s="111"/>
      <c r="P26" s="113"/>
      <c r="Q26" s="112"/>
      <c r="R26" s="111"/>
      <c r="S26" s="113"/>
      <c r="T26" s="112"/>
      <c r="U26" s="111"/>
    </row>
    <row r="27" spans="1:21" s="60" customFormat="1" ht="20.25" customHeight="1" x14ac:dyDescent="0.2">
      <c r="A27" s="144">
        <v>11</v>
      </c>
      <c r="B27" s="144" t="s">
        <v>564</v>
      </c>
      <c r="C27" s="144" t="s">
        <v>565</v>
      </c>
      <c r="D27" s="144" t="s">
        <v>566</v>
      </c>
      <c r="E27" s="117">
        <v>1</v>
      </c>
      <c r="F27" s="118">
        <v>1</v>
      </c>
      <c r="G27" s="111" t="s">
        <v>412</v>
      </c>
      <c r="H27" s="111" t="s">
        <v>567</v>
      </c>
      <c r="I27" s="114">
        <v>42642</v>
      </c>
      <c r="J27" s="111" t="s">
        <v>569</v>
      </c>
      <c r="K27" s="114">
        <v>42642</v>
      </c>
      <c r="L27" s="120" t="s">
        <v>570</v>
      </c>
      <c r="M27" s="113">
        <v>42647</v>
      </c>
      <c r="N27" s="121" t="s">
        <v>525</v>
      </c>
      <c r="O27" s="111"/>
      <c r="P27" s="113"/>
      <c r="Q27" s="112"/>
      <c r="R27" s="111"/>
      <c r="S27" s="113"/>
      <c r="T27" s="112"/>
      <c r="U27" s="111"/>
    </row>
    <row r="28" spans="1:21" s="60" customFormat="1" ht="20.25" customHeight="1" x14ac:dyDescent="0.2">
      <c r="A28" s="145"/>
      <c r="B28" s="145"/>
      <c r="C28" s="145"/>
      <c r="D28" s="145"/>
      <c r="E28" s="117">
        <v>2</v>
      </c>
      <c r="F28" s="118">
        <v>1</v>
      </c>
      <c r="G28" s="111" t="s">
        <v>412</v>
      </c>
      <c r="H28" s="111" t="s">
        <v>571</v>
      </c>
      <c r="I28" s="114">
        <v>42655</v>
      </c>
      <c r="J28" s="111" t="s">
        <v>573</v>
      </c>
      <c r="K28" s="114">
        <v>42660</v>
      </c>
      <c r="L28" s="120" t="s">
        <v>574</v>
      </c>
      <c r="M28" s="113">
        <v>42666</v>
      </c>
      <c r="N28" s="121" t="s">
        <v>549</v>
      </c>
      <c r="O28" s="111"/>
      <c r="P28" s="113"/>
      <c r="Q28" s="112"/>
      <c r="R28" s="111"/>
      <c r="S28" s="113"/>
      <c r="T28" s="112"/>
      <c r="U28" s="111"/>
    </row>
    <row r="29" spans="1:21" s="60" customFormat="1" ht="20.25" customHeight="1" x14ac:dyDescent="0.2">
      <c r="A29" s="144">
        <v>12</v>
      </c>
      <c r="B29" s="144" t="s">
        <v>586</v>
      </c>
      <c r="C29" s="144" t="s">
        <v>587</v>
      </c>
      <c r="D29" s="144" t="s">
        <v>588</v>
      </c>
      <c r="E29" s="117">
        <v>1</v>
      </c>
      <c r="F29" s="118">
        <v>1</v>
      </c>
      <c r="G29" s="111" t="s">
        <v>412</v>
      </c>
      <c r="H29" s="111" t="s">
        <v>589</v>
      </c>
      <c r="I29" s="114">
        <v>42873</v>
      </c>
      <c r="J29" s="111" t="s">
        <v>590</v>
      </c>
      <c r="K29" s="114">
        <v>42873</v>
      </c>
      <c r="L29" s="111"/>
      <c r="M29" s="113"/>
      <c r="N29" s="111"/>
      <c r="O29" s="111"/>
      <c r="P29" s="113"/>
      <c r="Q29" s="112"/>
      <c r="R29" s="111" t="s">
        <v>591</v>
      </c>
      <c r="S29" s="113">
        <v>42877</v>
      </c>
      <c r="T29" s="112" t="s">
        <v>527</v>
      </c>
      <c r="U29" s="111"/>
    </row>
    <row r="30" spans="1:21" s="60" customFormat="1" ht="20.25" customHeight="1" x14ac:dyDescent="0.2">
      <c r="A30" s="150"/>
      <c r="B30" s="150"/>
      <c r="C30" s="150"/>
      <c r="D30" s="150"/>
      <c r="E30" s="117">
        <v>2</v>
      </c>
      <c r="F30" s="118">
        <v>1</v>
      </c>
      <c r="G30" s="111" t="s">
        <v>412</v>
      </c>
      <c r="H30" s="111" t="s">
        <v>592</v>
      </c>
      <c r="I30" s="114">
        <v>42880</v>
      </c>
      <c r="J30" s="111" t="s">
        <v>593</v>
      </c>
      <c r="K30" s="114">
        <v>42880</v>
      </c>
      <c r="L30" s="120" t="s">
        <v>594</v>
      </c>
      <c r="M30" s="113">
        <v>42892</v>
      </c>
      <c r="N30" s="121" t="s">
        <v>549</v>
      </c>
      <c r="O30" s="111"/>
      <c r="P30" s="113"/>
      <c r="Q30" s="112"/>
      <c r="R30" s="111"/>
      <c r="S30" s="113"/>
      <c r="T30" s="112"/>
      <c r="U30" s="111"/>
    </row>
    <row r="31" spans="1:21" s="60" customFormat="1" ht="20.25" customHeight="1" x14ac:dyDescent="0.2">
      <c r="A31" s="145"/>
      <c r="B31" s="145"/>
      <c r="C31" s="145"/>
      <c r="D31" s="145"/>
      <c r="E31" s="117">
        <v>3</v>
      </c>
      <c r="F31" s="118">
        <v>1</v>
      </c>
      <c r="G31" s="111" t="s">
        <v>412</v>
      </c>
      <c r="H31" s="111" t="s">
        <v>601</v>
      </c>
      <c r="I31" s="114">
        <v>43006</v>
      </c>
      <c r="J31" s="111" t="s">
        <v>602</v>
      </c>
      <c r="K31" s="114">
        <v>43006</v>
      </c>
      <c r="L31" s="120" t="s">
        <v>621</v>
      </c>
      <c r="M31" s="113">
        <v>43012</v>
      </c>
      <c r="N31" s="121" t="s">
        <v>549</v>
      </c>
      <c r="O31" s="111"/>
      <c r="P31" s="113"/>
      <c r="Q31" s="112"/>
      <c r="R31" s="111"/>
      <c r="S31" s="113"/>
      <c r="T31" s="112"/>
      <c r="U31" s="111"/>
    </row>
    <row r="32" spans="1:21" s="60" customFormat="1" ht="20.25" customHeight="1" x14ac:dyDescent="0.2">
      <c r="A32" s="111">
        <v>13</v>
      </c>
      <c r="B32" s="111" t="s">
        <v>596</v>
      </c>
      <c r="C32" s="110" t="s">
        <v>597</v>
      </c>
      <c r="D32" s="111" t="s">
        <v>598</v>
      </c>
      <c r="E32" s="117">
        <v>1</v>
      </c>
      <c r="F32" s="118">
        <v>1</v>
      </c>
      <c r="G32" s="111" t="s">
        <v>412</v>
      </c>
      <c r="H32" s="111" t="s">
        <v>599</v>
      </c>
      <c r="I32" s="114">
        <v>42939</v>
      </c>
      <c r="J32" s="111" t="s">
        <v>603</v>
      </c>
      <c r="K32" s="114">
        <v>42939</v>
      </c>
      <c r="L32" s="120" t="s">
        <v>604</v>
      </c>
      <c r="M32" s="113">
        <v>43004</v>
      </c>
      <c r="N32" s="121" t="s">
        <v>549</v>
      </c>
      <c r="O32" s="111"/>
      <c r="P32" s="113"/>
      <c r="Q32" s="112"/>
      <c r="R32" s="111"/>
      <c r="S32" s="113"/>
      <c r="T32" s="112"/>
      <c r="U32" s="111"/>
    </row>
    <row r="33" spans="1:22" s="60" customFormat="1" ht="20.25" customHeight="1" x14ac:dyDescent="0.2">
      <c r="A33" s="144">
        <v>14</v>
      </c>
      <c r="B33" s="144" t="s">
        <v>608</v>
      </c>
      <c r="C33" s="146" t="s">
        <v>609</v>
      </c>
      <c r="D33" s="144" t="s">
        <v>610</v>
      </c>
      <c r="E33" s="117">
        <v>1</v>
      </c>
      <c r="F33" s="118">
        <v>1</v>
      </c>
      <c r="G33" s="111" t="s">
        <v>412</v>
      </c>
      <c r="H33" s="111" t="s">
        <v>611</v>
      </c>
      <c r="I33" s="114">
        <v>43019</v>
      </c>
      <c r="J33" s="111" t="s">
        <v>612</v>
      </c>
      <c r="K33" s="114">
        <v>43019</v>
      </c>
      <c r="L33" s="120" t="s">
        <v>619</v>
      </c>
      <c r="M33" s="113">
        <v>43019</v>
      </c>
      <c r="N33" s="121" t="s">
        <v>620</v>
      </c>
      <c r="O33" s="111"/>
      <c r="P33" s="113"/>
      <c r="Q33" s="112"/>
      <c r="R33" s="111"/>
      <c r="S33" s="113"/>
      <c r="T33" s="112"/>
      <c r="U33" s="111"/>
    </row>
    <row r="34" spans="1:22" s="60" customFormat="1" ht="20.25" customHeight="1" x14ac:dyDescent="0.2">
      <c r="A34" s="145"/>
      <c r="B34" s="145"/>
      <c r="C34" s="147"/>
      <c r="D34" s="145"/>
      <c r="E34" s="117">
        <v>2</v>
      </c>
      <c r="F34" s="118">
        <v>1</v>
      </c>
      <c r="G34" s="111" t="s">
        <v>412</v>
      </c>
      <c r="H34" s="111" t="s">
        <v>613</v>
      </c>
      <c r="I34" s="114">
        <v>43020</v>
      </c>
      <c r="J34" s="111" t="s">
        <v>618</v>
      </c>
      <c r="K34" s="114">
        <v>43023</v>
      </c>
      <c r="L34" s="120" t="s">
        <v>631</v>
      </c>
      <c r="M34" s="113">
        <v>43083</v>
      </c>
      <c r="N34" s="121" t="s">
        <v>549</v>
      </c>
      <c r="O34" s="111"/>
      <c r="P34" s="113"/>
      <c r="Q34" s="112"/>
      <c r="R34" s="111"/>
      <c r="S34" s="113"/>
      <c r="T34" s="112"/>
      <c r="U34" s="111"/>
    </row>
    <row r="35" spans="1:22" s="60" customFormat="1" ht="20.25" customHeight="1" x14ac:dyDescent="0.2">
      <c r="A35" s="144">
        <v>15</v>
      </c>
      <c r="B35" s="144" t="s">
        <v>614</v>
      </c>
      <c r="C35" s="146" t="s">
        <v>615</v>
      </c>
      <c r="D35" s="144" t="s">
        <v>616</v>
      </c>
      <c r="E35" s="131">
        <v>1</v>
      </c>
      <c r="F35" s="132">
        <v>1</v>
      </c>
      <c r="G35" s="130" t="s">
        <v>412</v>
      </c>
      <c r="H35" s="130" t="s">
        <v>617</v>
      </c>
      <c r="I35" s="133">
        <v>43048</v>
      </c>
      <c r="J35" s="111" t="s">
        <v>627</v>
      </c>
      <c r="K35" s="114">
        <v>43052</v>
      </c>
      <c r="L35" s="120" t="s">
        <v>628</v>
      </c>
      <c r="M35" s="134">
        <v>43062</v>
      </c>
      <c r="N35" s="135" t="s">
        <v>629</v>
      </c>
      <c r="O35" s="130"/>
      <c r="P35" s="134"/>
      <c r="Q35" s="136"/>
      <c r="R35" s="130"/>
      <c r="S35" s="134"/>
      <c r="T35" s="136"/>
      <c r="U35" s="130"/>
    </row>
    <row r="36" spans="1:22" s="60" customFormat="1" ht="20.25" customHeight="1" x14ac:dyDescent="0.2">
      <c r="A36" s="145"/>
      <c r="B36" s="145"/>
      <c r="C36" s="147"/>
      <c r="D36" s="145"/>
      <c r="E36" s="131">
        <v>2</v>
      </c>
      <c r="F36" s="132">
        <v>1</v>
      </c>
      <c r="G36" s="130" t="s">
        <v>412</v>
      </c>
      <c r="H36" s="130" t="s">
        <v>632</v>
      </c>
      <c r="I36" s="133">
        <v>43109</v>
      </c>
      <c r="J36" s="111" t="s">
        <v>637</v>
      </c>
      <c r="K36" s="114">
        <v>43110</v>
      </c>
      <c r="L36" s="120" t="s">
        <v>649</v>
      </c>
      <c r="M36" s="134">
        <v>43135</v>
      </c>
      <c r="N36" s="135" t="s">
        <v>549</v>
      </c>
      <c r="O36" s="130"/>
      <c r="P36" s="134"/>
      <c r="Q36" s="136"/>
      <c r="R36" s="130"/>
      <c r="S36" s="134"/>
      <c r="T36" s="136"/>
      <c r="U36" s="130"/>
    </row>
    <row r="37" spans="1:22" s="60" customFormat="1" ht="20.25" customHeight="1" x14ac:dyDescent="0.2">
      <c r="A37" s="111">
        <v>16</v>
      </c>
      <c r="B37" s="138" t="s">
        <v>622</v>
      </c>
      <c r="C37" s="110" t="s">
        <v>625</v>
      </c>
      <c r="D37" s="139" t="s">
        <v>623</v>
      </c>
      <c r="E37" s="117">
        <v>1</v>
      </c>
      <c r="F37" s="118">
        <v>1</v>
      </c>
      <c r="G37" s="111" t="s">
        <v>412</v>
      </c>
      <c r="H37" s="111" t="s">
        <v>624</v>
      </c>
      <c r="I37" s="114">
        <v>43100</v>
      </c>
      <c r="J37" s="111" t="s">
        <v>626</v>
      </c>
      <c r="K37" s="114">
        <v>43102</v>
      </c>
      <c r="L37" s="120" t="s">
        <v>630</v>
      </c>
      <c r="M37" s="113">
        <v>43103</v>
      </c>
      <c r="N37" s="121" t="s">
        <v>549</v>
      </c>
      <c r="O37" s="111"/>
      <c r="P37" s="113"/>
      <c r="Q37" s="112"/>
      <c r="R37" s="111"/>
      <c r="S37" s="113"/>
      <c r="T37" s="112"/>
      <c r="U37" s="111"/>
      <c r="V37" s="137"/>
    </row>
    <row r="38" spans="1:22" s="60" customFormat="1" ht="20.25" customHeight="1" x14ac:dyDescent="0.2">
      <c r="A38" s="175">
        <v>17</v>
      </c>
      <c r="B38" s="177" t="s">
        <v>639</v>
      </c>
      <c r="C38" s="146" t="s">
        <v>633</v>
      </c>
      <c r="D38" s="144" t="s">
        <v>634</v>
      </c>
      <c r="E38" s="117">
        <v>1</v>
      </c>
      <c r="F38" s="118">
        <v>1</v>
      </c>
      <c r="G38" s="111" t="s">
        <v>412</v>
      </c>
      <c r="H38" s="111" t="s">
        <v>635</v>
      </c>
      <c r="I38" s="114">
        <v>43110</v>
      </c>
      <c r="J38" s="111" t="s">
        <v>636</v>
      </c>
      <c r="K38" s="114">
        <v>43111</v>
      </c>
      <c r="L38" s="120"/>
      <c r="M38" s="113"/>
      <c r="N38" s="121"/>
      <c r="O38" s="111"/>
      <c r="P38" s="113"/>
      <c r="Q38" s="112"/>
      <c r="R38" s="111"/>
      <c r="S38" s="113"/>
      <c r="T38" s="112"/>
      <c r="U38" s="111"/>
      <c r="V38" s="137"/>
    </row>
    <row r="39" spans="1:22" s="60" customFormat="1" ht="20.25" customHeight="1" x14ac:dyDescent="0.2">
      <c r="A39" s="176"/>
      <c r="B39" s="178"/>
      <c r="C39" s="147"/>
      <c r="D39" s="145"/>
      <c r="E39" s="117">
        <v>2</v>
      </c>
      <c r="F39" s="118">
        <v>1</v>
      </c>
      <c r="G39" s="111" t="s">
        <v>412</v>
      </c>
      <c r="H39" s="111" t="s">
        <v>638</v>
      </c>
      <c r="I39" s="114">
        <v>43118</v>
      </c>
      <c r="J39" s="111" t="s">
        <v>640</v>
      </c>
      <c r="K39" s="114">
        <v>43118</v>
      </c>
      <c r="L39" s="120" t="s">
        <v>649</v>
      </c>
      <c r="M39" s="134">
        <v>43135</v>
      </c>
      <c r="N39" s="135" t="s">
        <v>549</v>
      </c>
      <c r="O39" s="111"/>
      <c r="P39" s="113"/>
      <c r="Q39" s="112"/>
      <c r="R39" s="111"/>
      <c r="S39" s="113"/>
      <c r="T39" s="112"/>
      <c r="U39" s="111"/>
      <c r="V39" s="137"/>
    </row>
    <row r="40" spans="1:22" s="60" customFormat="1" ht="20.25" customHeight="1" x14ac:dyDescent="0.2">
      <c r="A40" s="111">
        <v>18</v>
      </c>
      <c r="B40" s="138" t="s">
        <v>641</v>
      </c>
      <c r="C40" s="110" t="s">
        <v>642</v>
      </c>
      <c r="D40" s="139" t="s">
        <v>643</v>
      </c>
      <c r="E40" s="117">
        <v>1</v>
      </c>
      <c r="F40" s="118">
        <v>1</v>
      </c>
      <c r="G40" s="111" t="s">
        <v>412</v>
      </c>
      <c r="H40" s="111" t="s">
        <v>644</v>
      </c>
      <c r="I40" s="114">
        <v>43212</v>
      </c>
      <c r="J40" s="111" t="s">
        <v>648</v>
      </c>
      <c r="K40" s="114">
        <v>43212</v>
      </c>
      <c r="L40" s="120"/>
      <c r="M40" s="113"/>
      <c r="N40" s="121"/>
      <c r="O40" s="111"/>
      <c r="P40" s="113"/>
      <c r="Q40" s="112"/>
      <c r="R40" s="111"/>
      <c r="S40" s="113"/>
      <c r="T40" s="112"/>
      <c r="U40" s="111"/>
      <c r="V40" s="137"/>
    </row>
    <row r="41" spans="1:22" s="60" customFormat="1" ht="20.25" customHeight="1" x14ac:dyDescent="0.2">
      <c r="A41" s="111">
        <v>19</v>
      </c>
      <c r="B41" s="138" t="s">
        <v>655</v>
      </c>
      <c r="C41" s="110" t="s">
        <v>645</v>
      </c>
      <c r="D41" s="139" t="s">
        <v>646</v>
      </c>
      <c r="E41" s="117">
        <v>1</v>
      </c>
      <c r="F41" s="118">
        <v>1</v>
      </c>
      <c r="G41" s="111" t="s">
        <v>412</v>
      </c>
      <c r="H41" s="111" t="s">
        <v>647</v>
      </c>
      <c r="I41" s="114">
        <v>43319</v>
      </c>
      <c r="J41" s="111" t="s">
        <v>654</v>
      </c>
      <c r="K41" s="114">
        <v>43320</v>
      </c>
      <c r="L41" s="120"/>
      <c r="M41" s="113"/>
      <c r="N41" s="121"/>
      <c r="O41" s="111"/>
      <c r="P41" s="113"/>
      <c r="Q41" s="112"/>
      <c r="R41" s="111"/>
      <c r="S41" s="113"/>
      <c r="T41" s="112"/>
      <c r="U41" s="111"/>
      <c r="V41" s="137"/>
    </row>
    <row r="42" spans="1:22" s="60" customFormat="1" ht="20.25" customHeight="1" x14ac:dyDescent="0.2">
      <c r="A42" s="111">
        <v>20</v>
      </c>
      <c r="B42" s="138" t="s">
        <v>652</v>
      </c>
      <c r="C42" s="110" t="s">
        <v>650</v>
      </c>
      <c r="D42" s="139" t="s">
        <v>651</v>
      </c>
      <c r="E42" s="117">
        <v>1</v>
      </c>
      <c r="F42" s="118">
        <v>1</v>
      </c>
      <c r="G42" s="111" t="s">
        <v>412</v>
      </c>
      <c r="H42" s="111" t="s">
        <v>653</v>
      </c>
      <c r="I42" s="114">
        <v>43326</v>
      </c>
      <c r="J42" s="111" t="s">
        <v>656</v>
      </c>
      <c r="K42" s="114">
        <v>43327</v>
      </c>
      <c r="L42" s="120"/>
      <c r="M42" s="113"/>
      <c r="N42" s="121"/>
      <c r="O42" s="111"/>
      <c r="P42" s="113"/>
      <c r="Q42" s="112"/>
      <c r="R42" s="111"/>
      <c r="S42" s="113"/>
      <c r="T42" s="112"/>
      <c r="U42" s="111"/>
      <c r="V42" s="137"/>
    </row>
    <row r="43" spans="1:22" s="60" customFormat="1" ht="20.25" customHeight="1" x14ac:dyDescent="0.2">
      <c r="A43" s="124"/>
      <c r="B43" s="140"/>
      <c r="C43" s="143"/>
      <c r="D43" s="141"/>
      <c r="E43" s="122"/>
      <c r="F43" s="123"/>
      <c r="G43" s="124"/>
      <c r="H43" s="124"/>
      <c r="I43" s="125"/>
      <c r="J43" s="124"/>
      <c r="K43" s="124"/>
      <c r="L43" s="126"/>
      <c r="M43" s="127"/>
      <c r="N43" s="128"/>
      <c r="O43" s="124"/>
      <c r="P43" s="127"/>
      <c r="Q43" s="129"/>
      <c r="R43" s="124"/>
      <c r="S43" s="127"/>
      <c r="T43" s="129"/>
      <c r="U43" s="124"/>
      <c r="V43" s="142"/>
    </row>
    <row r="44" spans="1:22" s="64" customFormat="1" ht="20.25" customHeight="1" x14ac:dyDescent="0.2">
      <c r="A44" s="64" t="s">
        <v>528</v>
      </c>
      <c r="K44" s="65"/>
      <c r="M44" s="65"/>
      <c r="P44" s="65"/>
      <c r="S44" s="65"/>
    </row>
    <row r="45" spans="1:22" s="64" customFormat="1" ht="20.25" customHeight="1" x14ac:dyDescent="0.2">
      <c r="A45" s="64" t="s">
        <v>529</v>
      </c>
      <c r="K45" s="65"/>
      <c r="M45" s="65"/>
      <c r="P45" s="65"/>
      <c r="S45" s="65"/>
    </row>
    <row r="46" spans="1:22" s="64" customFormat="1" ht="20.25" customHeight="1" x14ac:dyDescent="0.2">
      <c r="K46" s="65"/>
      <c r="M46" s="65"/>
      <c r="P46" s="65"/>
      <c r="S46" s="65"/>
    </row>
  </sheetData>
  <mergeCells count="62">
    <mergeCell ref="A12:A13"/>
    <mergeCell ref="B12:B13"/>
    <mergeCell ref="C12:C13"/>
    <mergeCell ref="D12:D13"/>
    <mergeCell ref="A38:A39"/>
    <mergeCell ref="B38:B39"/>
    <mergeCell ref="C38:C39"/>
    <mergeCell ref="D38:D39"/>
    <mergeCell ref="A27:A28"/>
    <mergeCell ref="B27:B28"/>
    <mergeCell ref="C27:C28"/>
    <mergeCell ref="D27:D28"/>
    <mergeCell ref="A17:A19"/>
    <mergeCell ref="B17:B19"/>
    <mergeCell ref="C17:C19"/>
    <mergeCell ref="D17:D19"/>
    <mergeCell ref="D1:G1"/>
    <mergeCell ref="C2:J2"/>
    <mergeCell ref="D3:G3"/>
    <mergeCell ref="C4:J4"/>
    <mergeCell ref="J7:K7"/>
    <mergeCell ref="F5:F8"/>
    <mergeCell ref="G5:G8"/>
    <mergeCell ref="E5:E8"/>
    <mergeCell ref="U5:U8"/>
    <mergeCell ref="H6:K6"/>
    <mergeCell ref="H5:K5"/>
    <mergeCell ref="L5:N5"/>
    <mergeCell ref="H7:I7"/>
    <mergeCell ref="O5:Q5"/>
    <mergeCell ref="R5:T5"/>
    <mergeCell ref="O6:Q7"/>
    <mergeCell ref="R6:T7"/>
    <mergeCell ref="L6:N7"/>
    <mergeCell ref="A5:A8"/>
    <mergeCell ref="B5:B8"/>
    <mergeCell ref="C5:C8"/>
    <mergeCell ref="D5:D8"/>
    <mergeCell ref="A29:A31"/>
    <mergeCell ref="B29:B31"/>
    <mergeCell ref="C29:C31"/>
    <mergeCell ref="D29:D31"/>
    <mergeCell ref="A14:A16"/>
    <mergeCell ref="B14:B16"/>
    <mergeCell ref="C14:C16"/>
    <mergeCell ref="D14:D16"/>
    <mergeCell ref="A24:A26"/>
    <mergeCell ref="B24:B26"/>
    <mergeCell ref="C24:C26"/>
    <mergeCell ref="D24:D26"/>
    <mergeCell ref="A22:A23"/>
    <mergeCell ref="B22:B23"/>
    <mergeCell ref="C22:C23"/>
    <mergeCell ref="D22:D23"/>
    <mergeCell ref="A35:A36"/>
    <mergeCell ref="B35:B36"/>
    <mergeCell ref="C35:C36"/>
    <mergeCell ref="D35:D36"/>
    <mergeCell ref="A33:A34"/>
    <mergeCell ref="B33:B34"/>
    <mergeCell ref="C33:C34"/>
    <mergeCell ref="D33:D34"/>
  </mergeCells>
  <hyperlinks>
    <hyperlink ref="E14" r:id="rId1" display="..\MOORING ANALYSIS\TAE JACKET INSTALLATION"/>
    <hyperlink ref="E10" r:id="rId2" display="..\MOORING ANALYSIS\SEP-250 MOORING ANALYSIS AT ABK-TIP\REV-0\REPORT-PDF"/>
    <hyperlink ref="E17" r:id="rId3" display="..\MOORING ANALYSIS\SEP-250 MOORING ANALYSIS @TA\REV-1"/>
    <hyperlink ref="E12" r:id="rId4" display="..\PIPELINE &amp; CABLES\COMPOSITE CABLES INSTALLATION\REV-1"/>
    <hyperlink ref="L10" r:id="rId5"/>
    <hyperlink ref="L14" r:id="rId6"/>
    <hyperlink ref="E16" r:id="rId7" display="..\MOORING ANALYSIS\TAE JACKET INSTALLATION"/>
    <hyperlink ref="E21" r:id="rId8" display="..\MOORING ANALYSIS\SEP-250 AT S7\REV-1\REPORT-PDF"/>
    <hyperlink ref="L12" r:id="rId9"/>
    <hyperlink ref="L17" r:id="rId10"/>
    <hyperlink ref="L16" r:id="rId11"/>
    <hyperlink ref="L21" r:id="rId12"/>
    <hyperlink ref="E20" r:id="rId13" display="..\MOORING ANALYSIS\TAE DECK INSTALLATION\TAE DECK\REPORT"/>
    <hyperlink ref="E22" r:id="rId14" display="..\MOORING ANALYSIS\ABK TABLE TOP INSTALLATION\REPORT"/>
    <hyperlink ref="E23" r:id="rId15" display="..\MOORING ANALYSIS\ABK TABLE TOP INSTALLATION\REV 2\REPORT"/>
    <hyperlink ref="L20" r:id="rId16"/>
    <hyperlink ref="E24" r:id="rId17" display="..\MOORING ANALYSIS\SEP-650 AT WIP\REV-1"/>
    <hyperlink ref="E27" r:id="rId18" display="..\MOORING ANALYSIS\SEP-650 AT B14\REV-1"/>
    <hyperlink ref="L27" r:id="rId19"/>
    <hyperlink ref="E28" r:id="rId20" display="..\MOORING ANALYSIS\SEP-650 AT B14\REV-2"/>
    <hyperlink ref="L24" r:id="rId21"/>
    <hyperlink ref="L23" r:id="rId22"/>
    <hyperlink ref="E25" r:id="rId23" display="..\MOORING ANALYSIS\SEP-650 AT WIP\REV-2\REPORT"/>
    <hyperlink ref="E18" r:id="rId24" display="..\MOORING ANALYSIS\SEP-250 MOORING ANALYSIS @TA\REV-2"/>
    <hyperlink ref="E19" r:id="rId25" display="..\MOORING ANALYSIS\SEP-250 MOORING ANALYSIS @TA\REV-3"/>
    <hyperlink ref="L19" r:id="rId26"/>
    <hyperlink ref="L25" r:id="rId27"/>
    <hyperlink ref="E9" r:id="rId28" display="..\MOORING ANALYSIS\SEP-250 MOORING AT US 216\REPORT"/>
    <hyperlink ref="E29" r:id="rId29" display="..\MOORING ANALYSIS\WORKBOAT @B14NGTP\REV-1"/>
    <hyperlink ref="E30" r:id="rId30" display="..\MOORING ANALYSIS\WORKBOAT @B14NGTP\REV-2"/>
    <hyperlink ref="L30" r:id="rId31"/>
    <hyperlink ref="E26" r:id="rId32" display="..\MOORING ANALYSIS\SEP-650 AT WIP\REV-3"/>
    <hyperlink ref="E32" r:id="rId33" display="..\MOORING ANALYSIS\SEP-650 AT US-58\REV-1"/>
    <hyperlink ref="E31" r:id="rId34" display="..\MOORING ANALYSIS\WORKBOAT @B14NGTP\REV-3"/>
    <hyperlink ref="L32" r:id="rId35"/>
    <hyperlink ref="L26" r:id="rId36"/>
    <hyperlink ref="L9" r:id="rId37"/>
    <hyperlink ref="E34" r:id="rId38" display="..\MOORING ANALYSIS\JB-118 AT HAP\REV-2"/>
    <hyperlink ref="L33" r:id="rId39"/>
    <hyperlink ref="L31" r:id="rId40"/>
    <hyperlink ref="E37" r:id="rId41" display="..\MOORING ANALYSIS\WORKBOAT AT B11 BRIDGE\REV-1"/>
    <hyperlink ref="L35" r:id="rId42"/>
    <hyperlink ref="L37" r:id="rId43"/>
    <hyperlink ref="L34" r:id="rId44"/>
    <hyperlink ref="E36" r:id="rId45" display="..\MOORING ANALYSIS\SEP-350 AT ABK\REV-2"/>
    <hyperlink ref="E38" r:id="rId46" display="..\MOORING ANALYSIS\SEP-650 AT GTP\REV-1"/>
    <hyperlink ref="E39" r:id="rId47" display="..\MOORING ANALYSIS\SEP-650 AT GTP\REV-2"/>
    <hyperlink ref="E40" r:id="rId48" display="..\MOORING ANALYSIS\SEP-650 AT ABK\REV-1"/>
    <hyperlink ref="L39" r:id="rId49"/>
    <hyperlink ref="L36" r:id="rId50"/>
    <hyperlink ref="E42" r:id="rId51" display="..\MOORING ANALYSIS\SEP-150 AT TAE DECK\REV-1\PDF-REPORT"/>
  </hyperlinks>
  <printOptions horizontalCentered="1"/>
  <pageMargins left="0.5" right="0.25" top="0.5" bottom="0.5" header="0.25" footer="0.25"/>
  <pageSetup paperSize="8" scale="70" orientation="landscape" r:id="rId52"/>
  <headerFooter alignWithMargins="0">
    <oddFooter>&amp;R&amp;"Tahoma,Bold"&amp;8PAGE &amp;P OF &amp;N</oddFooter>
  </headerFooter>
  <drawing r:id="rId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zoomScaleNormal="100" workbookViewId="0">
      <selection activeCell="N16" sqref="N16"/>
    </sheetView>
  </sheetViews>
  <sheetFormatPr defaultColWidth="10.6640625" defaultRowHeight="12.75" x14ac:dyDescent="0.2"/>
  <cols>
    <col min="1" max="1" width="9.1640625" style="2" customWidth="1"/>
    <col min="2" max="2" width="61" style="2" customWidth="1"/>
    <col min="3" max="3" width="20.83203125" style="1" customWidth="1"/>
    <col min="4" max="4" width="22.83203125" style="1" customWidth="1"/>
    <col min="5" max="6" width="6.83203125" style="1" customWidth="1"/>
    <col min="7" max="7" width="12.83203125" style="1" customWidth="1"/>
    <col min="8" max="8" width="18.83203125" style="1" hidden="1" customWidth="1"/>
    <col min="9" max="9" width="10.83203125" style="1" hidden="1" customWidth="1"/>
    <col min="10" max="10" width="17.83203125" style="2" customWidth="1"/>
    <col min="11" max="11" width="12.1640625" style="3" customWidth="1"/>
    <col min="12" max="13" width="15.33203125" style="3" customWidth="1"/>
    <col min="14" max="14" width="22.83203125" style="2" customWidth="1"/>
    <col min="15" max="15" width="10.83203125" style="3" customWidth="1"/>
    <col min="16" max="16" width="6.83203125" style="2" customWidth="1"/>
    <col min="17" max="17" width="14.83203125" style="2" hidden="1" customWidth="1"/>
    <col min="18" max="18" width="10.83203125" style="2" hidden="1" customWidth="1"/>
    <col min="19" max="19" width="6.83203125" style="2" hidden="1" customWidth="1"/>
    <col min="20" max="20" width="14.83203125" style="2" customWidth="1"/>
    <col min="21" max="21" width="10.83203125" style="3" customWidth="1"/>
    <col min="22" max="22" width="6.83203125" style="23" customWidth="1"/>
    <col min="23" max="23" width="22.83203125" style="2" customWidth="1"/>
    <col min="24" max="16384" width="10.6640625" style="2"/>
  </cols>
  <sheetData>
    <row r="1" spans="1:23" s="4" customFormat="1" ht="20.25" customHeight="1" x14ac:dyDescent="0.2">
      <c r="A1" s="15"/>
      <c r="B1" s="17"/>
      <c r="C1" s="180" t="s">
        <v>480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68"/>
      <c r="P1" s="68"/>
      <c r="Q1" s="68"/>
      <c r="R1" s="69"/>
      <c r="S1" s="70"/>
      <c r="T1" s="68"/>
      <c r="U1" s="68"/>
      <c r="V1" s="68"/>
      <c r="W1" s="68"/>
    </row>
    <row r="2" spans="1:23" s="4" customFormat="1" ht="20.25" customHeight="1" x14ac:dyDescent="0.2">
      <c r="A2" s="18"/>
      <c r="B2" s="19"/>
      <c r="C2" s="181" t="s">
        <v>481</v>
      </c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1"/>
      <c r="P2" s="11"/>
      <c r="Q2" s="66"/>
      <c r="R2" s="71"/>
      <c r="S2" s="72"/>
      <c r="T2" s="11"/>
      <c r="U2" s="11"/>
      <c r="V2" s="11"/>
      <c r="W2" s="11"/>
    </row>
    <row r="3" spans="1:23" s="4" customFormat="1" ht="20.25" customHeight="1" x14ac:dyDescent="0.2">
      <c r="A3" s="18"/>
      <c r="B3" s="19"/>
      <c r="C3" s="181" t="s">
        <v>482</v>
      </c>
      <c r="D3" s="171"/>
      <c r="E3" s="171"/>
      <c r="F3" s="171"/>
      <c r="G3" s="171"/>
      <c r="H3" s="171"/>
      <c r="I3" s="171"/>
      <c r="J3" s="171"/>
      <c r="K3" s="171"/>
      <c r="L3" s="116"/>
      <c r="M3" s="116"/>
      <c r="N3" s="11"/>
      <c r="O3" s="66"/>
      <c r="P3" s="66"/>
      <c r="Q3" s="66"/>
      <c r="R3" s="73"/>
      <c r="S3" s="74"/>
      <c r="T3" s="66"/>
      <c r="U3" s="66"/>
      <c r="V3" s="66"/>
      <c r="W3" s="66"/>
    </row>
    <row r="4" spans="1:23" s="4" customFormat="1" ht="20.25" customHeight="1" x14ac:dyDescent="0.2">
      <c r="A4" s="20"/>
      <c r="B4" s="21"/>
      <c r="C4" s="182" t="s">
        <v>19</v>
      </c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67"/>
      <c r="P4" s="67"/>
      <c r="Q4" s="67"/>
      <c r="R4" s="75"/>
      <c r="S4" s="76"/>
      <c r="T4" s="67"/>
      <c r="U4" s="67"/>
      <c r="V4" s="67"/>
      <c r="W4" s="67"/>
    </row>
    <row r="5" spans="1:23" s="12" customFormat="1" ht="20.25" customHeight="1" x14ac:dyDescent="0.2">
      <c r="A5" s="149" t="s">
        <v>0</v>
      </c>
      <c r="B5" s="149" t="s">
        <v>1</v>
      </c>
      <c r="C5" s="149" t="s">
        <v>17</v>
      </c>
      <c r="D5" s="149" t="s">
        <v>18</v>
      </c>
      <c r="E5" s="149" t="s">
        <v>15</v>
      </c>
      <c r="F5" s="149" t="s">
        <v>89</v>
      </c>
      <c r="G5" s="149" t="s">
        <v>11</v>
      </c>
      <c r="H5" s="155" t="s">
        <v>12</v>
      </c>
      <c r="I5" s="156"/>
      <c r="J5" s="156"/>
      <c r="K5" s="156"/>
      <c r="L5" s="156"/>
      <c r="M5" s="157"/>
      <c r="N5" s="148" t="s">
        <v>13</v>
      </c>
      <c r="O5" s="148"/>
      <c r="P5" s="148"/>
      <c r="Q5" s="155" t="s">
        <v>14</v>
      </c>
      <c r="R5" s="156"/>
      <c r="S5" s="157"/>
      <c r="T5" s="155" t="s">
        <v>328</v>
      </c>
      <c r="U5" s="156"/>
      <c r="V5" s="157"/>
      <c r="W5" s="149" t="s">
        <v>2</v>
      </c>
    </row>
    <row r="6" spans="1:23" s="12" customFormat="1" ht="20.25" customHeight="1" x14ac:dyDescent="0.2">
      <c r="A6" s="154"/>
      <c r="B6" s="183"/>
      <c r="C6" s="154"/>
      <c r="D6" s="154"/>
      <c r="E6" s="154"/>
      <c r="F6" s="154"/>
      <c r="G6" s="154"/>
      <c r="H6" s="155" t="s">
        <v>4</v>
      </c>
      <c r="I6" s="156"/>
      <c r="J6" s="156"/>
      <c r="K6" s="156"/>
      <c r="L6" s="156"/>
      <c r="M6" s="157"/>
      <c r="N6" s="179" t="s">
        <v>5</v>
      </c>
      <c r="O6" s="179"/>
      <c r="P6" s="179"/>
      <c r="Q6" s="158" t="s">
        <v>5</v>
      </c>
      <c r="R6" s="159"/>
      <c r="S6" s="160"/>
      <c r="T6" s="158" t="s">
        <v>5</v>
      </c>
      <c r="U6" s="159"/>
      <c r="V6" s="160"/>
      <c r="W6" s="154"/>
    </row>
    <row r="7" spans="1:23" s="12" customFormat="1" ht="20.25" customHeight="1" x14ac:dyDescent="0.2">
      <c r="A7" s="154"/>
      <c r="B7" s="183"/>
      <c r="C7" s="154"/>
      <c r="D7" s="154"/>
      <c r="E7" s="154"/>
      <c r="F7" s="154"/>
      <c r="G7" s="154"/>
      <c r="H7" s="155" t="s">
        <v>108</v>
      </c>
      <c r="I7" s="157"/>
      <c r="J7" s="156" t="s">
        <v>515</v>
      </c>
      <c r="K7" s="157"/>
      <c r="L7" s="156" t="s">
        <v>516</v>
      </c>
      <c r="M7" s="157"/>
      <c r="N7" s="31"/>
      <c r="O7" s="31"/>
      <c r="P7" s="31"/>
      <c r="Q7" s="161"/>
      <c r="R7" s="162"/>
      <c r="S7" s="163"/>
      <c r="T7" s="161"/>
      <c r="U7" s="162"/>
      <c r="V7" s="163"/>
      <c r="W7" s="154"/>
    </row>
    <row r="8" spans="1:23" s="12" customFormat="1" ht="20.25" customHeight="1" x14ac:dyDescent="0.2">
      <c r="A8" s="154"/>
      <c r="B8" s="183"/>
      <c r="C8" s="154"/>
      <c r="D8" s="154"/>
      <c r="E8" s="154"/>
      <c r="F8" s="154"/>
      <c r="G8" s="154"/>
      <c r="H8" s="32" t="s">
        <v>6</v>
      </c>
      <c r="I8" s="33" t="s">
        <v>3</v>
      </c>
      <c r="J8" s="115" t="s">
        <v>6</v>
      </c>
      <c r="K8" s="33" t="s">
        <v>3</v>
      </c>
      <c r="L8" s="115" t="s">
        <v>6</v>
      </c>
      <c r="M8" s="33" t="s">
        <v>3</v>
      </c>
      <c r="N8" s="36" t="s">
        <v>6</v>
      </c>
      <c r="O8" s="53" t="s">
        <v>3</v>
      </c>
      <c r="P8" s="36" t="s">
        <v>10</v>
      </c>
      <c r="Q8" s="34" t="s">
        <v>6</v>
      </c>
      <c r="R8" s="35" t="s">
        <v>3</v>
      </c>
      <c r="S8" s="36" t="s">
        <v>10</v>
      </c>
      <c r="T8" s="34" t="s">
        <v>6</v>
      </c>
      <c r="U8" s="33" t="s">
        <v>3</v>
      </c>
      <c r="V8" s="37" t="s">
        <v>10</v>
      </c>
      <c r="W8" s="154"/>
    </row>
    <row r="9" spans="1:23" s="60" customFormat="1" ht="25.5" customHeight="1" x14ac:dyDescent="0.2">
      <c r="A9" s="111">
        <v>1</v>
      </c>
      <c r="B9" s="112" t="s">
        <v>501</v>
      </c>
      <c r="C9" s="111" t="s">
        <v>500</v>
      </c>
      <c r="D9" s="111" t="s">
        <v>502</v>
      </c>
      <c r="E9" s="117">
        <v>0</v>
      </c>
      <c r="F9" s="118">
        <v>2</v>
      </c>
      <c r="G9" s="118"/>
      <c r="H9" s="111"/>
      <c r="I9" s="111"/>
      <c r="J9" s="111" t="s">
        <v>513</v>
      </c>
      <c r="K9" s="113">
        <v>42437</v>
      </c>
      <c r="L9" s="119"/>
      <c r="M9" s="119"/>
      <c r="N9" s="113"/>
      <c r="O9" s="113"/>
      <c r="P9" s="111"/>
      <c r="Q9" s="111"/>
      <c r="R9" s="113"/>
      <c r="S9" s="112"/>
      <c r="T9" s="111"/>
      <c r="U9" s="113"/>
      <c r="V9" s="112"/>
      <c r="W9" s="111"/>
    </row>
    <row r="10" spans="1:23" s="60" customFormat="1" ht="24.75" customHeight="1" x14ac:dyDescent="0.2">
      <c r="A10" s="111">
        <v>2</v>
      </c>
      <c r="B10" s="112" t="s">
        <v>543</v>
      </c>
      <c r="C10" s="111" t="s">
        <v>504</v>
      </c>
      <c r="D10" s="111" t="s">
        <v>505</v>
      </c>
      <c r="E10" s="117">
        <v>0</v>
      </c>
      <c r="F10" s="118">
        <v>2</v>
      </c>
      <c r="G10" s="118"/>
      <c r="H10" s="111"/>
      <c r="I10" s="111"/>
      <c r="J10" s="111" t="s">
        <v>513</v>
      </c>
      <c r="K10" s="113">
        <v>42437</v>
      </c>
      <c r="L10" s="119"/>
      <c r="M10" s="119"/>
      <c r="N10" s="113"/>
      <c r="O10" s="113"/>
      <c r="P10" s="111"/>
      <c r="Q10" s="111"/>
      <c r="R10" s="113"/>
      <c r="S10" s="112"/>
      <c r="T10" s="111"/>
      <c r="U10" s="113"/>
      <c r="V10" s="112"/>
      <c r="W10" s="111"/>
    </row>
    <row r="11" spans="1:23" s="60" customFormat="1" ht="25.5" customHeight="1" x14ac:dyDescent="0.2">
      <c r="A11" s="144">
        <v>3</v>
      </c>
      <c r="B11" s="151" t="s">
        <v>503</v>
      </c>
      <c r="C11" s="144" t="s">
        <v>506</v>
      </c>
      <c r="D11" s="144" t="s">
        <v>507</v>
      </c>
      <c r="E11" s="117">
        <v>0</v>
      </c>
      <c r="F11" s="118">
        <v>2</v>
      </c>
      <c r="G11" s="118"/>
      <c r="H11" s="111"/>
      <c r="I11" s="111"/>
      <c r="J11" s="111" t="s">
        <v>513</v>
      </c>
      <c r="K11" s="113">
        <v>42437</v>
      </c>
      <c r="L11" s="119"/>
      <c r="M11" s="119"/>
      <c r="N11" s="113"/>
      <c r="O11" s="113"/>
      <c r="P11" s="111"/>
      <c r="Q11" s="111"/>
      <c r="R11" s="113"/>
      <c r="S11" s="112"/>
      <c r="T11" s="111"/>
      <c r="U11" s="113"/>
      <c r="V11" s="112"/>
      <c r="W11" s="111"/>
    </row>
    <row r="12" spans="1:23" s="60" customFormat="1" ht="25.5" customHeight="1" x14ac:dyDescent="0.2">
      <c r="A12" s="145"/>
      <c r="B12" s="153"/>
      <c r="C12" s="145"/>
      <c r="D12" s="145"/>
      <c r="E12" s="117">
        <v>1</v>
      </c>
      <c r="F12" s="118">
        <v>2</v>
      </c>
      <c r="G12" s="118"/>
      <c r="H12" s="111"/>
      <c r="I12" s="111"/>
      <c r="J12" s="111" t="s">
        <v>544</v>
      </c>
      <c r="K12" s="113">
        <v>42554</v>
      </c>
      <c r="L12" s="119"/>
      <c r="M12" s="119"/>
      <c r="N12" s="113"/>
      <c r="O12" s="113"/>
      <c r="P12" s="111"/>
      <c r="Q12" s="111"/>
      <c r="R12" s="113"/>
      <c r="S12" s="112"/>
      <c r="T12" s="111"/>
      <c r="U12" s="113"/>
      <c r="V12" s="112"/>
      <c r="W12" s="111"/>
    </row>
    <row r="13" spans="1:23" s="60" customFormat="1" ht="26.25" customHeight="1" x14ac:dyDescent="0.2">
      <c r="A13" s="111">
        <v>4</v>
      </c>
      <c r="B13" s="112" t="s">
        <v>542</v>
      </c>
      <c r="C13" s="111" t="s">
        <v>508</v>
      </c>
      <c r="D13" s="111" t="s">
        <v>509</v>
      </c>
      <c r="E13" s="117">
        <v>0</v>
      </c>
      <c r="F13" s="118">
        <v>2</v>
      </c>
      <c r="G13" s="118"/>
      <c r="H13" s="111"/>
      <c r="I13" s="111"/>
      <c r="J13" s="111" t="s">
        <v>513</v>
      </c>
      <c r="K13" s="113">
        <v>42437</v>
      </c>
      <c r="L13" s="119"/>
      <c r="M13" s="119"/>
      <c r="N13" s="113"/>
      <c r="O13" s="113"/>
      <c r="P13" s="111"/>
      <c r="Q13" s="111"/>
      <c r="R13" s="113"/>
      <c r="S13" s="112"/>
      <c r="T13" s="111"/>
      <c r="U13" s="113"/>
      <c r="V13" s="112"/>
      <c r="W13" s="111"/>
    </row>
    <row r="14" spans="1:23" s="60" customFormat="1" ht="20.25" customHeight="1" x14ac:dyDescent="0.15">
      <c r="A14" s="111"/>
      <c r="B14" s="111"/>
      <c r="C14" s="111"/>
      <c r="D14" s="111"/>
      <c r="E14" s="111"/>
      <c r="F14" s="111"/>
      <c r="G14" s="111"/>
      <c r="H14" s="111"/>
      <c r="I14" s="111"/>
      <c r="J14" s="111"/>
      <c r="K14" s="113"/>
      <c r="L14" s="113"/>
      <c r="M14" s="113"/>
      <c r="N14" s="111"/>
      <c r="O14" s="113"/>
      <c r="P14" s="111"/>
      <c r="Q14" s="111"/>
      <c r="R14" s="113"/>
      <c r="S14" s="112"/>
      <c r="T14" s="111"/>
      <c r="U14" s="113"/>
      <c r="V14" s="112"/>
      <c r="W14" s="111"/>
    </row>
    <row r="15" spans="1:23" s="60" customFormat="1" ht="20.25" customHeight="1" x14ac:dyDescent="0.15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3"/>
      <c r="L15" s="113"/>
      <c r="M15" s="113"/>
      <c r="N15" s="111"/>
      <c r="O15" s="113"/>
      <c r="P15" s="111"/>
      <c r="Q15" s="111"/>
      <c r="R15" s="113"/>
      <c r="S15" s="112"/>
      <c r="T15" s="111"/>
      <c r="U15" s="113"/>
      <c r="V15" s="112"/>
      <c r="W15" s="111"/>
    </row>
    <row r="16" spans="1:23" s="60" customFormat="1" ht="20.25" customHeight="1" x14ac:dyDescent="0.15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3"/>
      <c r="L16" s="113"/>
      <c r="M16" s="113"/>
      <c r="N16" s="111"/>
      <c r="O16" s="113"/>
      <c r="P16" s="111"/>
      <c r="Q16" s="111"/>
      <c r="R16" s="113"/>
      <c r="S16" s="112"/>
      <c r="T16" s="111"/>
      <c r="U16" s="113"/>
      <c r="V16" s="112"/>
      <c r="W16" s="111"/>
    </row>
    <row r="17" spans="1:23" s="60" customFormat="1" ht="20.25" customHeight="1" x14ac:dyDescent="0.15">
      <c r="A17" s="111"/>
      <c r="B17" s="111"/>
      <c r="C17" s="111"/>
      <c r="D17" s="111"/>
      <c r="E17" s="111"/>
      <c r="F17" s="111"/>
      <c r="G17" s="111"/>
      <c r="H17" s="111"/>
      <c r="I17" s="111"/>
      <c r="J17" s="111"/>
      <c r="K17" s="113"/>
      <c r="L17" s="113"/>
      <c r="M17" s="113"/>
      <c r="N17" s="111"/>
      <c r="O17" s="113"/>
      <c r="P17" s="111"/>
      <c r="Q17" s="111"/>
      <c r="R17" s="113"/>
      <c r="S17" s="112"/>
      <c r="T17" s="111"/>
      <c r="U17" s="113"/>
      <c r="V17" s="112"/>
      <c r="W17" s="111"/>
    </row>
    <row r="18" spans="1:23" s="60" customFormat="1" ht="20.25" customHeight="1" x14ac:dyDescent="0.15">
      <c r="A18" s="111"/>
      <c r="B18" s="111"/>
      <c r="C18" s="111"/>
      <c r="D18" s="111"/>
      <c r="E18" s="111"/>
      <c r="F18" s="111"/>
      <c r="G18" s="111"/>
      <c r="H18" s="111"/>
      <c r="I18" s="111"/>
      <c r="J18" s="111"/>
      <c r="K18" s="113"/>
      <c r="L18" s="113"/>
      <c r="M18" s="113"/>
      <c r="N18" s="111"/>
      <c r="O18" s="113"/>
      <c r="P18" s="111"/>
      <c r="Q18" s="111"/>
      <c r="R18" s="113"/>
      <c r="S18" s="112"/>
      <c r="T18" s="111"/>
      <c r="U18" s="113"/>
      <c r="V18" s="112"/>
      <c r="W18" s="111"/>
    </row>
    <row r="19" spans="1:23" s="60" customFormat="1" ht="20.25" customHeight="1" x14ac:dyDescent="0.15">
      <c r="A19" s="111"/>
      <c r="B19" s="111"/>
      <c r="C19" s="111"/>
      <c r="D19" s="111"/>
      <c r="E19" s="111"/>
      <c r="F19" s="111"/>
      <c r="G19" s="111"/>
      <c r="H19" s="111"/>
      <c r="I19" s="111"/>
      <c r="J19" s="111"/>
      <c r="K19" s="113"/>
      <c r="L19" s="113"/>
      <c r="M19" s="113"/>
      <c r="N19" s="111"/>
      <c r="O19" s="113"/>
      <c r="P19" s="111"/>
      <c r="Q19" s="111"/>
      <c r="R19" s="113"/>
      <c r="S19" s="112"/>
      <c r="T19" s="111"/>
      <c r="U19" s="113"/>
      <c r="V19" s="112"/>
      <c r="W19" s="111"/>
    </row>
    <row r="20" spans="1:23" s="60" customFormat="1" ht="20.25" customHeight="1" x14ac:dyDescent="0.15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3"/>
      <c r="L20" s="113"/>
      <c r="M20" s="113"/>
      <c r="N20" s="111"/>
      <c r="O20" s="113"/>
      <c r="P20" s="111"/>
      <c r="Q20" s="111"/>
      <c r="R20" s="113"/>
      <c r="S20" s="112"/>
      <c r="T20" s="111"/>
      <c r="U20" s="113"/>
      <c r="V20" s="112"/>
      <c r="W20" s="111"/>
    </row>
    <row r="21" spans="1:23" s="60" customFormat="1" ht="20.25" customHeight="1" x14ac:dyDescent="0.15">
      <c r="A21" s="111"/>
      <c r="B21" s="111"/>
      <c r="C21" s="111"/>
      <c r="D21" s="111"/>
      <c r="E21" s="111"/>
      <c r="F21" s="111"/>
      <c r="G21" s="111"/>
      <c r="H21" s="111"/>
      <c r="I21" s="111"/>
      <c r="J21" s="111"/>
      <c r="K21" s="113"/>
      <c r="L21" s="113"/>
      <c r="M21" s="113"/>
      <c r="N21" s="111"/>
      <c r="O21" s="113"/>
      <c r="P21" s="111"/>
      <c r="Q21" s="111"/>
      <c r="R21" s="113"/>
      <c r="S21" s="112"/>
      <c r="T21" s="111"/>
      <c r="U21" s="113"/>
      <c r="V21" s="112"/>
      <c r="W21" s="111"/>
    </row>
    <row r="22" spans="1:23" s="60" customFormat="1" ht="20.25" customHeight="1" x14ac:dyDescent="0.15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3"/>
      <c r="L22" s="113"/>
      <c r="M22" s="113"/>
      <c r="N22" s="111"/>
      <c r="O22" s="113"/>
      <c r="P22" s="111"/>
      <c r="Q22" s="111"/>
      <c r="R22" s="113"/>
      <c r="S22" s="112"/>
      <c r="T22" s="111"/>
      <c r="U22" s="113"/>
      <c r="V22" s="112"/>
      <c r="W22" s="111"/>
    </row>
    <row r="23" spans="1:23" s="60" customFormat="1" ht="20.25" customHeight="1" x14ac:dyDescent="0.1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3"/>
      <c r="L23" s="113"/>
      <c r="M23" s="113"/>
      <c r="N23" s="111"/>
      <c r="O23" s="113"/>
      <c r="P23" s="111"/>
      <c r="Q23" s="111"/>
      <c r="R23" s="113"/>
      <c r="S23" s="112"/>
      <c r="T23" s="111"/>
      <c r="U23" s="113"/>
      <c r="V23" s="112"/>
      <c r="W23" s="111"/>
    </row>
    <row r="24" spans="1:23" s="60" customFormat="1" ht="20.25" customHeight="1" x14ac:dyDescent="0.15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3"/>
      <c r="L24" s="113"/>
      <c r="M24" s="113"/>
      <c r="N24" s="111"/>
      <c r="O24" s="113"/>
      <c r="P24" s="111"/>
      <c r="Q24" s="111"/>
      <c r="R24" s="113"/>
      <c r="S24" s="112"/>
      <c r="T24" s="111"/>
      <c r="U24" s="113"/>
      <c r="V24" s="112"/>
      <c r="W24" s="111"/>
    </row>
    <row r="25" spans="1:23" s="60" customFormat="1" ht="20.25" customHeight="1" x14ac:dyDescent="0.15">
      <c r="A25" s="111"/>
      <c r="B25" s="111"/>
      <c r="C25" s="111"/>
      <c r="D25" s="111"/>
      <c r="E25" s="111"/>
      <c r="F25" s="111"/>
      <c r="G25" s="111"/>
      <c r="H25" s="111"/>
      <c r="I25" s="111"/>
      <c r="J25" s="111"/>
      <c r="K25" s="113"/>
      <c r="L25" s="113"/>
      <c r="M25" s="113"/>
      <c r="N25" s="111"/>
      <c r="O25" s="113"/>
      <c r="P25" s="111"/>
      <c r="Q25" s="111"/>
      <c r="R25" s="113"/>
      <c r="S25" s="112"/>
      <c r="T25" s="111"/>
      <c r="U25" s="113"/>
      <c r="V25" s="112"/>
      <c r="W25" s="111"/>
    </row>
    <row r="26" spans="1:23" s="60" customFormat="1" ht="20.25" customHeight="1" x14ac:dyDescent="0.15">
      <c r="A26" s="111"/>
      <c r="B26" s="111"/>
      <c r="C26" s="111"/>
      <c r="D26" s="111"/>
      <c r="E26" s="111"/>
      <c r="F26" s="111"/>
      <c r="G26" s="111"/>
      <c r="H26" s="111"/>
      <c r="I26" s="111"/>
      <c r="J26" s="111"/>
      <c r="K26" s="113"/>
      <c r="L26" s="113"/>
      <c r="M26" s="113"/>
      <c r="N26" s="111"/>
      <c r="O26" s="113"/>
      <c r="P26" s="111"/>
      <c r="Q26" s="111"/>
      <c r="R26" s="113"/>
      <c r="S26" s="112"/>
      <c r="T26" s="111"/>
      <c r="U26" s="113"/>
      <c r="V26" s="112"/>
      <c r="W26" s="111"/>
    </row>
    <row r="27" spans="1:23" s="60" customFormat="1" ht="20.25" customHeight="1" x14ac:dyDescent="0.15">
      <c r="A27" s="111"/>
      <c r="B27" s="111"/>
      <c r="C27" s="111"/>
      <c r="D27" s="111"/>
      <c r="E27" s="111"/>
      <c r="F27" s="111"/>
      <c r="G27" s="111"/>
      <c r="H27" s="111"/>
      <c r="I27" s="111"/>
      <c r="J27" s="111"/>
      <c r="K27" s="113"/>
      <c r="L27" s="113"/>
      <c r="M27" s="113"/>
      <c r="N27" s="111"/>
      <c r="O27" s="113"/>
      <c r="P27" s="111"/>
      <c r="Q27" s="111"/>
      <c r="R27" s="113"/>
      <c r="S27" s="112"/>
      <c r="T27" s="111"/>
      <c r="U27" s="113"/>
      <c r="V27" s="112"/>
      <c r="W27" s="111"/>
    </row>
    <row r="28" spans="1:23" s="60" customFormat="1" ht="20.25" customHeight="1" x14ac:dyDescent="0.15">
      <c r="A28" s="111"/>
      <c r="B28" s="111"/>
      <c r="C28" s="111"/>
      <c r="D28" s="111"/>
      <c r="E28" s="111"/>
      <c r="F28" s="111"/>
      <c r="G28" s="111"/>
      <c r="H28" s="111"/>
      <c r="I28" s="111"/>
      <c r="J28" s="111"/>
      <c r="K28" s="113"/>
      <c r="L28" s="113"/>
      <c r="M28" s="113"/>
      <c r="N28" s="111"/>
      <c r="O28" s="113"/>
      <c r="P28" s="111"/>
      <c r="Q28" s="111"/>
      <c r="R28" s="113"/>
      <c r="S28" s="112"/>
      <c r="T28" s="111"/>
      <c r="U28" s="113"/>
      <c r="V28" s="112"/>
      <c r="W28" s="111"/>
    </row>
    <row r="29" spans="1:23" s="60" customFormat="1" ht="20.25" customHeight="1" x14ac:dyDescent="0.15">
      <c r="C29" s="61"/>
      <c r="D29" s="61"/>
      <c r="E29" s="61"/>
      <c r="F29" s="61"/>
      <c r="G29" s="61"/>
      <c r="H29" s="61"/>
      <c r="I29" s="61"/>
      <c r="K29" s="62"/>
      <c r="L29" s="62"/>
      <c r="M29" s="62"/>
      <c r="O29" s="62"/>
      <c r="R29" s="62"/>
      <c r="S29" s="63"/>
      <c r="U29" s="62"/>
      <c r="V29" s="63"/>
    </row>
    <row r="30" spans="1:23" s="64" customFormat="1" ht="20.25" customHeight="1" x14ac:dyDescent="0.2">
      <c r="A30" s="64" t="s">
        <v>404</v>
      </c>
      <c r="K30" s="65"/>
      <c r="L30" s="65"/>
      <c r="M30" s="65"/>
      <c r="O30" s="65"/>
      <c r="R30" s="65"/>
      <c r="U30" s="65"/>
    </row>
    <row r="31" spans="1:23" s="64" customFormat="1" ht="20.25" customHeight="1" x14ac:dyDescent="0.2">
      <c r="A31" s="64" t="s">
        <v>405</v>
      </c>
      <c r="K31" s="65"/>
      <c r="L31" s="65"/>
      <c r="M31" s="65"/>
      <c r="O31" s="65"/>
      <c r="R31" s="65"/>
      <c r="U31" s="65"/>
    </row>
    <row r="32" spans="1:23" s="64" customFormat="1" ht="20.25" customHeight="1" x14ac:dyDescent="0.2">
      <c r="A32" s="64" t="s">
        <v>406</v>
      </c>
      <c r="K32" s="65"/>
      <c r="L32" s="65"/>
      <c r="M32" s="65"/>
      <c r="O32" s="65"/>
      <c r="R32" s="65"/>
      <c r="U32" s="65"/>
    </row>
  </sheetData>
  <sheetProtection password="C437" sheet="1" objects="1" scenarios="1"/>
  <mergeCells count="27">
    <mergeCell ref="C1:N1"/>
    <mergeCell ref="C2:N2"/>
    <mergeCell ref="C4:N4"/>
    <mergeCell ref="C3:K3"/>
    <mergeCell ref="A5:A8"/>
    <mergeCell ref="J7:K7"/>
    <mergeCell ref="G5:G8"/>
    <mergeCell ref="D5:D8"/>
    <mergeCell ref="H7:I7"/>
    <mergeCell ref="B5:B8"/>
    <mergeCell ref="C5:C8"/>
    <mergeCell ref="E5:E8"/>
    <mergeCell ref="A11:A12"/>
    <mergeCell ref="B11:B12"/>
    <mergeCell ref="C11:C12"/>
    <mergeCell ref="D11:D12"/>
    <mergeCell ref="W5:W8"/>
    <mergeCell ref="T5:V5"/>
    <mergeCell ref="T6:V7"/>
    <mergeCell ref="F5:F8"/>
    <mergeCell ref="Q5:S5"/>
    <mergeCell ref="Q6:S7"/>
    <mergeCell ref="N6:P6"/>
    <mergeCell ref="N5:P5"/>
    <mergeCell ref="L7:M7"/>
    <mergeCell ref="H5:M5"/>
    <mergeCell ref="H6:M6"/>
  </mergeCells>
  <hyperlinks>
    <hyperlink ref="E9" r:id="rId1" display="..\DRAWINGS\3278-OFF-9799\REV-0"/>
    <hyperlink ref="E10" r:id="rId2" display="..\DRAWINGS\3278-OFF-9800\REV-0"/>
    <hyperlink ref="E11" r:id="rId3" display="..\DRAWINGS\3278-OFF-9801\REV-0"/>
    <hyperlink ref="E13" r:id="rId4" display="..\DRAWINGS\3278-OFF-9802\REV-0"/>
  </hyperlinks>
  <printOptions horizontalCentered="1"/>
  <pageMargins left="0.5" right="0.25" top="0.5" bottom="0.5" header="0.25" footer="0.25"/>
  <pageSetup paperSize="8" scale="70" orientation="landscape" r:id="rId5"/>
  <headerFooter alignWithMargins="0">
    <oddFooter>&amp;R&amp;"Tahoma,Bold"&amp;8PAGE &amp;P OF &amp;N</oddFooter>
  </headerFooter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2"/>
  <sheetViews>
    <sheetView topLeftCell="A49" workbookViewId="0">
      <selection activeCell="C88" sqref="C88"/>
    </sheetView>
  </sheetViews>
  <sheetFormatPr defaultRowHeight="12.75" x14ac:dyDescent="0.2"/>
  <cols>
    <col min="1" max="1" width="18" bestFit="1" customWidth="1"/>
    <col min="2" max="2" width="21.5" bestFit="1" customWidth="1"/>
    <col min="3" max="3" width="76" bestFit="1" customWidth="1"/>
    <col min="4" max="4" width="21.83203125" bestFit="1" customWidth="1"/>
    <col min="5" max="5" width="23.33203125" bestFit="1" customWidth="1"/>
    <col min="6" max="6" width="20.1640625" customWidth="1"/>
    <col min="7" max="7" width="12.83203125" bestFit="1" customWidth="1"/>
    <col min="8" max="8" width="20.6640625" bestFit="1" customWidth="1"/>
  </cols>
  <sheetData>
    <row r="2" spans="1:8" x14ac:dyDescent="0.2">
      <c r="A2" s="26" t="s">
        <v>352</v>
      </c>
      <c r="B2" s="24" t="s">
        <v>123</v>
      </c>
      <c r="C2" s="24" t="s">
        <v>294</v>
      </c>
    </row>
    <row r="3" spans="1:8" x14ac:dyDescent="0.2">
      <c r="A3" s="27" t="s">
        <v>321</v>
      </c>
      <c r="B3" s="7" t="s">
        <v>124</v>
      </c>
      <c r="C3" s="25" t="s">
        <v>324</v>
      </c>
      <c r="D3" s="7" t="s">
        <v>99</v>
      </c>
    </row>
    <row r="4" spans="1:8" x14ac:dyDescent="0.2">
      <c r="A4" s="27" t="s">
        <v>322</v>
      </c>
      <c r="B4" s="7" t="s">
        <v>125</v>
      </c>
      <c r="C4" s="25" t="s">
        <v>325</v>
      </c>
    </row>
    <row r="5" spans="1:8" x14ac:dyDescent="0.2">
      <c r="A5" s="27" t="s">
        <v>323</v>
      </c>
      <c r="B5" s="7" t="s">
        <v>126</v>
      </c>
      <c r="C5" s="25" t="s">
        <v>326</v>
      </c>
    </row>
    <row r="6" spans="1:8" x14ac:dyDescent="0.2">
      <c r="A6" s="38" t="s">
        <v>329</v>
      </c>
      <c r="B6" s="7" t="s">
        <v>127</v>
      </c>
      <c r="C6" s="27" t="s">
        <v>353</v>
      </c>
    </row>
    <row r="7" spans="1:8" x14ac:dyDescent="0.2">
      <c r="A7" s="38" t="s">
        <v>330</v>
      </c>
      <c r="B7" s="7" t="s">
        <v>128</v>
      </c>
      <c r="C7" s="27" t="s">
        <v>354</v>
      </c>
    </row>
    <row r="8" spans="1:8" x14ac:dyDescent="0.2">
      <c r="A8" s="38" t="s">
        <v>331</v>
      </c>
      <c r="B8" s="7" t="s">
        <v>129</v>
      </c>
      <c r="C8" s="27" t="s">
        <v>355</v>
      </c>
    </row>
    <row r="9" spans="1:8" x14ac:dyDescent="0.2">
      <c r="A9" s="38" t="s">
        <v>332</v>
      </c>
      <c r="B9" s="7" t="s">
        <v>130</v>
      </c>
      <c r="C9" s="27" t="s">
        <v>356</v>
      </c>
    </row>
    <row r="10" spans="1:8" x14ac:dyDescent="0.2">
      <c r="A10" s="38" t="s">
        <v>333</v>
      </c>
      <c r="B10" s="7" t="s">
        <v>131</v>
      </c>
      <c r="C10" s="27" t="s">
        <v>357</v>
      </c>
    </row>
    <row r="11" spans="1:8" x14ac:dyDescent="0.2">
      <c r="A11" s="38" t="s">
        <v>334</v>
      </c>
      <c r="B11" s="7" t="s">
        <v>132</v>
      </c>
      <c r="C11" s="27" t="s">
        <v>358</v>
      </c>
    </row>
    <row r="12" spans="1:8" x14ac:dyDescent="0.2">
      <c r="A12" s="38" t="s">
        <v>335</v>
      </c>
      <c r="B12" s="7" t="s">
        <v>133</v>
      </c>
      <c r="C12" s="27" t="s">
        <v>359</v>
      </c>
    </row>
    <row r="13" spans="1:8" x14ac:dyDescent="0.2">
      <c r="A13" s="38" t="s">
        <v>336</v>
      </c>
      <c r="B13" s="7" t="s">
        <v>134</v>
      </c>
      <c r="C13" s="27" t="s">
        <v>360</v>
      </c>
      <c r="E13" s="39"/>
      <c r="F13" s="184"/>
      <c r="G13" s="184"/>
      <c r="H13" s="185"/>
    </row>
    <row r="14" spans="1:8" x14ac:dyDescent="0.2">
      <c r="A14" s="38" t="s">
        <v>337</v>
      </c>
      <c r="B14" s="7" t="s">
        <v>135</v>
      </c>
      <c r="C14" s="27" t="s">
        <v>361</v>
      </c>
      <c r="E14" s="39"/>
      <c r="F14" s="184"/>
      <c r="G14" s="184"/>
      <c r="H14" s="185"/>
    </row>
    <row r="15" spans="1:8" x14ac:dyDescent="0.2">
      <c r="A15" s="38" t="s">
        <v>338</v>
      </c>
      <c r="B15" s="7" t="s">
        <v>136</v>
      </c>
      <c r="C15" s="27" t="s">
        <v>362</v>
      </c>
      <c r="E15" s="39"/>
      <c r="F15" s="184"/>
      <c r="G15" s="184"/>
      <c r="H15" s="185"/>
    </row>
    <row r="16" spans="1:8" x14ac:dyDescent="0.2">
      <c r="A16" s="38" t="s">
        <v>339</v>
      </c>
      <c r="B16" s="7" t="s">
        <v>137</v>
      </c>
      <c r="C16" s="27" t="s">
        <v>363</v>
      </c>
      <c r="E16" s="39"/>
      <c r="F16" s="184"/>
      <c r="G16" s="184"/>
      <c r="H16" s="185"/>
    </row>
    <row r="17" spans="1:8" x14ac:dyDescent="0.2">
      <c r="A17" s="38" t="s">
        <v>340</v>
      </c>
      <c r="B17" s="7" t="s">
        <v>138</v>
      </c>
      <c r="C17" s="27" t="s">
        <v>364</v>
      </c>
      <c r="E17" s="39"/>
      <c r="F17" s="39"/>
      <c r="G17" s="39"/>
      <c r="H17" s="39"/>
    </row>
    <row r="18" spans="1:8" x14ac:dyDescent="0.2">
      <c r="A18" s="38" t="s">
        <v>341</v>
      </c>
      <c r="B18" s="7" t="s">
        <v>139</v>
      </c>
      <c r="C18" s="27" t="s">
        <v>365</v>
      </c>
      <c r="E18" s="39"/>
      <c r="F18" s="39"/>
      <c r="G18" s="39"/>
      <c r="H18" s="39"/>
    </row>
    <row r="19" spans="1:8" x14ac:dyDescent="0.2">
      <c r="A19" s="38" t="s">
        <v>342</v>
      </c>
      <c r="B19" s="7" t="s">
        <v>140</v>
      </c>
      <c r="C19" s="27" t="s">
        <v>366</v>
      </c>
      <c r="E19" s="40"/>
      <c r="F19" s="39"/>
      <c r="G19" s="39"/>
      <c r="H19" s="39"/>
    </row>
    <row r="20" spans="1:8" x14ac:dyDescent="0.2">
      <c r="A20" s="38" t="s">
        <v>343</v>
      </c>
      <c r="B20" s="7" t="s">
        <v>141</v>
      </c>
      <c r="C20" s="27" t="s">
        <v>367</v>
      </c>
      <c r="E20" s="28"/>
      <c r="F20" s="39"/>
      <c r="G20" s="39"/>
      <c r="H20" s="39"/>
    </row>
    <row r="21" spans="1:8" x14ac:dyDescent="0.2">
      <c r="A21" s="38" t="s">
        <v>344</v>
      </c>
      <c r="B21" s="7" t="s">
        <v>142</v>
      </c>
      <c r="C21" s="27" t="s">
        <v>368</v>
      </c>
      <c r="E21" s="39"/>
      <c r="F21" s="39"/>
      <c r="G21" s="39"/>
      <c r="H21" s="39"/>
    </row>
    <row r="22" spans="1:8" x14ac:dyDescent="0.2">
      <c r="A22" s="38" t="s">
        <v>345</v>
      </c>
      <c r="B22" s="7" t="s">
        <v>143</v>
      </c>
      <c r="C22" s="27" t="s">
        <v>369</v>
      </c>
      <c r="E22" s="39"/>
      <c r="F22" s="184"/>
      <c r="G22" s="39"/>
      <c r="H22" s="39"/>
    </row>
    <row r="23" spans="1:8" x14ac:dyDescent="0.2">
      <c r="A23" s="38" t="s">
        <v>346</v>
      </c>
      <c r="B23" s="7" t="s">
        <v>144</v>
      </c>
      <c r="C23" s="27" t="s">
        <v>370</v>
      </c>
      <c r="E23" s="39"/>
      <c r="F23" s="184"/>
      <c r="G23" s="39"/>
      <c r="H23" s="39"/>
    </row>
    <row r="24" spans="1:8" x14ac:dyDescent="0.2">
      <c r="A24" s="38" t="s">
        <v>347</v>
      </c>
      <c r="B24" s="7" t="s">
        <v>145</v>
      </c>
      <c r="C24" s="27" t="s">
        <v>371</v>
      </c>
      <c r="E24" s="39"/>
      <c r="F24" s="184"/>
      <c r="G24" s="39"/>
      <c r="H24" s="39"/>
    </row>
    <row r="25" spans="1:8" x14ac:dyDescent="0.2">
      <c r="A25" s="38" t="s">
        <v>348</v>
      </c>
      <c r="B25" s="7" t="s">
        <v>146</v>
      </c>
      <c r="C25" s="27" t="s">
        <v>372</v>
      </c>
      <c r="E25" s="39"/>
      <c r="F25" s="184"/>
      <c r="G25" s="39"/>
      <c r="H25" s="39"/>
    </row>
    <row r="26" spans="1:8" x14ac:dyDescent="0.2">
      <c r="A26" s="38" t="s">
        <v>349</v>
      </c>
      <c r="B26" s="7" t="s">
        <v>147</v>
      </c>
      <c r="C26" s="27" t="s">
        <v>373</v>
      </c>
      <c r="E26" s="39"/>
      <c r="F26" s="184"/>
      <c r="G26" s="39"/>
      <c r="H26" s="39"/>
    </row>
    <row r="27" spans="1:8" x14ac:dyDescent="0.2">
      <c r="A27" s="38" t="s">
        <v>350</v>
      </c>
      <c r="B27" s="7" t="s">
        <v>148</v>
      </c>
      <c r="C27" s="27" t="s">
        <v>374</v>
      </c>
      <c r="E27" s="39"/>
      <c r="F27" s="184"/>
      <c r="G27" s="39"/>
      <c r="H27" s="39"/>
    </row>
    <row r="28" spans="1:8" x14ac:dyDescent="0.2">
      <c r="A28" s="38" t="s">
        <v>351</v>
      </c>
      <c r="B28" s="7" t="s">
        <v>149</v>
      </c>
      <c r="C28" s="27" t="s">
        <v>375</v>
      </c>
      <c r="E28" s="39"/>
      <c r="F28" s="184"/>
      <c r="G28" s="39"/>
      <c r="H28" s="39"/>
    </row>
    <row r="29" spans="1:8" x14ac:dyDescent="0.2">
      <c r="A29" s="52" t="s">
        <v>308</v>
      </c>
      <c r="B29" s="7" t="s">
        <v>150</v>
      </c>
      <c r="C29" s="51" t="s">
        <v>377</v>
      </c>
      <c r="E29" s="39"/>
      <c r="F29" s="184"/>
      <c r="G29" s="39"/>
      <c r="H29" s="39"/>
    </row>
    <row r="30" spans="1:8" x14ac:dyDescent="0.2">
      <c r="A30" s="52" t="s">
        <v>309</v>
      </c>
      <c r="B30" s="7" t="s">
        <v>151</v>
      </c>
      <c r="C30" s="51" t="s">
        <v>378</v>
      </c>
      <c r="E30" s="39"/>
      <c r="F30" s="39"/>
      <c r="G30" s="39"/>
      <c r="H30" s="39"/>
    </row>
    <row r="31" spans="1:8" x14ac:dyDescent="0.2">
      <c r="A31" s="52" t="s">
        <v>310</v>
      </c>
      <c r="B31" s="7" t="s">
        <v>152</v>
      </c>
      <c r="C31" s="51" t="s">
        <v>379</v>
      </c>
      <c r="E31" s="39"/>
      <c r="F31" s="39"/>
      <c r="G31" s="39"/>
      <c r="H31" s="39"/>
    </row>
    <row r="32" spans="1:8" x14ac:dyDescent="0.2">
      <c r="A32" s="52" t="s">
        <v>311</v>
      </c>
      <c r="B32" s="7" t="s">
        <v>153</v>
      </c>
      <c r="C32" s="51" t="s">
        <v>380</v>
      </c>
      <c r="E32" s="39"/>
      <c r="F32" s="39"/>
      <c r="G32" s="39"/>
      <c r="H32" s="39"/>
    </row>
    <row r="33" spans="1:8" x14ac:dyDescent="0.2">
      <c r="A33" s="52" t="s">
        <v>312</v>
      </c>
      <c r="B33" s="7" t="s">
        <v>154</v>
      </c>
      <c r="C33" s="51" t="s">
        <v>381</v>
      </c>
      <c r="E33" s="39"/>
      <c r="F33" s="39"/>
      <c r="G33" s="39"/>
      <c r="H33" s="39"/>
    </row>
    <row r="34" spans="1:8" x14ac:dyDescent="0.2">
      <c r="A34" s="52" t="s">
        <v>313</v>
      </c>
      <c r="B34" s="7" t="s">
        <v>155</v>
      </c>
      <c r="C34" s="51" t="s">
        <v>382</v>
      </c>
      <c r="E34" s="39"/>
      <c r="F34" s="39"/>
      <c r="G34" s="39"/>
      <c r="H34" s="39"/>
    </row>
    <row r="35" spans="1:8" x14ac:dyDescent="0.2">
      <c r="A35" s="52" t="s">
        <v>314</v>
      </c>
      <c r="B35" s="7" t="s">
        <v>156</v>
      </c>
      <c r="C35" s="51" t="s">
        <v>383</v>
      </c>
      <c r="E35" s="39"/>
      <c r="F35" s="39"/>
      <c r="G35" s="39"/>
      <c r="H35" s="39"/>
    </row>
    <row r="36" spans="1:8" x14ac:dyDescent="0.2">
      <c r="A36" s="52" t="s">
        <v>315</v>
      </c>
      <c r="B36" s="7" t="s">
        <v>157</v>
      </c>
      <c r="C36" s="51" t="s">
        <v>384</v>
      </c>
      <c r="E36" s="39"/>
      <c r="F36" s="39"/>
      <c r="G36" s="39"/>
      <c r="H36" s="39"/>
    </row>
    <row r="37" spans="1:8" x14ac:dyDescent="0.2">
      <c r="A37" s="52" t="s">
        <v>316</v>
      </c>
      <c r="B37" s="7" t="s">
        <v>158</v>
      </c>
      <c r="C37" s="51" t="s">
        <v>385</v>
      </c>
      <c r="E37" s="39"/>
      <c r="F37" s="39"/>
      <c r="G37" s="39"/>
      <c r="H37" s="39"/>
    </row>
    <row r="38" spans="1:8" x14ac:dyDescent="0.2">
      <c r="A38" s="52" t="s">
        <v>317</v>
      </c>
      <c r="B38" s="7" t="s">
        <v>159</v>
      </c>
      <c r="C38" s="51" t="s">
        <v>386</v>
      </c>
      <c r="E38" s="39"/>
      <c r="F38" s="39"/>
      <c r="G38" s="39"/>
      <c r="H38" s="39"/>
    </row>
    <row r="39" spans="1:8" x14ac:dyDescent="0.2">
      <c r="A39" s="52" t="s">
        <v>318</v>
      </c>
      <c r="B39" s="7" t="s">
        <v>160</v>
      </c>
      <c r="C39" s="51" t="s">
        <v>387</v>
      </c>
      <c r="E39" s="39"/>
      <c r="F39" s="39"/>
      <c r="G39" s="39"/>
      <c r="H39" s="39"/>
    </row>
    <row r="40" spans="1:8" x14ac:dyDescent="0.2">
      <c r="A40" s="52" t="s">
        <v>319</v>
      </c>
      <c r="B40" s="7" t="s">
        <v>161</v>
      </c>
      <c r="C40" s="51" t="s">
        <v>388</v>
      </c>
      <c r="E40" s="39"/>
      <c r="F40" s="39"/>
      <c r="G40" s="39"/>
      <c r="H40" s="39"/>
    </row>
    <row r="41" spans="1:8" x14ac:dyDescent="0.2">
      <c r="A41" s="52" t="s">
        <v>320</v>
      </c>
      <c r="B41" s="7" t="s">
        <v>162</v>
      </c>
      <c r="C41" s="51" t="s">
        <v>389</v>
      </c>
      <c r="E41" s="39"/>
      <c r="F41" s="39"/>
      <c r="G41" s="39"/>
      <c r="H41" s="39"/>
    </row>
    <row r="42" spans="1:8" x14ac:dyDescent="0.2">
      <c r="A42" s="52" t="s">
        <v>390</v>
      </c>
      <c r="B42" s="7" t="s">
        <v>163</v>
      </c>
      <c r="C42" s="51" t="s">
        <v>391</v>
      </c>
      <c r="E42" s="39"/>
      <c r="F42" s="39"/>
      <c r="G42" s="39"/>
      <c r="H42" s="39"/>
    </row>
    <row r="43" spans="1:8" x14ac:dyDescent="0.2">
      <c r="A43" s="93" t="s">
        <v>449</v>
      </c>
      <c r="B43" s="93"/>
      <c r="C43" s="93" t="s">
        <v>450</v>
      </c>
      <c r="E43" s="39"/>
      <c r="F43" s="39"/>
      <c r="G43" s="39"/>
      <c r="H43" s="39"/>
    </row>
    <row r="44" spans="1:8" x14ac:dyDescent="0.2">
      <c r="A44" s="51" t="s">
        <v>392</v>
      </c>
      <c r="B44" s="51" t="s">
        <v>164</v>
      </c>
      <c r="C44" s="51" t="s">
        <v>398</v>
      </c>
      <c r="E44" s="39"/>
      <c r="F44" s="39"/>
      <c r="G44" s="39"/>
      <c r="H44" s="39"/>
    </row>
    <row r="45" spans="1:8" x14ac:dyDescent="0.2">
      <c r="A45" s="51" t="s">
        <v>393</v>
      </c>
      <c r="B45" s="51" t="s">
        <v>165</v>
      </c>
      <c r="C45" s="51" t="s">
        <v>399</v>
      </c>
      <c r="E45" s="39"/>
      <c r="F45" s="39"/>
      <c r="G45" s="39"/>
      <c r="H45" s="39"/>
    </row>
    <row r="46" spans="1:8" x14ac:dyDescent="0.2">
      <c r="A46" s="51" t="s">
        <v>394</v>
      </c>
      <c r="B46" s="51" t="s">
        <v>166</v>
      </c>
      <c r="C46" s="51" t="s">
        <v>400</v>
      </c>
      <c r="E46" s="39"/>
      <c r="F46" s="39"/>
      <c r="G46" s="39"/>
      <c r="H46" s="39"/>
    </row>
    <row r="47" spans="1:8" x14ac:dyDescent="0.2">
      <c r="A47" s="51" t="s">
        <v>395</v>
      </c>
      <c r="B47" s="51" t="s">
        <v>167</v>
      </c>
      <c r="C47" s="51" t="s">
        <v>401</v>
      </c>
      <c r="E47" s="39"/>
      <c r="F47" s="39"/>
      <c r="G47" s="39"/>
      <c r="H47" s="39"/>
    </row>
    <row r="48" spans="1:8" x14ac:dyDescent="0.2">
      <c r="A48" s="51" t="s">
        <v>396</v>
      </c>
      <c r="B48" s="51" t="s">
        <v>168</v>
      </c>
      <c r="C48" s="51" t="s">
        <v>402</v>
      </c>
      <c r="E48" s="39"/>
      <c r="F48" s="39"/>
      <c r="G48" s="39"/>
      <c r="H48" s="39"/>
    </row>
    <row r="49" spans="1:8" x14ac:dyDescent="0.2">
      <c r="A49" s="51" t="s">
        <v>397</v>
      </c>
      <c r="B49" s="51" t="s">
        <v>169</v>
      </c>
      <c r="C49" s="51" t="s">
        <v>403</v>
      </c>
      <c r="E49" s="39"/>
      <c r="F49" s="39"/>
      <c r="G49" s="39"/>
      <c r="H49" s="39"/>
    </row>
    <row r="50" spans="1:8" x14ac:dyDescent="0.2">
      <c r="A50" s="79" t="s">
        <v>413</v>
      </c>
      <c r="B50" s="79"/>
      <c r="C50" s="79" t="s">
        <v>414</v>
      </c>
      <c r="E50" s="39"/>
      <c r="F50" s="39"/>
      <c r="G50" s="39"/>
      <c r="H50" s="39"/>
    </row>
    <row r="51" spans="1:8" x14ac:dyDescent="0.2">
      <c r="A51" s="79" t="s">
        <v>415</v>
      </c>
      <c r="B51" s="79"/>
      <c r="C51" s="79" t="s">
        <v>416</v>
      </c>
      <c r="E51" s="39"/>
      <c r="F51" s="39"/>
      <c r="G51" s="39"/>
      <c r="H51" s="39"/>
    </row>
    <row r="52" spans="1:8" x14ac:dyDescent="0.2">
      <c r="A52" s="79" t="s">
        <v>418</v>
      </c>
      <c r="B52" s="79"/>
      <c r="C52" s="79" t="s">
        <v>417</v>
      </c>
      <c r="E52" s="39"/>
      <c r="F52" s="39"/>
      <c r="G52" s="39"/>
      <c r="H52" s="39"/>
    </row>
    <row r="53" spans="1:8" x14ac:dyDescent="0.2">
      <c r="A53" s="80" t="s">
        <v>420</v>
      </c>
      <c r="B53" s="80"/>
      <c r="C53" s="80" t="s">
        <v>419</v>
      </c>
      <c r="E53" s="39"/>
      <c r="F53" s="39"/>
      <c r="G53" s="39"/>
      <c r="H53" s="39"/>
    </row>
    <row r="54" spans="1:8" x14ac:dyDescent="0.2">
      <c r="A54" s="81" t="s">
        <v>421</v>
      </c>
      <c r="B54" s="7"/>
      <c r="C54" s="81" t="s">
        <v>422</v>
      </c>
      <c r="E54" s="39"/>
      <c r="F54" s="39"/>
      <c r="G54" s="39"/>
      <c r="H54" s="39"/>
    </row>
    <row r="55" spans="1:8" x14ac:dyDescent="0.2">
      <c r="A55" s="82" t="s">
        <v>424</v>
      </c>
      <c r="B55" s="7"/>
      <c r="C55" s="82" t="s">
        <v>423</v>
      </c>
      <c r="E55" s="39"/>
      <c r="F55" s="39"/>
      <c r="G55" s="39"/>
      <c r="H55" s="39"/>
    </row>
    <row r="56" spans="1:8" x14ac:dyDescent="0.2">
      <c r="A56" s="83" t="s">
        <v>438</v>
      </c>
      <c r="B56" s="7"/>
      <c r="C56" s="89" t="s">
        <v>425</v>
      </c>
      <c r="E56" s="39"/>
      <c r="F56" s="39"/>
      <c r="G56" s="39"/>
      <c r="H56" s="39"/>
    </row>
    <row r="57" spans="1:8" x14ac:dyDescent="0.2">
      <c r="A57" s="83" t="s">
        <v>427</v>
      </c>
      <c r="B57" s="7"/>
      <c r="C57" s="83" t="s">
        <v>426</v>
      </c>
      <c r="E57" s="39"/>
      <c r="F57" s="39"/>
      <c r="G57" s="39"/>
      <c r="H57" s="39"/>
    </row>
    <row r="58" spans="1:8" x14ac:dyDescent="0.2">
      <c r="A58" s="84" t="s">
        <v>428</v>
      </c>
      <c r="B58" s="7"/>
      <c r="C58" s="84" t="s">
        <v>429</v>
      </c>
      <c r="E58" s="39"/>
      <c r="F58" s="39"/>
      <c r="G58" s="39"/>
      <c r="H58" s="39"/>
    </row>
    <row r="59" spans="1:8" x14ac:dyDescent="0.2">
      <c r="A59" s="85" t="s">
        <v>430</v>
      </c>
      <c r="B59" s="7"/>
      <c r="C59" s="85" t="s">
        <v>431</v>
      </c>
      <c r="E59" s="39"/>
      <c r="F59" s="39"/>
      <c r="G59" s="39"/>
      <c r="H59" s="39"/>
    </row>
    <row r="60" spans="1:8" x14ac:dyDescent="0.2">
      <c r="A60" s="86" t="s">
        <v>432</v>
      </c>
      <c r="B60" s="7"/>
      <c r="C60" s="86" t="s">
        <v>433</v>
      </c>
      <c r="E60" s="39"/>
      <c r="F60" s="39"/>
      <c r="G60" s="39"/>
      <c r="H60" s="39"/>
    </row>
    <row r="61" spans="1:8" x14ac:dyDescent="0.2">
      <c r="A61" s="87" t="s">
        <v>434</v>
      </c>
      <c r="B61" s="7"/>
      <c r="C61" s="87" t="s">
        <v>435</v>
      </c>
      <c r="E61" s="39"/>
      <c r="F61" s="39"/>
      <c r="G61" s="39"/>
      <c r="H61" s="39"/>
    </row>
    <row r="62" spans="1:8" x14ac:dyDescent="0.2">
      <c r="A62" s="88" t="s">
        <v>436</v>
      </c>
      <c r="B62" s="7"/>
      <c r="C62" s="88" t="s">
        <v>437</v>
      </c>
      <c r="E62" s="39"/>
      <c r="F62" s="39"/>
      <c r="G62" s="39"/>
      <c r="H62" s="39"/>
    </row>
    <row r="63" spans="1:8" x14ac:dyDescent="0.2">
      <c r="A63" s="90" t="s">
        <v>439</v>
      </c>
      <c r="B63" s="7"/>
      <c r="C63" s="90" t="s">
        <v>440</v>
      </c>
      <c r="E63" s="39"/>
      <c r="F63" s="39"/>
      <c r="G63" s="39"/>
      <c r="H63" s="39"/>
    </row>
    <row r="64" spans="1:8" x14ac:dyDescent="0.2">
      <c r="A64" s="91" t="s">
        <v>441</v>
      </c>
      <c r="B64" s="91"/>
      <c r="C64" s="91" t="s">
        <v>444</v>
      </c>
      <c r="E64" s="39"/>
      <c r="F64" s="39"/>
      <c r="G64" s="39"/>
      <c r="H64" s="39"/>
    </row>
    <row r="65" spans="1:8" x14ac:dyDescent="0.2">
      <c r="A65" s="91" t="s">
        <v>442</v>
      </c>
      <c r="B65" s="91"/>
      <c r="C65" s="91" t="s">
        <v>445</v>
      </c>
      <c r="E65" s="39"/>
      <c r="F65" s="39"/>
      <c r="G65" s="39"/>
      <c r="H65" s="39"/>
    </row>
    <row r="66" spans="1:8" x14ac:dyDescent="0.2">
      <c r="A66" s="91" t="s">
        <v>443</v>
      </c>
      <c r="B66" s="91"/>
      <c r="C66" s="91" t="s">
        <v>446</v>
      </c>
      <c r="E66" s="39"/>
      <c r="F66" s="39"/>
      <c r="G66" s="39"/>
      <c r="H66" s="39"/>
    </row>
    <row r="67" spans="1:8" x14ac:dyDescent="0.2">
      <c r="A67" s="92" t="s">
        <v>447</v>
      </c>
      <c r="B67" s="7"/>
      <c r="C67" s="92" t="s">
        <v>448</v>
      </c>
      <c r="E67" s="39"/>
      <c r="F67" s="39"/>
      <c r="G67" s="39"/>
      <c r="H67" s="39"/>
    </row>
    <row r="68" spans="1:8" x14ac:dyDescent="0.2">
      <c r="A68" s="94" t="s">
        <v>451</v>
      </c>
      <c r="B68" s="7"/>
      <c r="C68" s="94" t="s">
        <v>452</v>
      </c>
      <c r="E68" s="39"/>
      <c r="F68" s="39"/>
      <c r="G68" s="39"/>
      <c r="H68" s="39"/>
    </row>
    <row r="69" spans="1:8" x14ac:dyDescent="0.2">
      <c r="A69" s="95" t="s">
        <v>453</v>
      </c>
      <c r="B69" s="7"/>
      <c r="C69" s="95" t="s">
        <v>454</v>
      </c>
      <c r="E69" s="39"/>
      <c r="F69" s="39"/>
      <c r="G69" s="39"/>
      <c r="H69" s="39"/>
    </row>
    <row r="70" spans="1:8" x14ac:dyDescent="0.2">
      <c r="A70" s="96" t="s">
        <v>455</v>
      </c>
      <c r="B70" s="7"/>
      <c r="C70" s="96" t="s">
        <v>456</v>
      </c>
      <c r="E70" s="39"/>
      <c r="F70" s="39"/>
      <c r="G70" s="39"/>
      <c r="H70" s="39"/>
    </row>
    <row r="71" spans="1:8" x14ac:dyDescent="0.2">
      <c r="A71" s="97" t="s">
        <v>457</v>
      </c>
      <c r="B71" s="7"/>
      <c r="C71" s="97" t="s">
        <v>458</v>
      </c>
      <c r="E71" s="39"/>
      <c r="F71" s="39"/>
      <c r="G71" s="39"/>
      <c r="H71" s="39"/>
    </row>
    <row r="72" spans="1:8" x14ac:dyDescent="0.2">
      <c r="A72" s="98" t="s">
        <v>459</v>
      </c>
      <c r="B72" s="7"/>
      <c r="C72" s="97" t="s">
        <v>460</v>
      </c>
      <c r="E72" s="39"/>
      <c r="F72" s="39"/>
      <c r="G72" s="39"/>
      <c r="H72" s="39"/>
    </row>
    <row r="73" spans="1:8" x14ac:dyDescent="0.2">
      <c r="A73" s="99" t="s">
        <v>461</v>
      </c>
      <c r="B73" s="7"/>
      <c r="C73" s="99" t="s">
        <v>462</v>
      </c>
      <c r="E73" s="39"/>
      <c r="F73" s="39"/>
      <c r="G73" s="39"/>
      <c r="H73" s="39"/>
    </row>
    <row r="74" spans="1:8" x14ac:dyDescent="0.2">
      <c r="A74" s="100" t="s">
        <v>463</v>
      </c>
      <c r="B74" s="7"/>
      <c r="C74" s="100" t="s">
        <v>464</v>
      </c>
      <c r="E74" s="39"/>
      <c r="F74" s="39"/>
      <c r="G74" s="39"/>
      <c r="H74" s="39"/>
    </row>
    <row r="75" spans="1:8" x14ac:dyDescent="0.2">
      <c r="A75" s="102" t="s">
        <v>465</v>
      </c>
      <c r="B75" s="7"/>
      <c r="C75" s="101" t="s">
        <v>466</v>
      </c>
      <c r="E75" s="39"/>
      <c r="F75" s="39"/>
      <c r="G75" s="39"/>
      <c r="H75" s="39"/>
    </row>
    <row r="76" spans="1:8" x14ac:dyDescent="0.2">
      <c r="A76" s="103" t="s">
        <v>467</v>
      </c>
      <c r="B76" s="7"/>
      <c r="C76" s="101" t="s">
        <v>468</v>
      </c>
      <c r="E76" s="39"/>
      <c r="F76" s="39"/>
      <c r="G76" s="39"/>
      <c r="H76" s="39"/>
    </row>
    <row r="77" spans="1:8" x14ac:dyDescent="0.2">
      <c r="A77" s="105" t="s">
        <v>469</v>
      </c>
      <c r="B77" s="7"/>
      <c r="C77" s="104" t="s">
        <v>470</v>
      </c>
      <c r="E77" s="39"/>
      <c r="F77" s="39"/>
      <c r="G77" s="39"/>
      <c r="H77" s="39"/>
    </row>
    <row r="78" spans="1:8" x14ac:dyDescent="0.2">
      <c r="A78" s="105" t="s">
        <v>471</v>
      </c>
      <c r="B78" s="7"/>
      <c r="C78" s="104" t="s">
        <v>472</v>
      </c>
      <c r="E78" s="39"/>
      <c r="F78" s="39"/>
      <c r="G78" s="39"/>
      <c r="H78" s="39"/>
    </row>
    <row r="79" spans="1:8" x14ac:dyDescent="0.2">
      <c r="A79" s="105" t="s">
        <v>473</v>
      </c>
      <c r="B79" s="7"/>
      <c r="C79" s="104" t="s">
        <v>474</v>
      </c>
      <c r="E79" s="39"/>
      <c r="F79" s="39"/>
      <c r="G79" s="39"/>
      <c r="H79" s="39"/>
    </row>
    <row r="80" spans="1:8" x14ac:dyDescent="0.2">
      <c r="A80" s="107" t="s">
        <v>475</v>
      </c>
      <c r="B80" s="7"/>
      <c r="C80" s="106" t="s">
        <v>476</v>
      </c>
      <c r="E80" s="39"/>
      <c r="F80" s="39"/>
      <c r="G80" s="39"/>
      <c r="H80" s="39"/>
    </row>
    <row r="81" spans="1:8" x14ac:dyDescent="0.2">
      <c r="A81" s="109" t="s">
        <v>477</v>
      </c>
      <c r="B81" s="110"/>
      <c r="C81" s="108" t="s">
        <v>478</v>
      </c>
      <c r="E81" s="39"/>
      <c r="F81" s="39"/>
      <c r="G81" s="39"/>
      <c r="H81" s="39"/>
    </row>
    <row r="82" spans="1:8" x14ac:dyDescent="0.2">
      <c r="B82" s="7" t="s">
        <v>170</v>
      </c>
      <c r="E82" s="39"/>
      <c r="F82" s="39"/>
      <c r="G82" s="39"/>
      <c r="H82" s="39"/>
    </row>
    <row r="83" spans="1:8" x14ac:dyDescent="0.2">
      <c r="B83" s="7" t="s">
        <v>171</v>
      </c>
      <c r="E83" s="39"/>
      <c r="F83" s="39"/>
      <c r="G83" s="39"/>
      <c r="H83" s="39"/>
    </row>
    <row r="84" spans="1:8" x14ac:dyDescent="0.2">
      <c r="B84" s="7" t="s">
        <v>172</v>
      </c>
      <c r="E84" s="39"/>
      <c r="F84" s="39"/>
      <c r="G84" s="39"/>
      <c r="H84" s="39"/>
    </row>
    <row r="85" spans="1:8" x14ac:dyDescent="0.2">
      <c r="B85" s="7" t="s">
        <v>173</v>
      </c>
      <c r="E85" s="39"/>
      <c r="F85" s="39"/>
      <c r="G85" s="39"/>
      <c r="H85" s="39"/>
    </row>
    <row r="86" spans="1:8" x14ac:dyDescent="0.2">
      <c r="B86" s="7" t="s">
        <v>174</v>
      </c>
      <c r="E86" s="39"/>
      <c r="F86" s="39"/>
      <c r="G86" s="39"/>
      <c r="H86" s="39"/>
    </row>
    <row r="87" spans="1:8" x14ac:dyDescent="0.2">
      <c r="B87" s="7" t="s">
        <v>175</v>
      </c>
      <c r="E87" s="39"/>
      <c r="F87" s="39"/>
      <c r="G87" s="39"/>
      <c r="H87" s="39"/>
    </row>
    <row r="88" spans="1:8" x14ac:dyDescent="0.2">
      <c r="B88" s="7" t="s">
        <v>176</v>
      </c>
      <c r="E88" s="39"/>
      <c r="F88" s="39"/>
      <c r="G88" s="39"/>
      <c r="H88" s="39"/>
    </row>
    <row r="89" spans="1:8" x14ac:dyDescent="0.2">
      <c r="B89" s="7" t="s">
        <v>177</v>
      </c>
      <c r="E89" s="39"/>
      <c r="F89" s="39"/>
      <c r="G89" s="39"/>
      <c r="H89" s="39"/>
    </row>
    <row r="90" spans="1:8" x14ac:dyDescent="0.2">
      <c r="B90" s="7" t="s">
        <v>178</v>
      </c>
      <c r="E90" s="39"/>
      <c r="F90" s="39"/>
      <c r="G90" s="39"/>
      <c r="H90" s="39"/>
    </row>
    <row r="91" spans="1:8" x14ac:dyDescent="0.2">
      <c r="B91" s="7" t="s">
        <v>179</v>
      </c>
      <c r="E91" s="39"/>
      <c r="F91" s="39"/>
      <c r="G91" s="39"/>
      <c r="H91" s="39"/>
    </row>
    <row r="92" spans="1:8" x14ac:dyDescent="0.2">
      <c r="B92" s="7" t="s">
        <v>180</v>
      </c>
      <c r="E92" s="39"/>
      <c r="F92" s="39"/>
      <c r="G92" s="39"/>
      <c r="H92" s="39"/>
    </row>
    <row r="93" spans="1:8" x14ac:dyDescent="0.2">
      <c r="B93" s="7" t="s">
        <v>181</v>
      </c>
      <c r="E93" s="39"/>
      <c r="F93" s="39"/>
      <c r="G93" s="39"/>
      <c r="H93" s="39"/>
    </row>
    <row r="94" spans="1:8" x14ac:dyDescent="0.2">
      <c r="B94" s="7" t="s">
        <v>182</v>
      </c>
      <c r="E94" s="39"/>
      <c r="F94" s="39"/>
      <c r="G94" s="39"/>
      <c r="H94" s="39"/>
    </row>
    <row r="95" spans="1:8" x14ac:dyDescent="0.2">
      <c r="B95" s="7" t="s">
        <v>183</v>
      </c>
      <c r="E95" s="39"/>
      <c r="F95" s="39"/>
      <c r="G95" s="39"/>
      <c r="H95" s="39"/>
    </row>
    <row r="96" spans="1:8" x14ac:dyDescent="0.2">
      <c r="B96" s="7" t="s">
        <v>184</v>
      </c>
      <c r="E96" s="39"/>
      <c r="F96" s="39"/>
      <c r="G96" s="39"/>
      <c r="H96" s="39"/>
    </row>
    <row r="97" spans="2:8" x14ac:dyDescent="0.2">
      <c r="B97" s="7" t="s">
        <v>185</v>
      </c>
      <c r="E97" s="39"/>
      <c r="F97" s="39"/>
      <c r="G97" s="39"/>
      <c r="H97" s="39"/>
    </row>
    <row r="98" spans="2:8" x14ac:dyDescent="0.2">
      <c r="B98" s="7" t="s">
        <v>186</v>
      </c>
      <c r="E98" s="39"/>
      <c r="F98" s="39"/>
      <c r="G98" s="39"/>
      <c r="H98" s="39"/>
    </row>
    <row r="99" spans="2:8" x14ac:dyDescent="0.2">
      <c r="B99" s="7" t="s">
        <v>187</v>
      </c>
      <c r="E99" s="39"/>
      <c r="F99" s="39"/>
      <c r="G99" s="39"/>
      <c r="H99" s="39"/>
    </row>
    <row r="100" spans="2:8" x14ac:dyDescent="0.2">
      <c r="B100" s="7" t="s">
        <v>188</v>
      </c>
      <c r="E100" s="39"/>
      <c r="F100" s="39"/>
      <c r="G100" s="39"/>
      <c r="H100" s="39"/>
    </row>
    <row r="101" spans="2:8" x14ac:dyDescent="0.2">
      <c r="B101" s="7" t="s">
        <v>189</v>
      </c>
      <c r="E101" s="39"/>
      <c r="F101" s="39"/>
      <c r="G101" s="39"/>
      <c r="H101" s="39"/>
    </row>
    <row r="102" spans="2:8" x14ac:dyDescent="0.2">
      <c r="B102" s="7" t="s">
        <v>190</v>
      </c>
      <c r="E102" s="39"/>
      <c r="F102" s="39"/>
      <c r="G102" s="39"/>
      <c r="H102" s="39"/>
    </row>
    <row r="103" spans="2:8" x14ac:dyDescent="0.2">
      <c r="B103" s="7" t="s">
        <v>191</v>
      </c>
      <c r="E103" s="39"/>
      <c r="F103" s="39"/>
      <c r="G103" s="39"/>
      <c r="H103" s="39"/>
    </row>
    <row r="104" spans="2:8" x14ac:dyDescent="0.2">
      <c r="B104" s="7" t="s">
        <v>192</v>
      </c>
      <c r="E104" s="39"/>
      <c r="F104" s="39"/>
      <c r="G104" s="39"/>
      <c r="H104" s="39"/>
    </row>
    <row r="105" spans="2:8" x14ac:dyDescent="0.2">
      <c r="B105" s="7" t="s">
        <v>193</v>
      </c>
      <c r="E105" s="39"/>
      <c r="F105" s="39"/>
      <c r="G105" s="39"/>
      <c r="H105" s="39"/>
    </row>
    <row r="106" spans="2:8" x14ac:dyDescent="0.2">
      <c r="B106" s="7" t="s">
        <v>194</v>
      </c>
      <c r="E106" s="39"/>
      <c r="F106" s="39"/>
      <c r="G106" s="39"/>
      <c r="H106" s="39"/>
    </row>
    <row r="107" spans="2:8" x14ac:dyDescent="0.2">
      <c r="B107" s="7" t="s">
        <v>195</v>
      </c>
      <c r="E107" s="39"/>
      <c r="F107" s="39"/>
      <c r="G107" s="39"/>
      <c r="H107" s="39"/>
    </row>
    <row r="108" spans="2:8" x14ac:dyDescent="0.2">
      <c r="B108" s="7" t="s">
        <v>196</v>
      </c>
      <c r="E108" s="39"/>
      <c r="F108" s="39"/>
      <c r="G108" s="39"/>
      <c r="H108" s="39"/>
    </row>
    <row r="109" spans="2:8" x14ac:dyDescent="0.2">
      <c r="B109" s="7" t="s">
        <v>197</v>
      </c>
      <c r="E109" s="39"/>
      <c r="F109" s="39"/>
      <c r="G109" s="39"/>
      <c r="H109" s="39"/>
    </row>
    <row r="110" spans="2:8" x14ac:dyDescent="0.2">
      <c r="B110" s="7" t="s">
        <v>198</v>
      </c>
      <c r="E110" s="39"/>
      <c r="F110" s="39"/>
      <c r="G110" s="39"/>
      <c r="H110" s="39"/>
    </row>
    <row r="111" spans="2:8" x14ac:dyDescent="0.2">
      <c r="B111" s="7" t="s">
        <v>199</v>
      </c>
      <c r="E111" s="39"/>
      <c r="F111" s="39"/>
      <c r="G111" s="39"/>
      <c r="H111" s="39"/>
    </row>
    <row r="112" spans="2:8" x14ac:dyDescent="0.2">
      <c r="B112" s="7" t="s">
        <v>200</v>
      </c>
      <c r="E112" s="39"/>
      <c r="F112" s="39"/>
      <c r="G112" s="39"/>
      <c r="H112" s="39"/>
    </row>
    <row r="113" spans="2:8" x14ac:dyDescent="0.2">
      <c r="B113" s="7" t="s">
        <v>201</v>
      </c>
      <c r="E113" s="39"/>
      <c r="F113" s="39"/>
      <c r="G113" s="39"/>
      <c r="H113" s="39"/>
    </row>
    <row r="114" spans="2:8" x14ac:dyDescent="0.2">
      <c r="B114" s="7" t="s">
        <v>202</v>
      </c>
      <c r="E114" s="39"/>
      <c r="F114" s="39"/>
      <c r="G114" s="39"/>
      <c r="H114" s="39"/>
    </row>
    <row r="115" spans="2:8" x14ac:dyDescent="0.2">
      <c r="B115" s="7" t="s">
        <v>203</v>
      </c>
      <c r="E115" s="39"/>
      <c r="F115" s="39"/>
      <c r="G115" s="39"/>
      <c r="H115" s="39"/>
    </row>
    <row r="116" spans="2:8" x14ac:dyDescent="0.2">
      <c r="B116" s="7" t="s">
        <v>204</v>
      </c>
      <c r="E116" s="39"/>
      <c r="F116" s="39"/>
      <c r="G116" s="39"/>
      <c r="H116" s="39"/>
    </row>
    <row r="117" spans="2:8" x14ac:dyDescent="0.2">
      <c r="B117" s="7" t="s">
        <v>205</v>
      </c>
      <c r="E117" s="39"/>
      <c r="F117" s="39"/>
      <c r="G117" s="39"/>
      <c r="H117" s="39"/>
    </row>
    <row r="118" spans="2:8" x14ac:dyDescent="0.2">
      <c r="B118" s="7" t="s">
        <v>206</v>
      </c>
      <c r="E118" s="39"/>
      <c r="F118" s="39"/>
      <c r="G118" s="39"/>
      <c r="H118" s="39"/>
    </row>
    <row r="119" spans="2:8" x14ac:dyDescent="0.2">
      <c r="B119" s="7" t="s">
        <v>207</v>
      </c>
      <c r="E119" s="39"/>
      <c r="F119" s="39"/>
      <c r="G119" s="39"/>
      <c r="H119" s="39"/>
    </row>
    <row r="120" spans="2:8" x14ac:dyDescent="0.2">
      <c r="B120" s="7" t="s">
        <v>208</v>
      </c>
      <c r="E120" s="39"/>
      <c r="F120" s="39"/>
      <c r="G120" s="39"/>
      <c r="H120" s="39"/>
    </row>
    <row r="121" spans="2:8" x14ac:dyDescent="0.2">
      <c r="B121" s="7" t="s">
        <v>209</v>
      </c>
      <c r="E121" s="39"/>
      <c r="F121" s="39"/>
      <c r="G121" s="39"/>
      <c r="H121" s="39"/>
    </row>
    <row r="122" spans="2:8" x14ac:dyDescent="0.2">
      <c r="B122" s="7" t="s">
        <v>210</v>
      </c>
      <c r="E122" s="39"/>
      <c r="F122" s="39"/>
      <c r="G122" s="39"/>
      <c r="H122" s="39"/>
    </row>
    <row r="123" spans="2:8" x14ac:dyDescent="0.2">
      <c r="B123" s="7" t="s">
        <v>211</v>
      </c>
      <c r="E123" s="39"/>
      <c r="F123" s="39"/>
      <c r="G123" s="39"/>
      <c r="H123" s="39"/>
    </row>
    <row r="124" spans="2:8" x14ac:dyDescent="0.2">
      <c r="B124" s="7" t="s">
        <v>212</v>
      </c>
      <c r="E124" s="39"/>
      <c r="F124" s="39"/>
      <c r="G124" s="39"/>
      <c r="H124" s="39"/>
    </row>
    <row r="125" spans="2:8" x14ac:dyDescent="0.2">
      <c r="B125" s="7" t="s">
        <v>213</v>
      </c>
      <c r="E125" s="39"/>
      <c r="F125" s="39"/>
      <c r="G125" s="39"/>
      <c r="H125" s="39"/>
    </row>
    <row r="126" spans="2:8" x14ac:dyDescent="0.2">
      <c r="B126" s="7" t="s">
        <v>214</v>
      </c>
      <c r="E126" s="39"/>
      <c r="F126" s="39"/>
      <c r="G126" s="39"/>
      <c r="H126" s="39"/>
    </row>
    <row r="127" spans="2:8" x14ac:dyDescent="0.2">
      <c r="B127" s="7" t="s">
        <v>215</v>
      </c>
      <c r="E127" s="39"/>
      <c r="F127" s="39"/>
      <c r="G127" s="39"/>
      <c r="H127" s="39"/>
    </row>
    <row r="128" spans="2:8" x14ac:dyDescent="0.2">
      <c r="B128" s="7" t="s">
        <v>216</v>
      </c>
      <c r="E128" s="39"/>
      <c r="F128" s="39"/>
      <c r="G128" s="39"/>
      <c r="H128" s="39"/>
    </row>
    <row r="129" spans="2:8" x14ac:dyDescent="0.2">
      <c r="B129" s="7" t="s">
        <v>217</v>
      </c>
      <c r="E129" s="39"/>
      <c r="F129" s="39"/>
      <c r="G129" s="39"/>
      <c r="H129" s="39"/>
    </row>
    <row r="130" spans="2:8" x14ac:dyDescent="0.2">
      <c r="B130" s="7" t="s">
        <v>218</v>
      </c>
      <c r="E130" s="39"/>
      <c r="F130" s="39"/>
      <c r="G130" s="39"/>
      <c r="H130" s="39"/>
    </row>
    <row r="131" spans="2:8" x14ac:dyDescent="0.2">
      <c r="B131" s="7" t="s">
        <v>219</v>
      </c>
      <c r="E131" s="39"/>
      <c r="F131" s="39"/>
      <c r="G131" s="39"/>
      <c r="H131" s="39"/>
    </row>
    <row r="132" spans="2:8" x14ac:dyDescent="0.2">
      <c r="B132" s="7" t="s">
        <v>220</v>
      </c>
      <c r="E132" s="39"/>
      <c r="F132" s="39"/>
      <c r="G132" s="39"/>
      <c r="H132" s="39"/>
    </row>
    <row r="133" spans="2:8" x14ac:dyDescent="0.2">
      <c r="B133" s="7" t="s">
        <v>221</v>
      </c>
      <c r="E133" s="39"/>
      <c r="F133" s="39"/>
      <c r="G133" s="39"/>
      <c r="H133" s="39"/>
    </row>
    <row r="134" spans="2:8" x14ac:dyDescent="0.2">
      <c r="B134" s="7" t="s">
        <v>222</v>
      </c>
      <c r="E134" s="39"/>
      <c r="F134" s="39"/>
      <c r="G134" s="39"/>
      <c r="H134" s="39"/>
    </row>
    <row r="135" spans="2:8" x14ac:dyDescent="0.2">
      <c r="B135" s="7" t="s">
        <v>223</v>
      </c>
      <c r="E135" s="39"/>
      <c r="F135" s="39"/>
      <c r="G135" s="39"/>
      <c r="H135" s="39"/>
    </row>
    <row r="136" spans="2:8" x14ac:dyDescent="0.2">
      <c r="B136" s="7" t="s">
        <v>224</v>
      </c>
      <c r="E136" s="39"/>
      <c r="F136" s="39"/>
      <c r="G136" s="39"/>
      <c r="H136" s="39"/>
    </row>
    <row r="137" spans="2:8" x14ac:dyDescent="0.2">
      <c r="B137" s="7" t="s">
        <v>225</v>
      </c>
      <c r="E137" s="39"/>
      <c r="F137" s="39"/>
      <c r="G137" s="39"/>
      <c r="H137" s="39"/>
    </row>
    <row r="138" spans="2:8" x14ac:dyDescent="0.2">
      <c r="B138" s="7" t="s">
        <v>226</v>
      </c>
      <c r="E138" s="39"/>
      <c r="F138" s="39"/>
      <c r="G138" s="39"/>
      <c r="H138" s="39"/>
    </row>
    <row r="139" spans="2:8" x14ac:dyDescent="0.2">
      <c r="B139" s="7" t="s">
        <v>227</v>
      </c>
      <c r="E139" s="39"/>
      <c r="F139" s="39"/>
      <c r="G139" s="39"/>
      <c r="H139" s="39"/>
    </row>
    <row r="140" spans="2:8" x14ac:dyDescent="0.2">
      <c r="B140" s="7" t="s">
        <v>228</v>
      </c>
      <c r="E140" s="39"/>
      <c r="F140" s="39"/>
      <c r="G140" s="39"/>
      <c r="H140" s="39"/>
    </row>
    <row r="141" spans="2:8" x14ac:dyDescent="0.2">
      <c r="B141" s="7" t="s">
        <v>229</v>
      </c>
      <c r="E141" s="39"/>
      <c r="F141" s="39"/>
      <c r="G141" s="39"/>
      <c r="H141" s="39"/>
    </row>
    <row r="142" spans="2:8" x14ac:dyDescent="0.2">
      <c r="B142" s="7" t="s">
        <v>230</v>
      </c>
      <c r="E142" s="39"/>
      <c r="F142" s="39"/>
      <c r="G142" s="39"/>
      <c r="H142" s="39"/>
    </row>
    <row r="143" spans="2:8" x14ac:dyDescent="0.2">
      <c r="B143" s="7" t="s">
        <v>231</v>
      </c>
      <c r="E143" s="39"/>
      <c r="F143" s="39"/>
      <c r="G143" s="39"/>
      <c r="H143" s="39"/>
    </row>
    <row r="144" spans="2:8" x14ac:dyDescent="0.2">
      <c r="B144" s="7" t="s">
        <v>232</v>
      </c>
      <c r="E144" s="39"/>
      <c r="F144" s="39"/>
      <c r="G144" s="39"/>
      <c r="H144" s="39"/>
    </row>
    <row r="145" spans="2:8" x14ac:dyDescent="0.2">
      <c r="B145" s="7" t="s">
        <v>233</v>
      </c>
      <c r="E145" s="39"/>
      <c r="F145" s="39"/>
      <c r="G145" s="39"/>
      <c r="H145" s="39"/>
    </row>
    <row r="146" spans="2:8" x14ac:dyDescent="0.2">
      <c r="B146" s="7" t="s">
        <v>234</v>
      </c>
      <c r="E146" s="39"/>
      <c r="F146" s="39"/>
      <c r="G146" s="39"/>
      <c r="H146" s="39"/>
    </row>
    <row r="147" spans="2:8" x14ac:dyDescent="0.2">
      <c r="B147" s="7" t="s">
        <v>235</v>
      </c>
      <c r="E147" s="39"/>
      <c r="F147" s="39"/>
      <c r="G147" s="39"/>
      <c r="H147" s="39"/>
    </row>
    <row r="148" spans="2:8" x14ac:dyDescent="0.2">
      <c r="B148" s="7" t="s">
        <v>236</v>
      </c>
      <c r="E148" s="39"/>
      <c r="F148" s="39"/>
      <c r="G148" s="39"/>
      <c r="H148" s="39"/>
    </row>
    <row r="149" spans="2:8" x14ac:dyDescent="0.2">
      <c r="B149" s="7" t="s">
        <v>237</v>
      </c>
      <c r="E149" s="39"/>
      <c r="F149" s="39"/>
      <c r="G149" s="39"/>
      <c r="H149" s="39"/>
    </row>
    <row r="150" spans="2:8" x14ac:dyDescent="0.2">
      <c r="B150" s="7" t="s">
        <v>238</v>
      </c>
      <c r="E150" s="39"/>
      <c r="F150" s="39"/>
      <c r="G150" s="39"/>
      <c r="H150" s="39"/>
    </row>
    <row r="151" spans="2:8" x14ac:dyDescent="0.2">
      <c r="B151" s="7" t="s">
        <v>239</v>
      </c>
      <c r="E151" s="39"/>
      <c r="F151" s="39"/>
      <c r="G151" s="39"/>
      <c r="H151" s="39"/>
    </row>
    <row r="152" spans="2:8" x14ac:dyDescent="0.2">
      <c r="B152" s="7" t="s">
        <v>240</v>
      </c>
      <c r="E152" s="39"/>
      <c r="F152" s="39"/>
      <c r="G152" s="39"/>
      <c r="H152" s="39"/>
    </row>
    <row r="153" spans="2:8" x14ac:dyDescent="0.2">
      <c r="B153" s="7" t="s">
        <v>241</v>
      </c>
      <c r="E153" s="39"/>
      <c r="F153" s="39"/>
      <c r="G153" s="39"/>
      <c r="H153" s="39"/>
    </row>
    <row r="154" spans="2:8" x14ac:dyDescent="0.2">
      <c r="B154" s="7" t="s">
        <v>242</v>
      </c>
      <c r="E154" s="39"/>
      <c r="F154" s="39"/>
      <c r="G154" s="39"/>
      <c r="H154" s="39"/>
    </row>
    <row r="155" spans="2:8" x14ac:dyDescent="0.2">
      <c r="B155" s="7" t="s">
        <v>243</v>
      </c>
      <c r="E155" s="39"/>
      <c r="F155" s="39"/>
      <c r="G155" s="39"/>
      <c r="H155" s="39"/>
    </row>
    <row r="156" spans="2:8" x14ac:dyDescent="0.2">
      <c r="B156" s="7" t="s">
        <v>244</v>
      </c>
      <c r="E156" s="39"/>
      <c r="F156" s="39"/>
      <c r="G156" s="39"/>
      <c r="H156" s="39"/>
    </row>
    <row r="157" spans="2:8" x14ac:dyDescent="0.2">
      <c r="B157" s="7" t="s">
        <v>245</v>
      </c>
      <c r="E157" s="39"/>
      <c r="F157" s="39"/>
      <c r="G157" s="39"/>
      <c r="H157" s="39"/>
    </row>
    <row r="158" spans="2:8" x14ac:dyDescent="0.2">
      <c r="B158" s="7" t="s">
        <v>246</v>
      </c>
      <c r="E158" s="39"/>
      <c r="F158" s="39"/>
      <c r="G158" s="39"/>
      <c r="H158" s="39"/>
    </row>
    <row r="159" spans="2:8" x14ac:dyDescent="0.2">
      <c r="B159" s="7" t="s">
        <v>247</v>
      </c>
      <c r="E159" s="39"/>
      <c r="F159" s="39"/>
      <c r="G159" s="39"/>
      <c r="H159" s="39"/>
    </row>
    <row r="160" spans="2:8" x14ac:dyDescent="0.2">
      <c r="B160" s="7" t="s">
        <v>248</v>
      </c>
      <c r="E160" s="39"/>
      <c r="F160" s="39"/>
      <c r="G160" s="39"/>
      <c r="H160" s="39"/>
    </row>
    <row r="161" spans="2:8" x14ac:dyDescent="0.2">
      <c r="B161" s="7" t="s">
        <v>249</v>
      </c>
      <c r="E161" s="39"/>
      <c r="F161" s="39"/>
      <c r="G161" s="39"/>
      <c r="H161" s="39"/>
    </row>
    <row r="162" spans="2:8" x14ac:dyDescent="0.2">
      <c r="B162" s="7" t="s">
        <v>250</v>
      </c>
      <c r="E162" s="39"/>
      <c r="F162" s="39"/>
      <c r="G162" s="39"/>
      <c r="H162" s="39"/>
    </row>
    <row r="163" spans="2:8" x14ac:dyDescent="0.2">
      <c r="B163" s="7" t="s">
        <v>251</v>
      </c>
      <c r="E163" s="39"/>
      <c r="F163" s="39"/>
      <c r="G163" s="39"/>
      <c r="H163" s="39"/>
    </row>
    <row r="164" spans="2:8" x14ac:dyDescent="0.2">
      <c r="B164" s="7" t="s">
        <v>252</v>
      </c>
      <c r="E164" s="39"/>
      <c r="F164" s="39"/>
      <c r="G164" s="39"/>
      <c r="H164" s="39"/>
    </row>
    <row r="165" spans="2:8" x14ac:dyDescent="0.2">
      <c r="B165" s="7" t="s">
        <v>253</v>
      </c>
      <c r="E165" s="39"/>
      <c r="F165" s="39"/>
      <c r="G165" s="39"/>
      <c r="H165" s="39"/>
    </row>
    <row r="166" spans="2:8" x14ac:dyDescent="0.2">
      <c r="B166" s="7" t="s">
        <v>254</v>
      </c>
      <c r="E166" s="39"/>
      <c r="F166" s="39"/>
      <c r="G166" s="39"/>
      <c r="H166" s="39"/>
    </row>
    <row r="167" spans="2:8" x14ac:dyDescent="0.2">
      <c r="B167" s="7" t="s">
        <v>255</v>
      </c>
      <c r="E167" s="39"/>
      <c r="F167" s="39"/>
      <c r="G167" s="39"/>
      <c r="H167" s="39"/>
    </row>
    <row r="168" spans="2:8" x14ac:dyDescent="0.2">
      <c r="B168" s="7" t="s">
        <v>256</v>
      </c>
      <c r="E168" s="39"/>
      <c r="F168" s="39"/>
      <c r="G168" s="39"/>
      <c r="H168" s="39"/>
    </row>
    <row r="169" spans="2:8" x14ac:dyDescent="0.2">
      <c r="B169" s="7" t="s">
        <v>257</v>
      </c>
      <c r="E169" s="39"/>
      <c r="F169" s="39"/>
      <c r="G169" s="39"/>
      <c r="H169" s="39"/>
    </row>
    <row r="170" spans="2:8" x14ac:dyDescent="0.2">
      <c r="B170" s="7" t="s">
        <v>258</v>
      </c>
      <c r="E170" s="39"/>
      <c r="F170" s="39"/>
      <c r="G170" s="39"/>
      <c r="H170" s="39"/>
    </row>
    <row r="171" spans="2:8" x14ac:dyDescent="0.2">
      <c r="B171" s="7" t="s">
        <v>259</v>
      </c>
      <c r="E171" s="39"/>
      <c r="F171" s="39"/>
      <c r="G171" s="39"/>
      <c r="H171" s="39"/>
    </row>
    <row r="172" spans="2:8" x14ac:dyDescent="0.2">
      <c r="B172" s="7" t="s">
        <v>260</v>
      </c>
      <c r="E172" s="39"/>
      <c r="F172" s="39"/>
      <c r="G172" s="39"/>
      <c r="H172" s="39"/>
    </row>
    <row r="173" spans="2:8" x14ac:dyDescent="0.2">
      <c r="B173" s="7" t="s">
        <v>261</v>
      </c>
      <c r="E173" s="39"/>
      <c r="F173" s="39"/>
      <c r="G173" s="39"/>
      <c r="H173" s="39"/>
    </row>
    <row r="174" spans="2:8" x14ac:dyDescent="0.2">
      <c r="B174" s="7" t="s">
        <v>262</v>
      </c>
      <c r="E174" s="39"/>
      <c r="F174" s="39"/>
      <c r="G174" s="39"/>
      <c r="H174" s="39"/>
    </row>
    <row r="175" spans="2:8" x14ac:dyDescent="0.2">
      <c r="B175" s="7" t="s">
        <v>263</v>
      </c>
      <c r="E175" s="39"/>
      <c r="F175" s="39"/>
      <c r="G175" s="39"/>
      <c r="H175" s="39"/>
    </row>
    <row r="176" spans="2:8" x14ac:dyDescent="0.2">
      <c r="B176" s="7" t="s">
        <v>264</v>
      </c>
      <c r="E176" s="39"/>
      <c r="F176" s="39"/>
      <c r="G176" s="39"/>
      <c r="H176" s="39"/>
    </row>
    <row r="177" spans="2:8" x14ac:dyDescent="0.2">
      <c r="B177" s="7" t="s">
        <v>265</v>
      </c>
      <c r="E177" s="39"/>
      <c r="F177" s="39"/>
      <c r="G177" s="39"/>
      <c r="H177" s="39"/>
    </row>
    <row r="178" spans="2:8" x14ac:dyDescent="0.2">
      <c r="B178" s="7" t="s">
        <v>266</v>
      </c>
      <c r="E178" s="39"/>
      <c r="F178" s="39"/>
      <c r="G178" s="39"/>
      <c r="H178" s="39"/>
    </row>
    <row r="179" spans="2:8" x14ac:dyDescent="0.2">
      <c r="B179" s="7" t="s">
        <v>267</v>
      </c>
      <c r="E179" s="39"/>
      <c r="F179" s="39"/>
      <c r="G179" s="39"/>
      <c r="H179" s="39"/>
    </row>
    <row r="180" spans="2:8" x14ac:dyDescent="0.2">
      <c r="B180" s="7" t="s">
        <v>268</v>
      </c>
      <c r="E180" s="39"/>
      <c r="F180" s="39"/>
      <c r="G180" s="39"/>
      <c r="H180" s="39"/>
    </row>
    <row r="181" spans="2:8" x14ac:dyDescent="0.2">
      <c r="B181" s="7" t="s">
        <v>269</v>
      </c>
      <c r="E181" s="39"/>
      <c r="F181" s="39"/>
      <c r="G181" s="39"/>
      <c r="H181" s="39"/>
    </row>
    <row r="182" spans="2:8" x14ac:dyDescent="0.2">
      <c r="B182" s="7" t="s">
        <v>270</v>
      </c>
      <c r="E182" s="39"/>
      <c r="F182" s="39"/>
      <c r="G182" s="39"/>
      <c r="H182" s="39"/>
    </row>
    <row r="183" spans="2:8" x14ac:dyDescent="0.2">
      <c r="B183" s="7" t="s">
        <v>271</v>
      </c>
      <c r="E183" s="39"/>
      <c r="F183" s="39"/>
      <c r="G183" s="39"/>
      <c r="H183" s="39"/>
    </row>
    <row r="184" spans="2:8" x14ac:dyDescent="0.2">
      <c r="B184" s="7" t="s">
        <v>272</v>
      </c>
      <c r="E184" s="39"/>
      <c r="F184" s="39"/>
      <c r="G184" s="39"/>
      <c r="H184" s="39"/>
    </row>
    <row r="185" spans="2:8" x14ac:dyDescent="0.2">
      <c r="B185" s="7" t="s">
        <v>273</v>
      </c>
      <c r="E185" s="39"/>
      <c r="F185" s="39"/>
      <c r="G185" s="39"/>
      <c r="H185" s="39"/>
    </row>
    <row r="186" spans="2:8" x14ac:dyDescent="0.2">
      <c r="B186" s="7" t="s">
        <v>274</v>
      </c>
      <c r="E186" s="39"/>
      <c r="F186" s="39"/>
      <c r="G186" s="39"/>
      <c r="H186" s="39"/>
    </row>
    <row r="187" spans="2:8" x14ac:dyDescent="0.2">
      <c r="B187" s="7" t="s">
        <v>275</v>
      </c>
      <c r="E187" s="39"/>
      <c r="F187" s="39"/>
      <c r="G187" s="39"/>
      <c r="H187" s="39"/>
    </row>
    <row r="188" spans="2:8" x14ac:dyDescent="0.2">
      <c r="B188" s="7" t="s">
        <v>276</v>
      </c>
      <c r="E188" s="39"/>
      <c r="F188" s="39"/>
      <c r="G188" s="39"/>
      <c r="H188" s="39"/>
    </row>
    <row r="189" spans="2:8" x14ac:dyDescent="0.2">
      <c r="B189" s="7" t="s">
        <v>277</v>
      </c>
      <c r="E189" s="39"/>
      <c r="F189" s="39"/>
      <c r="G189" s="39"/>
      <c r="H189" s="39"/>
    </row>
    <row r="190" spans="2:8" x14ac:dyDescent="0.2">
      <c r="B190" s="7" t="s">
        <v>278</v>
      </c>
      <c r="E190" s="39"/>
      <c r="F190" s="39"/>
      <c r="G190" s="39"/>
      <c r="H190" s="39"/>
    </row>
    <row r="191" spans="2:8" x14ac:dyDescent="0.2">
      <c r="B191" s="7" t="s">
        <v>279</v>
      </c>
      <c r="E191" s="39"/>
      <c r="F191" s="39"/>
      <c r="G191" s="39"/>
      <c r="H191" s="39"/>
    </row>
    <row r="192" spans="2:8" x14ac:dyDescent="0.2">
      <c r="B192" s="7" t="s">
        <v>280</v>
      </c>
      <c r="E192" s="39"/>
      <c r="F192" s="39"/>
      <c r="G192" s="39"/>
      <c r="H192" s="39"/>
    </row>
    <row r="193" spans="2:8" x14ac:dyDescent="0.2">
      <c r="B193" s="7" t="s">
        <v>281</v>
      </c>
      <c r="E193" s="39"/>
      <c r="F193" s="39"/>
      <c r="G193" s="39"/>
      <c r="H193" s="39"/>
    </row>
    <row r="194" spans="2:8" x14ac:dyDescent="0.2">
      <c r="B194" s="7" t="s">
        <v>282</v>
      </c>
      <c r="E194" s="39"/>
      <c r="F194" s="39"/>
      <c r="G194" s="39"/>
      <c r="H194" s="39"/>
    </row>
    <row r="195" spans="2:8" x14ac:dyDescent="0.2">
      <c r="B195" s="7" t="s">
        <v>283</v>
      </c>
      <c r="E195" s="39"/>
      <c r="F195" s="39"/>
      <c r="G195" s="39"/>
      <c r="H195" s="39"/>
    </row>
    <row r="196" spans="2:8" x14ac:dyDescent="0.2">
      <c r="B196" s="7" t="s">
        <v>284</v>
      </c>
      <c r="E196" s="39"/>
      <c r="F196" s="39"/>
      <c r="G196" s="39"/>
      <c r="H196" s="39"/>
    </row>
    <row r="197" spans="2:8" x14ac:dyDescent="0.2">
      <c r="B197" s="7" t="s">
        <v>285</v>
      </c>
      <c r="E197" s="39"/>
      <c r="F197" s="39"/>
      <c r="G197" s="39"/>
      <c r="H197" s="39"/>
    </row>
    <row r="198" spans="2:8" x14ac:dyDescent="0.2">
      <c r="B198" s="7" t="s">
        <v>286</v>
      </c>
      <c r="E198" s="39"/>
      <c r="F198" s="39"/>
      <c r="G198" s="39"/>
      <c r="H198" s="39"/>
    </row>
    <row r="199" spans="2:8" x14ac:dyDescent="0.2">
      <c r="B199" s="7" t="s">
        <v>287</v>
      </c>
      <c r="E199" s="39"/>
      <c r="F199" s="39"/>
      <c r="G199" s="39"/>
      <c r="H199" s="39"/>
    </row>
    <row r="200" spans="2:8" x14ac:dyDescent="0.2">
      <c r="B200" s="7" t="s">
        <v>288</v>
      </c>
      <c r="E200" s="39"/>
      <c r="F200" s="39"/>
      <c r="G200" s="39"/>
      <c r="H200" s="39"/>
    </row>
    <row r="201" spans="2:8" x14ac:dyDescent="0.2">
      <c r="B201" s="7" t="s">
        <v>289</v>
      </c>
      <c r="E201" s="39"/>
      <c r="F201" s="39"/>
      <c r="G201" s="39"/>
      <c r="H201" s="39"/>
    </row>
    <row r="202" spans="2:8" x14ac:dyDescent="0.2">
      <c r="B202" s="7" t="s">
        <v>290</v>
      </c>
      <c r="E202" s="39"/>
      <c r="F202" s="39"/>
      <c r="G202" s="39"/>
      <c r="H202" s="39"/>
    </row>
    <row r="203" spans="2:8" x14ac:dyDescent="0.2">
      <c r="B203" s="7" t="s">
        <v>291</v>
      </c>
      <c r="E203" s="39"/>
      <c r="F203" s="39"/>
      <c r="G203" s="39"/>
      <c r="H203" s="39"/>
    </row>
    <row r="204" spans="2:8" x14ac:dyDescent="0.2">
      <c r="B204" s="7" t="s">
        <v>292</v>
      </c>
      <c r="E204" s="39"/>
      <c r="F204" s="39"/>
      <c r="G204" s="39"/>
      <c r="H204" s="39"/>
    </row>
    <row r="205" spans="2:8" x14ac:dyDescent="0.2">
      <c r="B205" s="7" t="s">
        <v>293</v>
      </c>
      <c r="E205" s="39"/>
      <c r="F205" s="39"/>
      <c r="G205" s="39"/>
      <c r="H205" s="39"/>
    </row>
    <row r="206" spans="2:8" x14ac:dyDescent="0.2">
      <c r="E206" s="39"/>
      <c r="F206" s="39"/>
      <c r="G206" s="39"/>
      <c r="H206" s="39"/>
    </row>
    <row r="207" spans="2:8" x14ac:dyDescent="0.2">
      <c r="E207" s="39"/>
      <c r="F207" s="39"/>
      <c r="G207" s="39"/>
      <c r="H207" s="39"/>
    </row>
    <row r="208" spans="2:8" x14ac:dyDescent="0.2">
      <c r="E208" s="39"/>
      <c r="F208" s="39"/>
      <c r="G208" s="39"/>
      <c r="H208" s="39"/>
    </row>
    <row r="209" spans="3:8" x14ac:dyDescent="0.2">
      <c r="E209" s="39"/>
      <c r="F209" s="39"/>
      <c r="G209" s="39"/>
      <c r="H209" s="39"/>
    </row>
    <row r="210" spans="3:8" x14ac:dyDescent="0.2">
      <c r="E210" s="39"/>
      <c r="F210" s="39"/>
      <c r="G210" s="39"/>
      <c r="H210" s="39"/>
    </row>
    <row r="211" spans="3:8" x14ac:dyDescent="0.2">
      <c r="E211" s="39"/>
      <c r="F211" s="39"/>
      <c r="G211" s="39"/>
      <c r="H211" s="39"/>
    </row>
    <row r="212" spans="3:8" x14ac:dyDescent="0.2">
      <c r="E212" s="39"/>
      <c r="F212" s="39"/>
      <c r="G212" s="39"/>
      <c r="H212" s="39"/>
    </row>
    <row r="213" spans="3:8" x14ac:dyDescent="0.2">
      <c r="E213" s="39"/>
      <c r="F213" s="39"/>
      <c r="G213" s="39"/>
      <c r="H213" s="39"/>
    </row>
    <row r="214" spans="3:8" x14ac:dyDescent="0.2">
      <c r="E214" s="39"/>
      <c r="F214" s="39"/>
      <c r="G214" s="39"/>
      <c r="H214" s="39"/>
    </row>
    <row r="215" spans="3:8" x14ac:dyDescent="0.2">
      <c r="E215" s="39"/>
      <c r="F215" s="39"/>
      <c r="G215" s="39"/>
      <c r="H215" s="39"/>
    </row>
    <row r="216" spans="3:8" x14ac:dyDescent="0.2">
      <c r="E216" s="39"/>
      <c r="F216" s="39"/>
      <c r="G216" s="39"/>
      <c r="H216" s="39"/>
    </row>
    <row r="217" spans="3:8" x14ac:dyDescent="0.2">
      <c r="E217" s="39"/>
      <c r="F217" s="39"/>
      <c r="G217" s="39"/>
      <c r="H217" s="39"/>
    </row>
    <row r="218" spans="3:8" x14ac:dyDescent="0.2">
      <c r="E218" s="39"/>
      <c r="F218" s="39"/>
      <c r="G218" s="39"/>
      <c r="H218" s="39"/>
    </row>
    <row r="219" spans="3:8" x14ac:dyDescent="0.2">
      <c r="E219" s="39"/>
      <c r="F219" s="39"/>
      <c r="G219" s="39"/>
      <c r="H219" s="39"/>
    </row>
    <row r="220" spans="3:8" x14ac:dyDescent="0.2">
      <c r="C220" s="184"/>
      <c r="D220" s="184"/>
      <c r="E220" s="185"/>
      <c r="F220" s="42"/>
      <c r="G220" s="39"/>
      <c r="H220" s="39"/>
    </row>
    <row r="221" spans="3:8" x14ac:dyDescent="0.2">
      <c r="C221" s="184"/>
      <c r="D221" s="184"/>
      <c r="E221" s="185"/>
      <c r="F221" s="42"/>
      <c r="G221" s="39"/>
      <c r="H221" s="39"/>
    </row>
    <row r="222" spans="3:8" x14ac:dyDescent="0.2">
      <c r="C222" s="184"/>
      <c r="D222" s="184"/>
      <c r="E222" s="185"/>
      <c r="F222" s="42"/>
      <c r="G222" s="39"/>
      <c r="H222" s="39"/>
    </row>
    <row r="223" spans="3:8" x14ac:dyDescent="0.2">
      <c r="C223" s="184"/>
      <c r="D223" s="184"/>
      <c r="E223" s="185"/>
      <c r="F223" s="42"/>
      <c r="G223" s="39"/>
      <c r="H223" s="39"/>
    </row>
    <row r="224" spans="3:8" x14ac:dyDescent="0.2">
      <c r="C224" s="184"/>
      <c r="D224" s="184"/>
      <c r="E224" s="185"/>
      <c r="F224" s="42"/>
      <c r="G224" s="39"/>
      <c r="H224" s="39"/>
    </row>
    <row r="225" spans="3:8" x14ac:dyDescent="0.2">
      <c r="C225" s="184"/>
      <c r="D225" s="184"/>
      <c r="E225" s="185"/>
      <c r="F225" s="42"/>
      <c r="G225" s="39"/>
      <c r="H225" s="39"/>
    </row>
    <row r="226" spans="3:8" x14ac:dyDescent="0.2">
      <c r="C226" s="42"/>
      <c r="D226" s="42"/>
      <c r="E226" s="42"/>
      <c r="F226" s="42"/>
      <c r="G226" s="39"/>
      <c r="H226" s="39"/>
    </row>
    <row r="227" spans="3:8" x14ac:dyDescent="0.2">
      <c r="C227" s="42"/>
      <c r="D227" s="42"/>
      <c r="E227" s="42"/>
      <c r="F227" s="42"/>
      <c r="G227" s="39"/>
      <c r="H227" s="39"/>
    </row>
    <row r="228" spans="3:8" x14ac:dyDescent="0.2">
      <c r="C228" s="42"/>
      <c r="D228" s="42"/>
      <c r="E228" s="42"/>
      <c r="F228" s="42"/>
      <c r="G228" s="39"/>
      <c r="H228" s="39"/>
    </row>
    <row r="229" spans="3:8" x14ac:dyDescent="0.2">
      <c r="C229" s="42"/>
      <c r="D229" s="42"/>
      <c r="E229" s="42"/>
      <c r="F229" s="42"/>
    </row>
    <row r="230" spans="3:8" x14ac:dyDescent="0.2">
      <c r="C230" s="42"/>
      <c r="D230" s="42"/>
      <c r="E230" s="42"/>
      <c r="F230" s="42"/>
    </row>
    <row r="231" spans="3:8" x14ac:dyDescent="0.2">
      <c r="C231" s="42"/>
      <c r="D231" s="42"/>
      <c r="E231" s="42"/>
      <c r="F231" s="42"/>
    </row>
    <row r="232" spans="3:8" x14ac:dyDescent="0.2">
      <c r="C232" s="42"/>
      <c r="D232" s="42"/>
      <c r="E232" s="42"/>
      <c r="F232" s="42"/>
    </row>
    <row r="233" spans="3:8" x14ac:dyDescent="0.2">
      <c r="C233" s="42"/>
      <c r="D233" s="43"/>
      <c r="E233" s="43"/>
      <c r="F233" s="43"/>
    </row>
    <row r="234" spans="3:8" x14ac:dyDescent="0.2">
      <c r="C234" s="42"/>
      <c r="D234" s="41"/>
      <c r="E234" s="44"/>
      <c r="F234" s="45"/>
    </row>
    <row r="235" spans="3:8" x14ac:dyDescent="0.2">
      <c r="C235" s="42"/>
      <c r="D235" s="41"/>
      <c r="E235" s="44"/>
      <c r="F235" s="45"/>
    </row>
    <row r="236" spans="3:8" x14ac:dyDescent="0.2">
      <c r="C236" s="42"/>
      <c r="D236" s="28"/>
      <c r="E236" s="29"/>
      <c r="F236" s="30"/>
    </row>
    <row r="237" spans="3:8" x14ac:dyDescent="0.2">
      <c r="C237" s="42"/>
      <c r="D237" s="28"/>
      <c r="E237" s="29"/>
      <c r="F237" s="30"/>
    </row>
    <row r="238" spans="3:8" x14ac:dyDescent="0.2">
      <c r="C238" s="42"/>
      <c r="D238" s="41"/>
      <c r="E238" s="44"/>
      <c r="F238" s="45"/>
    </row>
    <row r="239" spans="3:8" x14ac:dyDescent="0.2">
      <c r="C239" s="42"/>
      <c r="D239" s="42"/>
      <c r="E239" s="42"/>
      <c r="F239" s="42"/>
    </row>
    <row r="240" spans="3:8" x14ac:dyDescent="0.2">
      <c r="C240" s="42"/>
      <c r="D240" s="42"/>
      <c r="E240" s="42"/>
      <c r="F240" s="42"/>
    </row>
    <row r="241" spans="3:6" x14ac:dyDescent="0.2">
      <c r="C241" s="42"/>
      <c r="D241" s="42"/>
      <c r="E241" s="42"/>
      <c r="F241" s="42"/>
    </row>
    <row r="242" spans="3:6" x14ac:dyDescent="0.2">
      <c r="C242" s="42"/>
      <c r="D242" s="42"/>
      <c r="E242" s="42"/>
      <c r="F242" s="42"/>
    </row>
  </sheetData>
  <sheetProtection password="C437" sheet="1" objects="1" scenarios="1"/>
  <mergeCells count="16">
    <mergeCell ref="F13:F14"/>
    <mergeCell ref="G13:G14"/>
    <mergeCell ref="H13:H14"/>
    <mergeCell ref="F15:F16"/>
    <mergeCell ref="G15:G16"/>
    <mergeCell ref="H15:H16"/>
    <mergeCell ref="C223:C225"/>
    <mergeCell ref="D223:D225"/>
    <mergeCell ref="E223:E225"/>
    <mergeCell ref="F22:F23"/>
    <mergeCell ref="F24:F25"/>
    <mergeCell ref="F26:F27"/>
    <mergeCell ref="F28:F29"/>
    <mergeCell ref="C220:C222"/>
    <mergeCell ref="D220:D222"/>
    <mergeCell ref="E220:E2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33"/>
  <sheetViews>
    <sheetView workbookViewId="0">
      <selection activeCell="A3" sqref="A3"/>
    </sheetView>
  </sheetViews>
  <sheetFormatPr defaultRowHeight="12.75" x14ac:dyDescent="0.2"/>
  <cols>
    <col min="4" max="4" width="50.1640625" bestFit="1" customWidth="1"/>
    <col min="5" max="5" width="12.83203125" bestFit="1" customWidth="1"/>
    <col min="6" max="6" width="18" bestFit="1" customWidth="1"/>
    <col min="7" max="8" width="9.5" bestFit="1" customWidth="1"/>
    <col min="9" max="9" width="9.83203125" bestFit="1" customWidth="1"/>
  </cols>
  <sheetData>
    <row r="3" spans="1:22" s="6" customFormat="1" ht="31.5" customHeight="1" x14ac:dyDescent="0.2">
      <c r="A3" s="7" t="e">
        <f>'Documents '!#REF!+1</f>
        <v>#REF!</v>
      </c>
      <c r="B3" s="5"/>
      <c r="C3" s="5"/>
      <c r="D3" s="46" t="s">
        <v>110</v>
      </c>
      <c r="E3" s="5" t="s">
        <v>308</v>
      </c>
      <c r="F3" s="47" t="s">
        <v>295</v>
      </c>
      <c r="G3" s="27">
        <v>0</v>
      </c>
      <c r="H3" s="9">
        <v>2</v>
      </c>
      <c r="I3" s="10">
        <v>42150</v>
      </c>
      <c r="J3" s="5"/>
      <c r="K3" s="5"/>
      <c r="L3" s="13"/>
      <c r="M3" s="7"/>
      <c r="N3" s="5"/>
      <c r="O3" s="5"/>
      <c r="P3" s="13"/>
      <c r="Q3" s="7"/>
      <c r="R3" s="5"/>
      <c r="S3" s="5"/>
      <c r="T3" s="13"/>
      <c r="U3" s="7"/>
      <c r="V3" s="5" t="s">
        <v>327</v>
      </c>
    </row>
    <row r="4" spans="1:22" s="6" customFormat="1" ht="30" customHeight="1" x14ac:dyDescent="0.2">
      <c r="A4" s="7" t="e">
        <f t="shared" ref="A4:A15" si="0">A3+1</f>
        <v>#REF!</v>
      </c>
      <c r="B4" s="5"/>
      <c r="C4" s="5"/>
      <c r="D4" s="46" t="s">
        <v>111</v>
      </c>
      <c r="E4" s="5" t="s">
        <v>309</v>
      </c>
      <c r="F4" s="47" t="s">
        <v>296</v>
      </c>
      <c r="G4" s="27">
        <v>0</v>
      </c>
      <c r="H4" s="9">
        <v>2</v>
      </c>
      <c r="I4" s="10">
        <v>42140</v>
      </c>
      <c r="J4" s="5"/>
      <c r="K4" s="5"/>
      <c r="L4" s="13"/>
      <c r="M4" s="7"/>
      <c r="N4" s="5"/>
      <c r="O4" s="5"/>
      <c r="P4" s="13"/>
      <c r="Q4" s="7"/>
      <c r="R4" s="5"/>
      <c r="S4" s="5"/>
      <c r="T4" s="13"/>
      <c r="U4" s="7"/>
      <c r="V4" s="5" t="s">
        <v>327</v>
      </c>
    </row>
    <row r="5" spans="1:22" s="6" customFormat="1" ht="30" customHeight="1" x14ac:dyDescent="0.2">
      <c r="A5" s="7" t="e">
        <f t="shared" si="0"/>
        <v>#REF!</v>
      </c>
      <c r="B5" s="5"/>
      <c r="C5" s="5"/>
      <c r="D5" s="46" t="s">
        <v>112</v>
      </c>
      <c r="E5" s="5" t="s">
        <v>310</v>
      </c>
      <c r="F5" s="47" t="s">
        <v>297</v>
      </c>
      <c r="G5" s="27">
        <v>0</v>
      </c>
      <c r="H5" s="9">
        <v>2</v>
      </c>
      <c r="I5" s="10">
        <v>42187</v>
      </c>
      <c r="J5" s="5"/>
      <c r="K5" s="5"/>
      <c r="L5" s="13"/>
      <c r="M5" s="7"/>
      <c r="N5" s="5"/>
      <c r="O5" s="5"/>
      <c r="P5" s="13"/>
      <c r="Q5" s="7"/>
      <c r="R5" s="5"/>
      <c r="S5" s="5"/>
      <c r="T5" s="13"/>
      <c r="U5" s="7"/>
      <c r="V5" s="5" t="s">
        <v>327</v>
      </c>
    </row>
    <row r="6" spans="1:22" s="6" customFormat="1" ht="30" customHeight="1" x14ac:dyDescent="0.2">
      <c r="A6" s="7" t="e">
        <f t="shared" si="0"/>
        <v>#REF!</v>
      </c>
      <c r="B6" s="5"/>
      <c r="C6" s="5"/>
      <c r="D6" s="14" t="s">
        <v>113</v>
      </c>
      <c r="E6" s="5" t="s">
        <v>311</v>
      </c>
      <c r="F6" s="47" t="s">
        <v>298</v>
      </c>
      <c r="G6" s="27">
        <v>0</v>
      </c>
      <c r="H6" s="9">
        <v>2</v>
      </c>
      <c r="I6" s="10">
        <v>42236</v>
      </c>
      <c r="J6" s="5"/>
      <c r="K6" s="5"/>
      <c r="L6" s="13"/>
      <c r="M6" s="7"/>
      <c r="N6" s="5"/>
      <c r="O6" s="5"/>
      <c r="P6" s="13"/>
      <c r="Q6" s="7"/>
      <c r="R6" s="5"/>
      <c r="S6" s="5"/>
      <c r="T6" s="13"/>
      <c r="U6" s="7"/>
      <c r="V6" s="5" t="s">
        <v>327</v>
      </c>
    </row>
    <row r="7" spans="1:22" s="6" customFormat="1" ht="30" customHeight="1" x14ac:dyDescent="0.2">
      <c r="A7" s="7" t="e">
        <f t="shared" si="0"/>
        <v>#REF!</v>
      </c>
      <c r="B7" s="5"/>
      <c r="C7" s="5"/>
      <c r="D7" s="46" t="s">
        <v>114</v>
      </c>
      <c r="E7" s="5" t="s">
        <v>312</v>
      </c>
      <c r="F7" s="47" t="s">
        <v>299</v>
      </c>
      <c r="G7" s="27">
        <v>0</v>
      </c>
      <c r="H7" s="9">
        <v>2</v>
      </c>
      <c r="I7" s="10">
        <v>42181</v>
      </c>
      <c r="J7" s="5"/>
      <c r="K7" s="5"/>
      <c r="L7" s="13"/>
      <c r="M7" s="7"/>
      <c r="N7" s="5"/>
      <c r="O7" s="5"/>
      <c r="P7" s="13"/>
      <c r="Q7" s="7"/>
      <c r="R7" s="5"/>
      <c r="S7" s="5"/>
      <c r="T7" s="13"/>
      <c r="U7" s="7"/>
      <c r="V7" s="5" t="s">
        <v>327</v>
      </c>
    </row>
    <row r="8" spans="1:22" s="6" customFormat="1" ht="30" customHeight="1" x14ac:dyDescent="0.2">
      <c r="A8" s="7" t="e">
        <f t="shared" si="0"/>
        <v>#REF!</v>
      </c>
      <c r="B8" s="5"/>
      <c r="C8" s="5"/>
      <c r="D8" s="46" t="s">
        <v>115</v>
      </c>
      <c r="E8" s="5" t="s">
        <v>313</v>
      </c>
      <c r="F8" s="47" t="s">
        <v>300</v>
      </c>
      <c r="G8" s="27">
        <v>0</v>
      </c>
      <c r="H8" s="9">
        <v>2</v>
      </c>
      <c r="I8" s="10">
        <v>42185</v>
      </c>
      <c r="J8" s="5"/>
      <c r="K8" s="5"/>
      <c r="L8" s="13"/>
      <c r="M8" s="7"/>
      <c r="N8" s="5"/>
      <c r="O8" s="5"/>
      <c r="P8" s="13"/>
      <c r="Q8" s="7"/>
      <c r="R8" s="5"/>
      <c r="S8" s="5"/>
      <c r="T8" s="13"/>
      <c r="U8" s="7"/>
      <c r="V8" s="5" t="s">
        <v>327</v>
      </c>
    </row>
    <row r="9" spans="1:22" s="6" customFormat="1" ht="30" customHeight="1" x14ac:dyDescent="0.2">
      <c r="A9" s="7" t="e">
        <f t="shared" si="0"/>
        <v>#REF!</v>
      </c>
      <c r="B9" s="5"/>
      <c r="C9" s="5"/>
      <c r="D9" s="46" t="s">
        <v>116</v>
      </c>
      <c r="E9" s="5" t="s">
        <v>314</v>
      </c>
      <c r="F9" s="47" t="s">
        <v>301</v>
      </c>
      <c r="G9" s="27">
        <v>0</v>
      </c>
      <c r="H9" s="9">
        <v>2</v>
      </c>
      <c r="I9" s="10">
        <v>42190</v>
      </c>
      <c r="J9" s="5"/>
      <c r="K9" s="5"/>
      <c r="L9" s="13"/>
      <c r="M9" s="7"/>
      <c r="N9" s="5"/>
      <c r="O9" s="5"/>
      <c r="P9" s="13"/>
      <c r="Q9" s="7"/>
      <c r="R9" s="5"/>
      <c r="S9" s="5"/>
      <c r="T9" s="13"/>
      <c r="U9" s="7"/>
      <c r="V9" s="5" t="s">
        <v>327</v>
      </c>
    </row>
    <row r="10" spans="1:22" s="6" customFormat="1" ht="30" customHeight="1" x14ac:dyDescent="0.2">
      <c r="A10" s="7" t="e">
        <f t="shared" si="0"/>
        <v>#REF!</v>
      </c>
      <c r="B10" s="5"/>
      <c r="C10" s="5"/>
      <c r="D10" s="46" t="s">
        <v>117</v>
      </c>
      <c r="E10" s="5" t="s">
        <v>315</v>
      </c>
      <c r="F10" s="47" t="s">
        <v>302</v>
      </c>
      <c r="G10" s="27">
        <v>0</v>
      </c>
      <c r="H10" s="9">
        <v>2</v>
      </c>
      <c r="I10" s="10">
        <v>42225</v>
      </c>
      <c r="J10" s="5"/>
      <c r="K10" s="5"/>
      <c r="L10" s="13"/>
      <c r="M10" s="7"/>
      <c r="N10" s="5"/>
      <c r="O10" s="5"/>
      <c r="P10" s="13"/>
      <c r="Q10" s="7"/>
      <c r="R10" s="5"/>
      <c r="S10" s="5"/>
      <c r="T10" s="13"/>
      <c r="U10" s="7"/>
      <c r="V10" s="5" t="s">
        <v>327</v>
      </c>
    </row>
    <row r="11" spans="1:22" s="6" customFormat="1" ht="30" customHeight="1" x14ac:dyDescent="0.2">
      <c r="A11" s="7" t="e">
        <f t="shared" si="0"/>
        <v>#REF!</v>
      </c>
      <c r="B11" s="5"/>
      <c r="C11" s="5"/>
      <c r="D11" s="46" t="s">
        <v>118</v>
      </c>
      <c r="E11" s="5" t="s">
        <v>316</v>
      </c>
      <c r="F11" s="47" t="s">
        <v>303</v>
      </c>
      <c r="G11" s="27">
        <v>0</v>
      </c>
      <c r="H11" s="9">
        <v>2</v>
      </c>
      <c r="I11" s="8">
        <v>42256</v>
      </c>
      <c r="J11" s="5"/>
      <c r="K11" s="5"/>
      <c r="L11" s="13"/>
      <c r="M11" s="7"/>
      <c r="N11" s="5"/>
      <c r="O11" s="5"/>
      <c r="P11" s="13"/>
      <c r="Q11" s="7"/>
      <c r="R11" s="5"/>
      <c r="S11" s="5"/>
      <c r="T11" s="13"/>
      <c r="U11" s="7"/>
      <c r="V11" s="5" t="s">
        <v>327</v>
      </c>
    </row>
    <row r="12" spans="1:22" s="6" customFormat="1" ht="30" customHeight="1" x14ac:dyDescent="0.2">
      <c r="A12" s="7" t="e">
        <f t="shared" si="0"/>
        <v>#REF!</v>
      </c>
      <c r="B12" s="5"/>
      <c r="C12" s="5"/>
      <c r="D12" s="46" t="s">
        <v>119</v>
      </c>
      <c r="E12" s="5" t="s">
        <v>317</v>
      </c>
      <c r="F12" s="47" t="s">
        <v>304</v>
      </c>
      <c r="G12" s="27">
        <v>0</v>
      </c>
      <c r="H12" s="9">
        <v>2</v>
      </c>
      <c r="I12" s="8">
        <v>42329</v>
      </c>
      <c r="J12" s="5"/>
      <c r="K12" s="5"/>
      <c r="L12" s="13"/>
      <c r="M12" s="7"/>
      <c r="N12" s="5"/>
      <c r="O12" s="5"/>
      <c r="P12" s="13"/>
      <c r="Q12" s="7"/>
      <c r="R12" s="5"/>
      <c r="S12" s="5"/>
      <c r="T12" s="13"/>
      <c r="U12" s="7"/>
      <c r="V12" s="5" t="s">
        <v>327</v>
      </c>
    </row>
    <row r="13" spans="1:22" s="6" customFormat="1" ht="30" customHeight="1" x14ac:dyDescent="0.2">
      <c r="A13" s="7" t="e">
        <f t="shared" si="0"/>
        <v>#REF!</v>
      </c>
      <c r="B13" s="5"/>
      <c r="C13" s="5"/>
      <c r="D13" s="46" t="s">
        <v>120</v>
      </c>
      <c r="E13" s="5" t="s">
        <v>318</v>
      </c>
      <c r="F13" s="47" t="s">
        <v>305</v>
      </c>
      <c r="G13" s="27">
        <v>0</v>
      </c>
      <c r="H13" s="9">
        <v>2</v>
      </c>
      <c r="I13" s="10">
        <v>42335</v>
      </c>
      <c r="J13" s="5"/>
      <c r="K13" s="5"/>
      <c r="L13" s="13"/>
      <c r="M13" s="7"/>
      <c r="N13" s="5"/>
      <c r="O13" s="5"/>
      <c r="P13" s="13"/>
      <c r="Q13" s="7"/>
      <c r="R13" s="5"/>
      <c r="S13" s="5"/>
      <c r="T13" s="13"/>
      <c r="U13" s="7"/>
      <c r="V13" s="5" t="s">
        <v>327</v>
      </c>
    </row>
    <row r="14" spans="1:22" s="6" customFormat="1" ht="30" customHeight="1" x14ac:dyDescent="0.2">
      <c r="A14" s="7" t="e">
        <f t="shared" si="0"/>
        <v>#REF!</v>
      </c>
      <c r="B14" s="5"/>
      <c r="C14" s="5"/>
      <c r="D14" s="46" t="s">
        <v>121</v>
      </c>
      <c r="E14" s="5" t="s">
        <v>319</v>
      </c>
      <c r="F14" s="47" t="s">
        <v>306</v>
      </c>
      <c r="G14" s="27">
        <v>0</v>
      </c>
      <c r="H14" s="9">
        <v>2</v>
      </c>
      <c r="I14" s="8">
        <v>42338</v>
      </c>
      <c r="J14" s="5"/>
      <c r="K14" s="5"/>
      <c r="L14" s="13"/>
      <c r="M14" s="7"/>
      <c r="N14" s="5"/>
      <c r="O14" s="5"/>
      <c r="P14" s="13"/>
      <c r="Q14" s="7"/>
      <c r="R14" s="5"/>
      <c r="S14" s="5"/>
      <c r="T14" s="13"/>
      <c r="U14" s="7"/>
      <c r="V14" s="5" t="s">
        <v>327</v>
      </c>
    </row>
    <row r="15" spans="1:22" s="6" customFormat="1" ht="30" customHeight="1" x14ac:dyDescent="0.2">
      <c r="A15" s="7" t="e">
        <f t="shared" si="0"/>
        <v>#REF!</v>
      </c>
      <c r="B15" s="5"/>
      <c r="C15" s="5"/>
      <c r="D15" s="46" t="s">
        <v>122</v>
      </c>
      <c r="E15" s="5" t="s">
        <v>320</v>
      </c>
      <c r="F15" s="47" t="s">
        <v>307</v>
      </c>
      <c r="G15" s="27">
        <v>0</v>
      </c>
      <c r="H15" s="9">
        <v>2</v>
      </c>
      <c r="I15" s="8">
        <v>42345</v>
      </c>
      <c r="J15" s="5"/>
      <c r="K15" s="5"/>
      <c r="L15" s="13"/>
      <c r="M15" s="7"/>
      <c r="N15" s="5"/>
      <c r="O15" s="5"/>
      <c r="P15" s="13"/>
      <c r="Q15" s="7"/>
      <c r="R15" s="5"/>
      <c r="S15" s="5"/>
      <c r="T15" s="13"/>
      <c r="U15" s="7"/>
      <c r="V15" s="5" t="s">
        <v>327</v>
      </c>
    </row>
    <row r="19" spans="4:7" ht="12.95" customHeight="1" x14ac:dyDescent="0.2">
      <c r="D19" s="49"/>
      <c r="E19" s="49"/>
      <c r="F19" s="50"/>
      <c r="G19" s="48"/>
    </row>
    <row r="20" spans="4:7" ht="12.95" customHeight="1" x14ac:dyDescent="0.2">
      <c r="D20" s="49"/>
      <c r="E20" s="49"/>
      <c r="F20" s="50"/>
      <c r="G20" s="48"/>
    </row>
    <row r="21" spans="4:7" ht="12.95" customHeight="1" x14ac:dyDescent="0.2">
      <c r="D21" s="49"/>
      <c r="E21" s="49"/>
      <c r="F21" s="50"/>
      <c r="G21" s="48"/>
    </row>
    <row r="22" spans="4:7" ht="12.95" customHeight="1" x14ac:dyDescent="0.2">
      <c r="D22" s="49"/>
      <c r="E22" s="49"/>
      <c r="F22" s="50"/>
      <c r="G22" s="48"/>
    </row>
    <row r="23" spans="4:7" ht="12.95" customHeight="1" x14ac:dyDescent="0.2">
      <c r="D23" s="49"/>
      <c r="E23" s="49"/>
      <c r="F23" s="50"/>
      <c r="G23" s="48"/>
    </row>
    <row r="24" spans="4:7" ht="12.95" customHeight="1" x14ac:dyDescent="0.2">
      <c r="D24" s="49"/>
      <c r="E24" s="49"/>
      <c r="F24" s="50"/>
      <c r="G24" s="48"/>
    </row>
    <row r="25" spans="4:7" ht="12.95" customHeight="1" x14ac:dyDescent="0.2">
      <c r="D25" s="49"/>
      <c r="E25" s="49"/>
      <c r="F25" s="50"/>
      <c r="G25" s="48"/>
    </row>
    <row r="26" spans="4:7" ht="12.95" customHeight="1" x14ac:dyDescent="0.2">
      <c r="D26" s="49"/>
      <c r="E26" s="49"/>
      <c r="F26" s="50"/>
      <c r="G26" s="48"/>
    </row>
    <row r="27" spans="4:7" ht="12.95" customHeight="1" x14ac:dyDescent="0.2">
      <c r="D27" s="49"/>
      <c r="E27" s="49"/>
      <c r="F27" s="50"/>
      <c r="G27" s="48"/>
    </row>
    <row r="28" spans="4:7" ht="12.95" customHeight="1" x14ac:dyDescent="0.2">
      <c r="D28" s="49"/>
      <c r="E28" s="49"/>
      <c r="F28" s="50"/>
      <c r="G28" s="48"/>
    </row>
    <row r="29" spans="4:7" ht="12.95" customHeight="1" x14ac:dyDescent="0.2">
      <c r="D29" s="49"/>
      <c r="E29" s="49"/>
      <c r="F29" s="50"/>
      <c r="G29" s="48"/>
    </row>
    <row r="30" spans="4:7" ht="12.95" customHeight="1" x14ac:dyDescent="0.2">
      <c r="D30" s="49"/>
      <c r="E30" s="49"/>
      <c r="F30" s="50"/>
      <c r="G30" s="48"/>
    </row>
    <row r="31" spans="4:7" ht="12.95" customHeight="1" x14ac:dyDescent="0.2">
      <c r="D31" s="49"/>
      <c r="E31" s="49"/>
      <c r="F31" s="50"/>
      <c r="G31" s="48"/>
    </row>
    <row r="32" spans="4:7" ht="12.95" customHeight="1" x14ac:dyDescent="0.2">
      <c r="D32" s="49"/>
      <c r="E32" s="49"/>
      <c r="F32" s="50"/>
      <c r="G32" s="48"/>
    </row>
    <row r="33" spans="4:7" ht="12.95" customHeight="1" x14ac:dyDescent="0.2">
      <c r="D33" s="49"/>
      <c r="E33" s="49"/>
      <c r="F33" s="50"/>
      <c r="G33" s="4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opLeftCell="A7" workbookViewId="0">
      <selection activeCell="K28" sqref="K28"/>
    </sheetView>
  </sheetViews>
  <sheetFormatPr defaultRowHeight="12.75" x14ac:dyDescent="0.2"/>
  <cols>
    <col min="1" max="1" width="6.83203125" customWidth="1"/>
    <col min="2" max="3" width="0" hidden="1" customWidth="1"/>
    <col min="4" max="4" width="12.83203125" customWidth="1"/>
    <col min="5" max="5" width="53.6640625" customWidth="1"/>
    <col min="6" max="6" width="22.83203125" customWidth="1"/>
    <col min="7" max="8" width="23.33203125" customWidth="1"/>
  </cols>
  <sheetData>
    <row r="1" spans="1:8" x14ac:dyDescent="0.2">
      <c r="A1" s="148" t="s">
        <v>0</v>
      </c>
      <c r="B1" s="148" t="s">
        <v>407</v>
      </c>
      <c r="C1" s="148" t="s">
        <v>408</v>
      </c>
      <c r="D1" s="149" t="s">
        <v>408</v>
      </c>
      <c r="E1" s="173" t="s">
        <v>1</v>
      </c>
      <c r="F1" s="148" t="s">
        <v>409</v>
      </c>
      <c r="G1" s="148" t="s">
        <v>410</v>
      </c>
      <c r="H1" s="148" t="s">
        <v>411</v>
      </c>
    </row>
    <row r="2" spans="1:8" x14ac:dyDescent="0.2">
      <c r="A2" s="173"/>
      <c r="B2" s="186"/>
      <c r="C2" s="186"/>
      <c r="D2" s="154"/>
      <c r="E2" s="187"/>
      <c r="F2" s="148"/>
      <c r="G2" s="148"/>
      <c r="H2" s="148"/>
    </row>
    <row r="3" spans="1:8" x14ac:dyDescent="0.2">
      <c r="A3" s="173"/>
      <c r="B3" s="186"/>
      <c r="C3" s="186"/>
      <c r="D3" s="154"/>
      <c r="E3" s="187"/>
      <c r="F3" s="148"/>
      <c r="G3" s="148"/>
      <c r="H3" s="148"/>
    </row>
    <row r="4" spans="1:8" x14ac:dyDescent="0.2">
      <c r="A4" s="173"/>
      <c r="B4" s="186"/>
      <c r="C4" s="186"/>
      <c r="D4" s="179"/>
      <c r="E4" s="187"/>
      <c r="F4" s="149"/>
      <c r="G4" s="149"/>
      <c r="H4" s="149"/>
    </row>
    <row r="5" spans="1:8" ht="21" x14ac:dyDescent="0.2">
      <c r="A5" s="78">
        <v>1</v>
      </c>
      <c r="B5" s="5"/>
      <c r="C5" s="5"/>
      <c r="D5" s="77" t="s">
        <v>84</v>
      </c>
      <c r="E5" s="14" t="s">
        <v>55</v>
      </c>
      <c r="F5" s="10">
        <v>42095</v>
      </c>
      <c r="G5" s="22">
        <v>41974</v>
      </c>
      <c r="H5" s="10">
        <v>42064</v>
      </c>
    </row>
    <row r="6" spans="1:8" ht="21" x14ac:dyDescent="0.2">
      <c r="A6" s="78">
        <v>2</v>
      </c>
      <c r="B6" s="5"/>
      <c r="C6" s="5"/>
      <c r="D6" s="77" t="s">
        <v>84</v>
      </c>
      <c r="E6" s="14" t="s">
        <v>54</v>
      </c>
      <c r="F6" s="10">
        <v>42100</v>
      </c>
      <c r="G6" s="22">
        <v>41980</v>
      </c>
      <c r="H6" s="10">
        <v>42069</v>
      </c>
    </row>
    <row r="7" spans="1:8" ht="21" x14ac:dyDescent="0.2">
      <c r="A7" s="78">
        <v>3</v>
      </c>
      <c r="B7" s="5"/>
      <c r="C7" s="5"/>
      <c r="D7" s="77" t="s">
        <v>86</v>
      </c>
      <c r="E7" s="14" t="s">
        <v>58</v>
      </c>
      <c r="F7" s="10">
        <v>42105</v>
      </c>
      <c r="G7" s="22">
        <v>41958</v>
      </c>
      <c r="H7" s="10">
        <v>42074</v>
      </c>
    </row>
    <row r="8" spans="1:8" ht="21" x14ac:dyDescent="0.2">
      <c r="A8" s="78">
        <v>4</v>
      </c>
      <c r="B8" s="5" t="s">
        <v>97</v>
      </c>
      <c r="C8" s="5" t="s">
        <v>86</v>
      </c>
      <c r="D8" s="77" t="s">
        <v>85</v>
      </c>
      <c r="E8" s="14" t="s">
        <v>56</v>
      </c>
      <c r="F8" s="10">
        <v>42105</v>
      </c>
      <c r="G8" s="22">
        <v>41955</v>
      </c>
      <c r="H8" s="10">
        <v>42074</v>
      </c>
    </row>
    <row r="9" spans="1:8" ht="21" x14ac:dyDescent="0.2">
      <c r="A9" s="78">
        <v>5</v>
      </c>
      <c r="B9" s="5"/>
      <c r="C9" s="5"/>
      <c r="D9" s="77" t="s">
        <v>72</v>
      </c>
      <c r="E9" s="14" t="s">
        <v>376</v>
      </c>
      <c r="F9" s="10">
        <v>42114</v>
      </c>
      <c r="G9" s="22">
        <v>41950</v>
      </c>
      <c r="H9" s="10">
        <v>42083</v>
      </c>
    </row>
    <row r="10" spans="1:8" ht="21" x14ac:dyDescent="0.2">
      <c r="A10" s="78">
        <v>6</v>
      </c>
      <c r="B10" s="5"/>
      <c r="C10" s="5"/>
      <c r="D10" s="77" t="s">
        <v>82</v>
      </c>
      <c r="E10" s="14" t="s">
        <v>50</v>
      </c>
      <c r="F10" s="10">
        <v>42119</v>
      </c>
      <c r="G10" s="22">
        <v>42023</v>
      </c>
      <c r="H10" s="10">
        <v>42088</v>
      </c>
    </row>
    <row r="11" spans="1:8" ht="21" x14ac:dyDescent="0.2">
      <c r="A11" s="78">
        <v>7</v>
      </c>
      <c r="B11" s="5"/>
      <c r="C11" s="5"/>
      <c r="D11" s="77" t="s">
        <v>81</v>
      </c>
      <c r="E11" s="14" t="s">
        <v>48</v>
      </c>
      <c r="F11" s="10">
        <v>42124</v>
      </c>
      <c r="G11" s="22">
        <v>42046</v>
      </c>
      <c r="H11" s="10">
        <v>42093</v>
      </c>
    </row>
    <row r="12" spans="1:8" ht="21" x14ac:dyDescent="0.2">
      <c r="A12" s="78">
        <v>8</v>
      </c>
      <c r="B12" s="5"/>
      <c r="C12" s="5"/>
      <c r="D12" s="77" t="s">
        <v>82</v>
      </c>
      <c r="E12" s="14" t="s">
        <v>51</v>
      </c>
      <c r="F12" s="10">
        <v>42124</v>
      </c>
      <c r="G12" s="22">
        <v>42017</v>
      </c>
      <c r="H12" s="10">
        <v>42093</v>
      </c>
    </row>
    <row r="13" spans="1:8" ht="21" x14ac:dyDescent="0.2">
      <c r="A13" s="78">
        <v>9</v>
      </c>
      <c r="B13" s="5"/>
      <c r="C13" s="5"/>
      <c r="D13" s="77" t="s">
        <v>81</v>
      </c>
      <c r="E13" s="14" t="s">
        <v>49</v>
      </c>
      <c r="F13" s="10">
        <v>42133</v>
      </c>
      <c r="G13" s="22">
        <v>42039</v>
      </c>
      <c r="H13" s="10">
        <v>42103</v>
      </c>
    </row>
    <row r="14" spans="1:8" ht="21" x14ac:dyDescent="0.2">
      <c r="A14" s="78">
        <v>10</v>
      </c>
      <c r="B14" s="5" t="s">
        <v>90</v>
      </c>
      <c r="C14" s="5" t="s">
        <v>79</v>
      </c>
      <c r="D14" s="77" t="s">
        <v>69</v>
      </c>
      <c r="E14" s="14" t="s">
        <v>31</v>
      </c>
      <c r="F14" s="10">
        <v>42138</v>
      </c>
      <c r="G14" s="22">
        <v>42056</v>
      </c>
      <c r="H14" s="10">
        <v>42108</v>
      </c>
    </row>
    <row r="15" spans="1:8" ht="21" x14ac:dyDescent="0.2">
      <c r="A15" s="78">
        <v>11</v>
      </c>
      <c r="B15" s="5"/>
      <c r="C15" s="5"/>
      <c r="D15" s="77" t="s">
        <v>83</v>
      </c>
      <c r="E15" s="14" t="s">
        <v>53</v>
      </c>
      <c r="F15" s="10">
        <v>42138</v>
      </c>
      <c r="G15" s="22">
        <v>42045</v>
      </c>
      <c r="H15" s="10">
        <v>42108</v>
      </c>
    </row>
    <row r="16" spans="1:8" ht="21" x14ac:dyDescent="0.2">
      <c r="A16" s="78">
        <v>12</v>
      </c>
      <c r="B16" s="5"/>
      <c r="C16" s="5"/>
      <c r="D16" s="77" t="s">
        <v>83</v>
      </c>
      <c r="E16" s="14" t="s">
        <v>52</v>
      </c>
      <c r="F16" s="10">
        <v>42144</v>
      </c>
      <c r="G16" s="22">
        <v>42052</v>
      </c>
      <c r="H16" s="10">
        <v>42114</v>
      </c>
    </row>
    <row r="17" spans="1:8" ht="21" x14ac:dyDescent="0.2">
      <c r="A17" s="78">
        <v>13</v>
      </c>
      <c r="B17" s="5"/>
      <c r="C17" s="5"/>
      <c r="D17" s="77" t="s">
        <v>76</v>
      </c>
      <c r="E17" s="14" t="s">
        <v>42</v>
      </c>
      <c r="F17" s="10">
        <v>42150</v>
      </c>
      <c r="G17" s="22">
        <v>42103</v>
      </c>
      <c r="H17" s="10">
        <v>42120</v>
      </c>
    </row>
    <row r="18" spans="1:8" ht="21" x14ac:dyDescent="0.2">
      <c r="A18" s="78">
        <v>14</v>
      </c>
      <c r="B18" s="5"/>
      <c r="C18" s="5"/>
      <c r="D18" s="77" t="s">
        <v>77</v>
      </c>
      <c r="E18" s="14" t="s">
        <v>44</v>
      </c>
      <c r="F18" s="10">
        <v>42150</v>
      </c>
      <c r="G18" s="22">
        <v>42091</v>
      </c>
      <c r="H18" s="10">
        <v>42120</v>
      </c>
    </row>
    <row r="19" spans="1:8" ht="21" x14ac:dyDescent="0.2">
      <c r="A19" s="78">
        <v>15</v>
      </c>
      <c r="B19" s="5" t="s">
        <v>97</v>
      </c>
      <c r="C19" s="5" t="s">
        <v>86</v>
      </c>
      <c r="D19" s="77" t="s">
        <v>85</v>
      </c>
      <c r="E19" s="14" t="s">
        <v>57</v>
      </c>
      <c r="F19" s="10">
        <v>42159</v>
      </c>
      <c r="G19" s="22">
        <v>42141</v>
      </c>
      <c r="H19" s="10">
        <v>42128</v>
      </c>
    </row>
    <row r="20" spans="1:8" ht="21" x14ac:dyDescent="0.2">
      <c r="A20" s="78">
        <v>16</v>
      </c>
      <c r="B20" s="5" t="s">
        <v>91</v>
      </c>
      <c r="C20" s="5" t="s">
        <v>66</v>
      </c>
      <c r="D20" s="77" t="s">
        <v>69</v>
      </c>
      <c r="E20" s="14" t="s">
        <v>98</v>
      </c>
      <c r="F20" s="10">
        <v>42166</v>
      </c>
      <c r="G20" s="22">
        <v>42049</v>
      </c>
      <c r="H20" s="10">
        <v>42135</v>
      </c>
    </row>
    <row r="21" spans="1:8" ht="21" x14ac:dyDescent="0.2">
      <c r="A21" s="78">
        <v>17</v>
      </c>
      <c r="B21" s="5"/>
      <c r="C21" s="5"/>
      <c r="D21" s="77" t="s">
        <v>86</v>
      </c>
      <c r="E21" s="14" t="s">
        <v>107</v>
      </c>
      <c r="F21" s="10">
        <v>42220</v>
      </c>
      <c r="G21" s="22">
        <v>42141</v>
      </c>
      <c r="H21" s="10">
        <v>42067</v>
      </c>
    </row>
    <row r="22" spans="1:8" ht="21" x14ac:dyDescent="0.2">
      <c r="A22" s="78">
        <v>18</v>
      </c>
      <c r="B22" s="5"/>
      <c r="C22" s="5"/>
      <c r="D22" s="77" t="s">
        <v>77</v>
      </c>
      <c r="E22" s="14" t="s">
        <v>103</v>
      </c>
      <c r="F22" s="10">
        <v>42220</v>
      </c>
      <c r="G22" s="22">
        <v>42084</v>
      </c>
      <c r="H22" s="10">
        <v>42189</v>
      </c>
    </row>
    <row r="23" spans="1:8" ht="21" x14ac:dyDescent="0.2">
      <c r="A23" s="78">
        <v>19</v>
      </c>
      <c r="B23" s="5"/>
      <c r="C23" s="5"/>
      <c r="D23" s="77" t="s">
        <v>75</v>
      </c>
      <c r="E23" s="14" t="s">
        <v>102</v>
      </c>
      <c r="F23" s="10">
        <v>42220</v>
      </c>
      <c r="G23" s="22">
        <v>42149</v>
      </c>
      <c r="H23" s="10">
        <v>42189</v>
      </c>
    </row>
    <row r="24" spans="1:8" ht="21" x14ac:dyDescent="0.2">
      <c r="A24" s="78">
        <v>20</v>
      </c>
      <c r="B24" s="5"/>
      <c r="C24" s="5"/>
      <c r="D24" s="77" t="s">
        <v>78</v>
      </c>
      <c r="E24" s="14" t="s">
        <v>104</v>
      </c>
      <c r="F24" s="10">
        <v>42220</v>
      </c>
      <c r="G24" s="22">
        <v>42163</v>
      </c>
      <c r="H24" s="10">
        <v>42189</v>
      </c>
    </row>
    <row r="25" spans="1:8" ht="21" x14ac:dyDescent="0.2">
      <c r="A25" s="78">
        <v>21</v>
      </c>
      <c r="B25" s="5"/>
      <c r="C25" s="5"/>
      <c r="D25" s="77" t="s">
        <v>76</v>
      </c>
      <c r="E25" s="14" t="s">
        <v>43</v>
      </c>
      <c r="F25" s="10">
        <v>42254</v>
      </c>
      <c r="G25" s="22">
        <v>42096</v>
      </c>
      <c r="H25" s="10">
        <v>42223</v>
      </c>
    </row>
    <row r="26" spans="1:8" ht="21" x14ac:dyDescent="0.2">
      <c r="A26" s="78">
        <v>22</v>
      </c>
      <c r="B26" s="5"/>
      <c r="C26" s="5"/>
      <c r="D26" s="77" t="s">
        <v>75</v>
      </c>
      <c r="E26" s="14" t="s">
        <v>41</v>
      </c>
      <c r="F26" s="10">
        <v>42259</v>
      </c>
      <c r="G26" s="22">
        <v>42085</v>
      </c>
      <c r="H26" s="10">
        <v>42228</v>
      </c>
    </row>
    <row r="27" spans="1:8" ht="21" x14ac:dyDescent="0.2">
      <c r="A27" s="78">
        <v>23</v>
      </c>
      <c r="B27" s="5"/>
      <c r="C27" s="5"/>
      <c r="D27" s="77" t="s">
        <v>74</v>
      </c>
      <c r="E27" s="14" t="s">
        <v>39</v>
      </c>
      <c r="F27" s="10">
        <v>42259</v>
      </c>
      <c r="G27" s="22">
        <v>42157</v>
      </c>
      <c r="H27" s="10">
        <v>42228</v>
      </c>
    </row>
    <row r="28" spans="1:8" ht="21" x14ac:dyDescent="0.2">
      <c r="A28" s="78">
        <v>24</v>
      </c>
      <c r="B28" s="5"/>
      <c r="C28" s="5"/>
      <c r="D28" s="77" t="s">
        <v>74</v>
      </c>
      <c r="E28" s="14" t="s">
        <v>40</v>
      </c>
      <c r="F28" s="10">
        <v>42269</v>
      </c>
      <c r="G28" s="22">
        <v>42150</v>
      </c>
      <c r="H28" s="10">
        <v>42238</v>
      </c>
    </row>
    <row r="29" spans="1:8" ht="21" x14ac:dyDescent="0.2">
      <c r="A29" s="78">
        <v>25</v>
      </c>
      <c r="B29" s="5"/>
      <c r="C29" s="5"/>
      <c r="D29" s="77" t="s">
        <v>73</v>
      </c>
      <c r="E29" s="14" t="s">
        <v>37</v>
      </c>
      <c r="F29" s="10">
        <v>42269</v>
      </c>
      <c r="G29" s="22">
        <v>42180</v>
      </c>
      <c r="H29" s="10">
        <v>42238</v>
      </c>
    </row>
    <row r="30" spans="1:8" ht="21" x14ac:dyDescent="0.2">
      <c r="A30" s="78">
        <v>26</v>
      </c>
      <c r="B30" s="5"/>
      <c r="C30" s="5"/>
      <c r="D30" s="77" t="s">
        <v>73</v>
      </c>
      <c r="E30" s="14" t="s">
        <v>38</v>
      </c>
      <c r="F30" s="10">
        <v>42279</v>
      </c>
      <c r="G30" s="22">
        <v>42173</v>
      </c>
      <c r="H30" s="10">
        <v>42249</v>
      </c>
    </row>
    <row r="31" spans="1:8" ht="21" x14ac:dyDescent="0.2">
      <c r="A31" s="78">
        <v>27</v>
      </c>
      <c r="B31" s="5"/>
      <c r="C31" s="5"/>
      <c r="D31" s="77" t="s">
        <v>78</v>
      </c>
      <c r="E31" s="14" t="s">
        <v>45</v>
      </c>
      <c r="F31" s="10">
        <v>42284</v>
      </c>
      <c r="G31" s="22">
        <v>42170</v>
      </c>
      <c r="H31" s="10">
        <v>42254</v>
      </c>
    </row>
    <row r="32" spans="1:8" ht="21" x14ac:dyDescent="0.2">
      <c r="A32" s="78">
        <v>28</v>
      </c>
      <c r="B32" s="5" t="s">
        <v>90</v>
      </c>
      <c r="C32" s="5" t="s">
        <v>87</v>
      </c>
      <c r="D32" s="77" t="s">
        <v>71</v>
      </c>
      <c r="E32" s="14" t="s">
        <v>35</v>
      </c>
      <c r="F32" s="10">
        <v>42284</v>
      </c>
      <c r="G32" s="22">
        <v>42269</v>
      </c>
      <c r="H32" s="10">
        <v>42254</v>
      </c>
    </row>
    <row r="33" spans="1:8" ht="21" x14ac:dyDescent="0.2">
      <c r="A33" s="78">
        <v>29</v>
      </c>
      <c r="B33" s="5" t="s">
        <v>100</v>
      </c>
      <c r="C33" s="5" t="s">
        <v>88</v>
      </c>
      <c r="D33" s="77" t="s">
        <v>71</v>
      </c>
      <c r="E33" s="14" t="s">
        <v>34</v>
      </c>
      <c r="F33" s="10">
        <v>42293</v>
      </c>
      <c r="G33" s="22">
        <v>42276</v>
      </c>
      <c r="H33" s="10">
        <v>42263</v>
      </c>
    </row>
    <row r="34" spans="1:8" ht="21" x14ac:dyDescent="0.2">
      <c r="A34" s="78">
        <v>30</v>
      </c>
      <c r="B34" s="5" t="s">
        <v>90</v>
      </c>
      <c r="C34" s="5" t="s">
        <v>64</v>
      </c>
      <c r="D34" s="77" t="s">
        <v>70</v>
      </c>
      <c r="E34" s="14" t="s">
        <v>33</v>
      </c>
      <c r="F34" s="10">
        <v>42293</v>
      </c>
      <c r="G34" s="22">
        <v>42270</v>
      </c>
      <c r="H34" s="10">
        <v>42263</v>
      </c>
    </row>
    <row r="35" spans="1:8" ht="21" x14ac:dyDescent="0.2">
      <c r="A35" s="78">
        <v>31</v>
      </c>
      <c r="B35" s="5" t="s">
        <v>90</v>
      </c>
      <c r="C35" s="5" t="s">
        <v>64</v>
      </c>
      <c r="D35" s="77" t="s">
        <v>70</v>
      </c>
      <c r="E35" s="14" t="s">
        <v>32</v>
      </c>
      <c r="F35" s="10">
        <v>42302</v>
      </c>
      <c r="G35" s="22">
        <v>42277</v>
      </c>
      <c r="H35" s="10">
        <v>42272</v>
      </c>
    </row>
    <row r="36" spans="1:8" ht="21" x14ac:dyDescent="0.2">
      <c r="A36" s="78">
        <v>32</v>
      </c>
      <c r="B36" s="5" t="s">
        <v>91</v>
      </c>
      <c r="C36" s="5" t="s">
        <v>80</v>
      </c>
      <c r="D36" s="77" t="s">
        <v>68</v>
      </c>
      <c r="E36" s="14" t="s">
        <v>30</v>
      </c>
      <c r="F36" s="10">
        <v>42307</v>
      </c>
      <c r="G36" s="22">
        <v>42286</v>
      </c>
      <c r="H36" s="10">
        <v>42277</v>
      </c>
    </row>
    <row r="37" spans="1:8" ht="21" x14ac:dyDescent="0.2">
      <c r="A37" s="78">
        <v>33</v>
      </c>
      <c r="B37" s="5"/>
      <c r="C37" s="5"/>
      <c r="D37" s="77" t="s">
        <v>79</v>
      </c>
      <c r="E37" s="14" t="s">
        <v>46</v>
      </c>
      <c r="F37" s="10">
        <v>42307</v>
      </c>
      <c r="G37" s="22">
        <v>42330</v>
      </c>
      <c r="H37" s="10">
        <v>42277</v>
      </c>
    </row>
    <row r="38" spans="1:8" ht="21" x14ac:dyDescent="0.2">
      <c r="A38" s="78">
        <v>34</v>
      </c>
      <c r="B38" s="5" t="s">
        <v>95</v>
      </c>
      <c r="C38" s="5" t="s">
        <v>77</v>
      </c>
      <c r="D38" s="77" t="s">
        <v>65</v>
      </c>
      <c r="E38" s="14" t="s">
        <v>25</v>
      </c>
      <c r="F38" s="10">
        <v>42307</v>
      </c>
      <c r="G38" s="22">
        <v>42335</v>
      </c>
      <c r="H38" s="10">
        <v>42277</v>
      </c>
    </row>
    <row r="39" spans="1:8" ht="21" x14ac:dyDescent="0.2">
      <c r="A39" s="78">
        <v>35</v>
      </c>
      <c r="B39" s="5"/>
      <c r="C39" s="5"/>
      <c r="D39" s="77" t="s">
        <v>87</v>
      </c>
      <c r="E39" s="14" t="s">
        <v>59</v>
      </c>
      <c r="F39" s="10">
        <v>42307</v>
      </c>
      <c r="G39" s="22">
        <v>42070</v>
      </c>
      <c r="H39" s="10">
        <v>42277</v>
      </c>
    </row>
    <row r="40" spans="1:8" ht="21" x14ac:dyDescent="0.2">
      <c r="A40" s="78">
        <v>36</v>
      </c>
      <c r="B40" s="5" t="s">
        <v>91</v>
      </c>
      <c r="C40" s="5" t="s">
        <v>80</v>
      </c>
      <c r="D40" s="77" t="s">
        <v>68</v>
      </c>
      <c r="E40" s="14" t="s">
        <v>101</v>
      </c>
      <c r="F40" s="10">
        <v>42312</v>
      </c>
      <c r="G40" s="22">
        <v>42279</v>
      </c>
      <c r="H40" s="10">
        <v>42281</v>
      </c>
    </row>
    <row r="41" spans="1:8" ht="21" x14ac:dyDescent="0.2">
      <c r="A41" s="78">
        <v>37</v>
      </c>
      <c r="B41" s="5"/>
      <c r="C41" s="5"/>
      <c r="D41" s="77" t="s">
        <v>80</v>
      </c>
      <c r="E41" s="14" t="s">
        <v>106</v>
      </c>
      <c r="F41" s="10">
        <v>42312</v>
      </c>
      <c r="G41" s="22">
        <v>42309</v>
      </c>
      <c r="H41" s="10">
        <v>42281</v>
      </c>
    </row>
    <row r="42" spans="1:8" ht="21" x14ac:dyDescent="0.2">
      <c r="A42" s="78">
        <v>38</v>
      </c>
      <c r="B42" s="5"/>
      <c r="C42" s="5"/>
      <c r="D42" s="77" t="s">
        <v>80</v>
      </c>
      <c r="E42" s="14" t="s">
        <v>47</v>
      </c>
      <c r="F42" s="10">
        <v>42312</v>
      </c>
      <c r="G42" s="22">
        <v>42316</v>
      </c>
      <c r="H42" s="10">
        <v>42281</v>
      </c>
    </row>
    <row r="43" spans="1:8" ht="21" x14ac:dyDescent="0.2">
      <c r="A43" s="78">
        <v>39</v>
      </c>
      <c r="B43" s="5" t="s">
        <v>93</v>
      </c>
      <c r="C43" s="5" t="s">
        <v>70</v>
      </c>
      <c r="D43" s="77" t="s">
        <v>67</v>
      </c>
      <c r="E43" s="14" t="s">
        <v>29</v>
      </c>
      <c r="F43" s="10">
        <v>42312</v>
      </c>
      <c r="G43" s="22">
        <v>42323</v>
      </c>
      <c r="H43" s="10">
        <v>42281</v>
      </c>
    </row>
    <row r="44" spans="1:8" ht="21" x14ac:dyDescent="0.2">
      <c r="A44" s="78">
        <v>40</v>
      </c>
      <c r="B44" s="5"/>
      <c r="C44" s="5"/>
      <c r="D44" s="77" t="s">
        <v>79</v>
      </c>
      <c r="E44" s="14" t="s">
        <v>105</v>
      </c>
      <c r="F44" s="10">
        <v>42312</v>
      </c>
      <c r="G44" s="22">
        <v>42323</v>
      </c>
      <c r="H44" s="10">
        <v>42281</v>
      </c>
    </row>
    <row r="45" spans="1:8" ht="21" x14ac:dyDescent="0.2">
      <c r="A45" s="78">
        <v>41</v>
      </c>
      <c r="B45" s="5" t="s">
        <v>94</v>
      </c>
      <c r="C45" s="5" t="s">
        <v>75</v>
      </c>
      <c r="D45" s="77" t="s">
        <v>65</v>
      </c>
      <c r="E45" s="14" t="s">
        <v>24</v>
      </c>
      <c r="F45" s="10">
        <v>42320</v>
      </c>
      <c r="G45" s="22">
        <v>42342</v>
      </c>
      <c r="H45" s="10">
        <v>42289</v>
      </c>
    </row>
    <row r="46" spans="1:8" ht="21" x14ac:dyDescent="0.2">
      <c r="A46" s="78">
        <v>42</v>
      </c>
      <c r="B46" s="5" t="s">
        <v>92</v>
      </c>
      <c r="C46" s="5" t="s">
        <v>83</v>
      </c>
      <c r="D46" s="77" t="s">
        <v>64</v>
      </c>
      <c r="E46" s="14" t="s">
        <v>23</v>
      </c>
      <c r="F46" s="10">
        <v>42320</v>
      </c>
      <c r="G46" s="22">
        <v>42376</v>
      </c>
      <c r="H46" s="10">
        <v>42289</v>
      </c>
    </row>
    <row r="47" spans="1:8" ht="21" x14ac:dyDescent="0.2">
      <c r="A47" s="78">
        <v>43</v>
      </c>
      <c r="B47" s="5" t="s">
        <v>96</v>
      </c>
      <c r="C47" s="5" t="s">
        <v>81</v>
      </c>
      <c r="D47" s="77" t="s">
        <v>63</v>
      </c>
      <c r="E47" s="14" t="s">
        <v>20</v>
      </c>
      <c r="F47" s="10">
        <v>42320</v>
      </c>
      <c r="G47" s="22">
        <v>42346</v>
      </c>
      <c r="H47" s="10">
        <v>42289</v>
      </c>
    </row>
    <row r="48" spans="1:8" ht="21" x14ac:dyDescent="0.2">
      <c r="A48" s="78">
        <v>44</v>
      </c>
      <c r="B48" s="5" t="s">
        <v>93</v>
      </c>
      <c r="C48" s="5" t="s">
        <v>71</v>
      </c>
      <c r="D48" s="77" t="s">
        <v>67</v>
      </c>
      <c r="E48" s="14" t="s">
        <v>28</v>
      </c>
      <c r="F48" s="10">
        <v>42322</v>
      </c>
      <c r="G48" s="22">
        <v>42316</v>
      </c>
      <c r="H48" s="10">
        <v>42291</v>
      </c>
    </row>
    <row r="49" spans="1:8" ht="21" x14ac:dyDescent="0.2">
      <c r="A49" s="78">
        <v>45</v>
      </c>
      <c r="B49" s="5" t="s">
        <v>94</v>
      </c>
      <c r="C49" s="5" t="s">
        <v>73</v>
      </c>
      <c r="D49" s="77" t="s">
        <v>66</v>
      </c>
      <c r="E49" s="14" t="s">
        <v>27</v>
      </c>
      <c r="F49" s="10">
        <v>42322</v>
      </c>
      <c r="G49" s="22">
        <v>42295</v>
      </c>
      <c r="H49" s="10">
        <v>42291</v>
      </c>
    </row>
    <row r="50" spans="1:8" ht="21" x14ac:dyDescent="0.2">
      <c r="A50" s="78">
        <v>46</v>
      </c>
      <c r="B50" s="5" t="s">
        <v>94</v>
      </c>
      <c r="C50" s="5" t="s">
        <v>73</v>
      </c>
      <c r="D50" s="77" t="s">
        <v>66</v>
      </c>
      <c r="E50" s="14" t="s">
        <v>26</v>
      </c>
      <c r="F50" s="10">
        <v>42332</v>
      </c>
      <c r="G50" s="22">
        <v>42302</v>
      </c>
      <c r="H50" s="10">
        <v>42301</v>
      </c>
    </row>
    <row r="51" spans="1:8" ht="21" x14ac:dyDescent="0.2">
      <c r="A51" s="78">
        <v>47</v>
      </c>
      <c r="B51" s="5" t="s">
        <v>92</v>
      </c>
      <c r="C51" s="5" t="s">
        <v>83</v>
      </c>
      <c r="D51" s="77" t="s">
        <v>64</v>
      </c>
      <c r="E51" s="14" t="s">
        <v>22</v>
      </c>
      <c r="F51" s="10">
        <v>42334</v>
      </c>
      <c r="G51" s="22">
        <v>42368</v>
      </c>
      <c r="H51" s="10">
        <v>42303</v>
      </c>
    </row>
    <row r="52" spans="1:8" ht="21" x14ac:dyDescent="0.2">
      <c r="A52" s="78">
        <v>48</v>
      </c>
      <c r="B52" s="5"/>
      <c r="C52" s="5"/>
      <c r="D52" s="77" t="s">
        <v>72</v>
      </c>
      <c r="E52" s="14" t="s">
        <v>36</v>
      </c>
      <c r="F52" s="10">
        <v>42337</v>
      </c>
      <c r="G52" s="22">
        <v>42290</v>
      </c>
      <c r="H52" s="10">
        <v>42306</v>
      </c>
    </row>
    <row r="53" spans="1:8" ht="21" x14ac:dyDescent="0.2">
      <c r="A53" s="78">
        <v>49</v>
      </c>
      <c r="B53" s="5" t="s">
        <v>96</v>
      </c>
      <c r="C53" s="5" t="s">
        <v>82</v>
      </c>
      <c r="D53" s="77" t="s">
        <v>63</v>
      </c>
      <c r="E53" s="14" t="s">
        <v>21</v>
      </c>
      <c r="F53" s="10">
        <v>42339</v>
      </c>
      <c r="G53" s="22">
        <v>42353</v>
      </c>
      <c r="H53" s="10">
        <v>42309</v>
      </c>
    </row>
    <row r="54" spans="1:8" ht="21" x14ac:dyDescent="0.2">
      <c r="A54" s="78">
        <v>50</v>
      </c>
      <c r="B54" s="5"/>
      <c r="C54" s="5"/>
      <c r="D54" s="77" t="s">
        <v>87</v>
      </c>
      <c r="E54" s="14" t="s">
        <v>60</v>
      </c>
      <c r="F54" s="10">
        <v>42344</v>
      </c>
      <c r="G54" s="22">
        <v>42077</v>
      </c>
      <c r="H54" s="10">
        <v>42314</v>
      </c>
    </row>
    <row r="55" spans="1:8" ht="21" x14ac:dyDescent="0.2">
      <c r="A55" s="78">
        <v>51</v>
      </c>
      <c r="B55" s="5"/>
      <c r="C55" s="5"/>
      <c r="D55" s="77" t="s">
        <v>88</v>
      </c>
      <c r="E55" s="14" t="s">
        <v>61</v>
      </c>
      <c r="F55" s="10">
        <v>42349</v>
      </c>
      <c r="G55" s="10"/>
      <c r="H55" s="10">
        <v>42319</v>
      </c>
    </row>
    <row r="56" spans="1:8" ht="21" x14ac:dyDescent="0.2">
      <c r="A56" s="78">
        <v>52</v>
      </c>
      <c r="B56" s="5"/>
      <c r="C56" s="5"/>
      <c r="D56" s="77" t="s">
        <v>88</v>
      </c>
      <c r="E56" s="14" t="s">
        <v>62</v>
      </c>
      <c r="F56" s="10">
        <v>42354</v>
      </c>
      <c r="G56" s="10"/>
      <c r="H56" s="10">
        <v>42324</v>
      </c>
    </row>
  </sheetData>
  <mergeCells count="8">
    <mergeCell ref="G1:G4"/>
    <mergeCell ref="H1:H4"/>
    <mergeCell ref="A1:A4"/>
    <mergeCell ref="B1:B4"/>
    <mergeCell ref="C1:C4"/>
    <mergeCell ref="D1:D4"/>
    <mergeCell ref="E1:E4"/>
    <mergeCell ref="F1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Documents </vt:lpstr>
      <vt:lpstr>Drawings</vt:lpstr>
      <vt:lpstr>Available Numbers</vt:lpstr>
      <vt:lpstr>Deleted Documents</vt:lpstr>
      <vt:lpstr>Sheet1</vt:lpstr>
      <vt:lpstr>Sheet2</vt:lpstr>
      <vt:lpstr>Sheet3</vt:lpstr>
      <vt:lpstr>'Documents '!Print_Titles</vt:lpstr>
      <vt:lpstr>Drawings!Print_Titles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Pradeepa M Kandiyappa (NPCC)</cp:lastModifiedBy>
  <cp:lastPrinted>2015-05-05T10:45:15Z</cp:lastPrinted>
  <dcterms:created xsi:type="dcterms:W3CDTF">2007-10-29T11:02:38Z</dcterms:created>
  <dcterms:modified xsi:type="dcterms:W3CDTF">2023-08-02T12:20:59Z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