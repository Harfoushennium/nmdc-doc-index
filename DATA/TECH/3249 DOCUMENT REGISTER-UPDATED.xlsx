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5430" yWindow="4800" windowWidth="9390" windowHeight="4665" tabRatio="789" activeTab="1"/>
  </bookViews>
  <sheets>
    <sheet name="Documents - Pipeline &amp; Cable" sheetId="19" r:id="rId1"/>
    <sheet name="Documents - Naval Marine" sheetId="21" r:id="rId2"/>
    <sheet name="Drawings" sheetId="20" r:id="rId3"/>
  </sheets>
  <definedNames>
    <definedName name="_xlnm._FilterDatabase" localSheetId="2" hidden="1">Drawings!$A$8:$S$38</definedName>
    <definedName name="Print_Area_MI">#REF!</definedName>
    <definedName name="_xlnm.Print_Titles" localSheetId="1">'Documents - Naval Marine'!$1:$8</definedName>
    <definedName name="_xlnm.Print_Titles" localSheetId="0">'Documents - Pipeline &amp; Cable'!$1:$8</definedName>
    <definedName name="_xlnm.Print_Titles" localSheetId="2">Drawings!$1:$8</definedName>
  </definedNames>
  <calcPr calcId="145621"/>
</workbook>
</file>

<file path=xl/calcChain.xml><?xml version="1.0" encoding="utf-8"?>
<calcChain xmlns="http://schemas.openxmlformats.org/spreadsheetml/2006/main">
  <c r="A10" i="20" l="1"/>
  <c r="A11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6" i="20" s="1"/>
  <c r="A28" i="20" s="1"/>
  <c r="A29" i="20" s="1"/>
  <c r="A30" i="20" s="1"/>
  <c r="A31" i="20" s="1"/>
  <c r="A32" i="20" s="1"/>
  <c r="A33" i="20" s="1"/>
  <c r="A34" i="20" s="1"/>
  <c r="A35" i="20" s="1"/>
  <c r="A13" i="21"/>
  <c r="A14" i="21" s="1"/>
  <c r="A20" i="21" s="1"/>
  <c r="A24" i="21" s="1"/>
  <c r="A25" i="21" s="1"/>
  <c r="A28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11" i="19" l="1"/>
  <c r="A13" i="19" s="1"/>
  <c r="A14" i="19" s="1"/>
  <c r="A15" i="19" s="1"/>
  <c r="A16" i="19" s="1"/>
  <c r="A17" i="19" s="1"/>
  <c r="A18" i="19" s="1"/>
  <c r="A19" i="19" s="1"/>
  <c r="A20" i="19" s="1"/>
  <c r="A21" i="19" s="1"/>
  <c r="A22" i="19" l="1"/>
</calcChain>
</file>

<file path=xl/sharedStrings.xml><?xml version="1.0" encoding="utf-8"?>
<sst xmlns="http://schemas.openxmlformats.org/spreadsheetml/2006/main" count="372" uniqueCount="234">
  <si>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</si>
  <si>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</si>
  <si>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</si>
  <si>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</si>
  <si>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</si>
  <si>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</si>
  <si>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</si>
  <si>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</si>
  <si>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</si>
  <si>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</si>
  <si>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CODE</t>
  </si>
  <si>
    <t xml:space="preserve">SUBMISSION PLAN </t>
  </si>
  <si>
    <t>NPCC</t>
  </si>
  <si>
    <t>REV.</t>
  </si>
  <si>
    <t>NPCC
DOCUMENT NUMBER</t>
  </si>
  <si>
    <t>CLASS</t>
  </si>
  <si>
    <t>GMC</t>
  </si>
  <si>
    <t>CSE TO PMT</t>
  </si>
  <si>
    <t>FROM CLIENT</t>
  </si>
  <si>
    <t>PMT TO GMC</t>
  </si>
  <si>
    <t>STATUS FROM GMC</t>
  </si>
  <si>
    <t>PIPELAY INSTALLATION REPORT FOR 8 " OIL PIPE LINE FROM BH to BCPA-2</t>
  </si>
  <si>
    <t>PIPELAY INSTALLATION REPORT FOR 14 " OIL PIPE LINE FROM BH to BCPA-3</t>
  </si>
  <si>
    <t>RISER LIFT ANALYSIS REPORT FOR 8 " OIL PIPE LINE FROM BH to BCPA-2 (@BCPA-2)</t>
  </si>
  <si>
    <t>NPCC PROJECT NO. 3249</t>
  </si>
  <si>
    <t>MOORING ANALYSIS FOR CONSTRUCTION BARGE DURING LAYING OF 14 " OIL PIPE LINE FROM BH to BCPA-3</t>
  </si>
  <si>
    <t>BUCKLE DETECTOR DETAILS FOR 8 " OIL PIPE LINE FROM BH to BCPA-2</t>
  </si>
  <si>
    <t>START UP HEAD DETAILS FOR 8 " OIL PIPE LINE FROM BH to BCPA-2</t>
  </si>
  <si>
    <t>LAYDOWN HEAD DETAILS FOR 8 " OIL PIPE LINE FROM BH to BCPA-2</t>
  </si>
  <si>
    <t>BUCKLE DETECTOR DETAILS FOR 14 " OIL PIPE LINE FROM BH to BCPA-3</t>
  </si>
  <si>
    <t>START UP HEAD DETAILS FOR 14 " OIL PIPE LINE FROM BH to BCPA-3</t>
  </si>
  <si>
    <t>LAYDOWN HEAD DETAILS FOR 14 " OIL PIPE LINE FROM BH to BCPA-3</t>
  </si>
  <si>
    <t>TEMPORARY KNEE BRACE DETAILS FOR 8 " OIL PIPE LINE FROM BH to BCPA-2 (@BH)</t>
  </si>
  <si>
    <t>TEMPORARY KNEE BRACE DETAILS FOR 8 " OIL PIPE LINE FROM BH to BCPA-2 (@BCPA-2)</t>
  </si>
  <si>
    <t>TEMPORARY KNEE BRACE DETAILS FOR 14 " OIL PIPE LINE FROM BH to BCPA-3 (@BH)</t>
  </si>
  <si>
    <t>TEMPORARY KNEE BRACE DETAILS FOR 14" OIL PIPE LINE FROM BH to BCPA-3 (@BCPA-3)</t>
  </si>
  <si>
    <t>HYDROTEST DIAGRAM FOR 8 " OIL PIPE LINE FROM BH to BCPA-2</t>
  </si>
  <si>
    <t>HYDROTEST DIAGRAM FOR 14 " OIL PIPE LINE FROM BH to BCPA-3</t>
  </si>
  <si>
    <t>DETAIL OF TEMPORARY PIG LAUNCHER &amp; RECEIVER FOR 8 " OIL PIPE LINE FROM BH to BCPA-2</t>
  </si>
  <si>
    <t>DETAIL OF TEMPORARY PIG LAUNCHER &amp; RECEIVER FOR 14 " OIL PIPE LINE FROM BH to BCPA-3</t>
  </si>
  <si>
    <t>RISER/SPOOL LIFTING AND INSTALLATION FOR 8 " OIL PIPE LINE FROM BH to BCPA-2(@BCPA-2)</t>
  </si>
  <si>
    <t xml:space="preserve"> MOORING ANALYSIS FOR CONSTRUCTION BARGE DURING INSTALLATION  (BH WHP) TOPSIDE</t>
  </si>
  <si>
    <t>Spare</t>
  </si>
  <si>
    <t>PMT TO CLIENT</t>
  </si>
  <si>
    <t>CLIENT</t>
  </si>
  <si>
    <t>SPOOL LIFTING AND INSTALLATION FOR 8 " OIL PIPE LINE FROM BH to BCPA-2(@BH)</t>
  </si>
  <si>
    <t>SPOOL LIFT ANALYSIS REPORT FOR 8 " OIL PIPE LINE FROM BH to BCPA-2 (@BH)</t>
  </si>
  <si>
    <t>. No. :</t>
  </si>
  <si>
    <t>3249-NN-001</t>
  </si>
  <si>
    <t>3249-NN-002</t>
  </si>
  <si>
    <t>3249-NN-003</t>
  </si>
  <si>
    <t>3249-NN-004</t>
  </si>
  <si>
    <t>3249-NN-005</t>
  </si>
  <si>
    <t>3249-NN-006</t>
  </si>
  <si>
    <t>3249-NN-007</t>
  </si>
  <si>
    <t>3249-NN-008</t>
  </si>
  <si>
    <t>3249-NN-009</t>
  </si>
  <si>
    <t>3249-NN-010</t>
  </si>
  <si>
    <t>3249-NN-011</t>
  </si>
  <si>
    <t>3249-NN-012</t>
  </si>
  <si>
    <t>3249-NN-013</t>
  </si>
  <si>
    <t>3249-NN-014</t>
  </si>
  <si>
    <t>3249-NN-015</t>
  </si>
  <si>
    <t>3249-NN-016</t>
  </si>
  <si>
    <t>3249-NN-017</t>
  </si>
  <si>
    <t>3249-NN-018</t>
  </si>
  <si>
    <t>3249-NN-019</t>
  </si>
  <si>
    <t>FLANGE PROTECTOR FOR 8" SUH</t>
  </si>
  <si>
    <t>FLANGE PROTECTOR FOR 8" LDH</t>
  </si>
  <si>
    <t>3249-NN-020</t>
  </si>
  <si>
    <t>FLANGE PROTECTOR FOR 14" SUH</t>
  </si>
  <si>
    <t>3249-NN-021</t>
  </si>
  <si>
    <t>FLANGE PROTECTOR FOR 14" LDH</t>
  </si>
  <si>
    <t>3249-NN-022</t>
  </si>
  <si>
    <t>SHROUD FOR SSIV</t>
  </si>
  <si>
    <t>TEMPORARY SLEEPERS</t>
  </si>
  <si>
    <t>MWS APPROVAL CODE : (A) ACCEPTED WITHOUT COMMENTS; (B) ACCEPTED SUBJECT TO COMMENTS; (C) NOT ACCEPTED; (D) INFORMATION ONLY</t>
  </si>
  <si>
    <t xml:space="preserve">LTHE CODE : (1) REJECTED; (2) COMMENTED - WORK MAY PROCEED; (3) APPROVED; (4) FOR INFORMATION </t>
  </si>
  <si>
    <t>DOCUMENT CLASS : (1) ISSUED FOR APPROVAL; (2) ISSUED FOR REVIEW &amp; COMMENTS; (3) ISSUED FOR INFORMATION; (4) REJECTED</t>
  </si>
  <si>
    <t>3249-NN-023</t>
  </si>
  <si>
    <t>3249-NN-024</t>
  </si>
  <si>
    <t>LTHE - BASSEIN DEVELOPMENT PROJECT ( SUBCONTRACT FOR INSTALLATION WORKS)</t>
  </si>
  <si>
    <t>OFFSHORE CONSTRUCTION ENGINEERING DRAWINGS (PIPELINE &amp; CABLE)</t>
  </si>
  <si>
    <t>3249-NN-RP-001</t>
  </si>
  <si>
    <t>3249-NN-RP-002</t>
  </si>
  <si>
    <t>SPOOL LIFT ANALYSIS REPORT FOR 8" OIL PIPELINE FROM BH TO BCPA-2 AT BCPA-2</t>
  </si>
  <si>
    <t>3249-NN-RP-003</t>
  </si>
  <si>
    <t>3249-NN-RP-004</t>
  </si>
  <si>
    <t>3249-NN-RP-005</t>
  </si>
  <si>
    <t>3249-NN-RP-006</t>
  </si>
  <si>
    <t>3249-NN-RP-007</t>
  </si>
  <si>
    <t>3249-NN-RP-008</t>
  </si>
  <si>
    <t>3249-NN-RP-009</t>
  </si>
  <si>
    <t>3249-NN-RP-010</t>
  </si>
  <si>
    <t>3249-NN-RP-011</t>
  </si>
  <si>
    <t>3249-ZZ-RP-001</t>
  </si>
  <si>
    <t>3249-ZZ-RP-002</t>
  </si>
  <si>
    <t>3249-ZZ-RP-003</t>
  </si>
  <si>
    <t>3249-ZZ-RP-004</t>
  </si>
  <si>
    <t>3249-ZZ-RP-005</t>
  </si>
  <si>
    <t>3249-ZZ-RP-006</t>
  </si>
  <si>
    <t>3249-ZZ-RP-007</t>
  </si>
  <si>
    <t>3249-ZZ-RP-008</t>
  </si>
  <si>
    <t>3249-ZZ-RP-009</t>
  </si>
  <si>
    <t xml:space="preserve"> MOORING ANALYSIS FOR CONSTRUCTION BARGE DURING LIFTING &amp; INSTALLATION OF (BCPA-3) TOPSIDES MODULES (5NOS)</t>
  </si>
  <si>
    <t>3249-ZZ-RP-010</t>
  </si>
  <si>
    <t>SPARE</t>
  </si>
  <si>
    <t>3249-ZZ-RP-011</t>
  </si>
  <si>
    <t>3249-ZZ-RP-012</t>
  </si>
  <si>
    <t>3249-ZZ-RP-013</t>
  </si>
  <si>
    <t>3249-ZZ-RP-014</t>
  </si>
  <si>
    <t>3249-ZZ-RP-015</t>
  </si>
  <si>
    <t>3249-ZZ-RP-016</t>
  </si>
  <si>
    <t>TAKEN BY CDG</t>
  </si>
  <si>
    <t>CSE-OF-3249-001</t>
  </si>
  <si>
    <t>3249-NPCC-LTHE-T-0138</t>
  </si>
  <si>
    <t>MOORING ANALYSIS REPORT FOR 8" OIL PIPE LINE FROM BH TO BCPA-2 AND 14" GAS PIPELINE FROM BH TO BCPA-3</t>
  </si>
  <si>
    <t>CSE-OF-3249-002</t>
  </si>
  <si>
    <t>remarks</t>
  </si>
  <si>
    <t>merged with 3249-zz-rp-
001</t>
  </si>
  <si>
    <t>AKS</t>
  </si>
  <si>
    <t>CSE-OF-3249-003</t>
  </si>
  <si>
    <t>CSE-OF-3249-004</t>
  </si>
  <si>
    <t xml:space="preserve">3249-NPCC-LTHE-T-0151 </t>
  </si>
  <si>
    <t xml:space="preserve">3249-NPCC-LTHE-T-0152 </t>
  </si>
  <si>
    <t>3249-NPCC-LTHE-T-0148</t>
  </si>
  <si>
    <t>02/11/2016</t>
  </si>
  <si>
    <t>CSE-OF-3249-005</t>
  </si>
  <si>
    <t>HZD</t>
  </si>
  <si>
    <t>NAR</t>
  </si>
  <si>
    <t>CSE-OF-3249-008</t>
  </si>
  <si>
    <t>CDG</t>
  </si>
  <si>
    <t>3249-NPCC-LTHE-T-0161</t>
  </si>
  <si>
    <t>3249-NPCC-LTHE-T-0157</t>
  </si>
  <si>
    <t>3249-NPCC-LTHE-T-0165</t>
  </si>
  <si>
    <t>CSE-OF-3249-009</t>
  </si>
  <si>
    <t>EMAIL</t>
  </si>
  <si>
    <t>3249-NPCC-LTHE-T-0172</t>
  </si>
  <si>
    <t xml:space="preserve"> MOORING ANALYSIS REPORT FOR JACKET, DECK AND PILE  INSTALLATION  AT BH</t>
  </si>
  <si>
    <t>CSE-OF-3249-010</t>
  </si>
  <si>
    <t>3249-NN-025</t>
  </si>
  <si>
    <t>MOORING ANALYSIS REPORT DURING RISER INSTALLATION AT BCPA-2</t>
  </si>
  <si>
    <t>CSE-OF-3249-011</t>
  </si>
  <si>
    <t>3249-NPCC-LTHE-T-0183</t>
  </si>
  <si>
    <t>3249-NN-026</t>
  </si>
  <si>
    <t>VALVE PROTECTOR FOR 14" WF(GAS) PIPELINE FROM 
BH TO BCPA-3</t>
  </si>
  <si>
    <t>CSE-OF-3249-013</t>
  </si>
  <si>
    <t>3249-NPCC-LTHE-T-0197</t>
  </si>
  <si>
    <t>3249-NPCC-LTHE-T-0201</t>
  </si>
  <si>
    <t>CRS</t>
  </si>
  <si>
    <t>CSE-OF-3249-015</t>
  </si>
  <si>
    <t>CSE-OF-3249-016</t>
  </si>
  <si>
    <t>3249-NPCC-LTHE-T-0203</t>
  </si>
  <si>
    <t>LOADING ARRANGEMENT &amp; SEAFASTENING OF STINGER-9A @ GAC-66</t>
  </si>
  <si>
    <t>CSE-OF-3249-017</t>
  </si>
  <si>
    <t>3249-NPCC-LTHE-T-0214</t>
  </si>
  <si>
    <t>CSE-OF-3249-019</t>
  </si>
  <si>
    <t>CSE-OF-3249-020</t>
  </si>
  <si>
    <t>CSE-OF-3249-021</t>
  </si>
  <si>
    <t>CSE-OF-3249-022</t>
  </si>
  <si>
    <t>email</t>
  </si>
  <si>
    <t>CSE-OF-3249-023</t>
  </si>
  <si>
    <t>3249-NPCC-LTHE-T-0233</t>
  </si>
  <si>
    <t>3249-NPCC-LTHE-T-0230</t>
  </si>
  <si>
    <t>3249-NPCC-LTHE-T-0234</t>
  </si>
  <si>
    <t>3249-NPCC-LTHE-T-0228</t>
  </si>
  <si>
    <t>3249-NPCC-LTHE-T-0232</t>
  </si>
  <si>
    <t>PMT TO MWS</t>
  </si>
  <si>
    <t>STATUS FROM MWS</t>
  </si>
  <si>
    <t xml:space="preserve">Email 11-00032MI-95 </t>
  </si>
  <si>
    <t>Email 11-00032MI-96</t>
  </si>
  <si>
    <t>CSE-OF-3249-024</t>
  </si>
  <si>
    <t>3249-NPCC-LTHE-T-0238</t>
  </si>
  <si>
    <t>3249-NPCC-LTHE-T-0240</t>
  </si>
  <si>
    <t>CSE-OF-3249-025</t>
  </si>
  <si>
    <t>3249-NPCC-LTHE-T-0253</t>
  </si>
  <si>
    <t>CSE-OF-3249-026</t>
  </si>
  <si>
    <t>3249-NPCC-LTHE-T-0268</t>
  </si>
  <si>
    <t>CSE-OF-3249-027</t>
  </si>
  <si>
    <t xml:space="preserve">11-00032MI-115 </t>
  </si>
  <si>
    <t>11-00032MI-94</t>
  </si>
  <si>
    <t>CSE-OF-3249-028</t>
  </si>
  <si>
    <t>3249-NPCC-LTHE-T-0276</t>
  </si>
  <si>
    <t>3249-NPCC-LTHE-T-0277</t>
  </si>
  <si>
    <t>3249-NPCC-LTHE-T-0285</t>
  </si>
  <si>
    <t xml:space="preserve"> 11-00032MI-115 </t>
  </si>
  <si>
    <t>sent by mail</t>
  </si>
  <si>
    <t>EMAIL SENT ON 
06/01/2017</t>
  </si>
  <si>
    <t xml:space="preserve"> MOORING ANALYSIS FOR CONSTRUCTION BARGE DURING INSTALLATION  OF BLQ-3 JACKET AND PILE</t>
  </si>
  <si>
    <t>CSE-OF-3249-029</t>
  </si>
  <si>
    <t xml:space="preserve"> MOORING ANALYSIS FOR CONSTRUCTION BARGE DURING  INSTALLATION OF BLQ-3 TOPSIDE</t>
  </si>
  <si>
    <t>CSE-OF-3249-030</t>
  </si>
  <si>
    <t>3249-NPCC-LTHE-T-0304</t>
  </si>
  <si>
    <t>CSE-OF-3249-031</t>
  </si>
  <si>
    <t>CSE-OF-3249-032</t>
  </si>
  <si>
    <t>MOORING ANALYSIS FOR CONSTRUCTION BARGE DURING  INSTALLATION OF (BCPA-2) - (BCPA-3) BRIDGE</t>
  </si>
  <si>
    <t>3249-NPCC-LTHE-T-0305</t>
  </si>
  <si>
    <t>3249-NPCC-LTHE-T-0306</t>
  </si>
  <si>
    <t>CSE-OF-3249-033</t>
  </si>
  <si>
    <t>3249-NPCC-LTHE-T-0307</t>
  </si>
  <si>
    <t>11-00032MI-127</t>
  </si>
  <si>
    <t>SPOOL LIFTING AND INSTALLATION FOR 14 " WF (GAS) PIPELINE FROM BH to BCPA-3(@BH)</t>
  </si>
  <si>
    <t>title changed - 14" oil P/L</t>
  </si>
  <si>
    <t>title changed 14" oil P/l</t>
  </si>
  <si>
    <t>SPOOL LIFT ANALYSIS REPORT FOR 14 " WF (GAS) PIPE LINE FROM BH to BCPA-3 (@BH)</t>
  </si>
  <si>
    <t>CSE-OF-3249-034</t>
  </si>
  <si>
    <t>CSE-OF-3249-035</t>
  </si>
  <si>
    <t>3249-NPCC-LTHE-T-0315</t>
  </si>
  <si>
    <t>3249-NPCC-LTHE-T-0311</t>
  </si>
  <si>
    <t>3249-NPCC-LTHE-T-0309</t>
  </si>
  <si>
    <t xml:space="preserve">MOORING ANALYSIS FOR CONSTRUCTION BARGE DURING INSTALLATION OF BLQ3 - BCPA3 BRIDGE </t>
  </si>
  <si>
    <t>CSE-OF-3249-036</t>
  </si>
  <si>
    <t>3249-NPCC-LTHE-T-0324</t>
  </si>
  <si>
    <t>CSE-OF-3249-037</t>
  </si>
  <si>
    <t>3249-NPCC-LTHE-T-0328</t>
  </si>
  <si>
    <t>EMAIL SENT</t>
  </si>
  <si>
    <t>3249-NPCC-LTHE-T-0319</t>
  </si>
  <si>
    <t xml:space="preserve"> MOORING ANALYSIS FOR CONSTRUCTION BARGE DURING INSTALLATION OF  (BCPA-3) JACKET AND PILE</t>
  </si>
  <si>
    <t>CSE-OF-3249-038</t>
  </si>
  <si>
    <t>11-00032MI-128</t>
  </si>
  <si>
    <t>3249-NPCC-LTHE-T-0330</t>
  </si>
  <si>
    <t xml:space="preserve">  </t>
  </si>
  <si>
    <t>EMAIL SENT ON 
09/02/2017</t>
  </si>
  <si>
    <t>SPOOL LIFT ANALYSIS REPORT FOR 14 " WF (GAS) PIPE LINE FROM BH to BCPA-3 (@BCPA-3)</t>
  </si>
  <si>
    <t>SPOOL LIFTING AND INSTALLATION FOR 14 " WF (GAS) PIPE LINE FROM BH to BCPA-3(@BCPA-3)</t>
  </si>
  <si>
    <t>CSE-OF-3249-039</t>
  </si>
  <si>
    <t>3249-NPCC-LTHE-T-0343</t>
  </si>
  <si>
    <t>11-00032MI-156</t>
  </si>
  <si>
    <t>3249-NPCC-LTHE-T-0344</t>
  </si>
  <si>
    <t>3249-NPCC-LTHE-T-0345</t>
  </si>
  <si>
    <t>CSE-OF-3249-040</t>
  </si>
  <si>
    <t>3249-NPCC-LTHE-T-0349</t>
  </si>
  <si>
    <t xml:space="preserve"> 11-00032MI-156 R1</t>
  </si>
  <si>
    <t>EMAIL SENT ON 
26/02/2017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</si>
</sst>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</numFmts>
  <fonts count="17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b/>
      <sz val="10"/>
      <color indexed="8"/>
      <name val="Tahoma"/>
      <family val="2"/>
    </font>
    <font>
      <strike/>
      <sz val="8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rgb="FF333333"/>
      <name val="Tahoma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11" fillId="0" borderId="0" applyNumberFormat="0" applyFill="0" applyBorder="0" applyAlignment="0" applyProtection="0"/>
    <xf numFmtId="0" fontId="14" fillId="0" borderId="0"/>
  </cellStyleXfs>
  <cellXfs count="178">
    <xf numFmtId="164" fontId="0" fillId="0" borderId="0" xfId="0"/>
    <xf numFmtId="0" fontId="2" fillId="0" borderId="0" xfId="2" applyFont="1" applyFill="1" applyAlignment="1">
      <alignment horizontal="centerContinuous"/>
    </xf>
    <xf numFmtId="0" fontId="2" fillId="0" borderId="0" xfId="2" applyFont="1" applyFill="1"/>
    <xf numFmtId="0" fontId="2" fillId="0" borderId="0" xfId="2" applyFont="1" applyFill="1" applyAlignment="1">
      <alignment vertical="center"/>
    </xf>
    <xf numFmtId="165" fontId="2" fillId="0" borderId="0" xfId="2" applyNumberFormat="1" applyFont="1" applyFill="1"/>
    <xf numFmtId="0" fontId="6" fillId="0" borderId="0" xfId="2" applyFont="1" applyFill="1" applyAlignment="1">
      <alignment vertical="center"/>
    </xf>
    <xf numFmtId="0" fontId="8" fillId="0" borderId="22" xfId="2" applyNumberFormat="1" applyFont="1" applyFill="1" applyBorder="1" applyAlignment="1">
      <alignment horizontal="center" vertical="center"/>
    </xf>
    <xf numFmtId="166" fontId="8" fillId="0" borderId="22" xfId="2" quotePrefix="1" applyNumberFormat="1" applyFont="1" applyFill="1" applyBorder="1" applyAlignment="1">
      <alignment horizontal="center" vertical="center"/>
    </xf>
    <xf numFmtId="0" fontId="4" fillId="0" borderId="0" xfId="2" applyFont="1" applyFill="1" applyAlignment="1">
      <alignment vertical="center"/>
    </xf>
    <xf numFmtId="0" fontId="4" fillId="0" borderId="27" xfId="2" applyFont="1" applyFill="1" applyBorder="1" applyAlignment="1">
      <alignment horizontal="center" vertical="center"/>
    </xf>
    <xf numFmtId="0" fontId="4" fillId="0" borderId="22" xfId="2" applyFon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center" vertical="center"/>
    </xf>
    <xf numFmtId="0" fontId="8" fillId="0" borderId="11" xfId="2" applyNumberFormat="1" applyFont="1" applyFill="1" applyBorder="1" applyAlignment="1">
      <alignment horizontal="center" vertical="center"/>
    </xf>
    <xf numFmtId="15" fontId="4" fillId="0" borderId="22" xfId="2" quotePrefix="1" applyNumberFormat="1" applyFont="1" applyFill="1" applyBorder="1" applyAlignment="1">
      <alignment horizontal="center" vertical="center"/>
    </xf>
    <xf numFmtId="0" fontId="4" fillId="0" borderId="22" xfId="2" applyNumberFormat="1" applyFont="1" applyFill="1" applyBorder="1" applyAlignment="1">
      <alignment horizontal="center" vertical="center"/>
    </xf>
    <xf numFmtId="166" fontId="4" fillId="0" borderId="22" xfId="2" applyNumberFormat="1" applyFont="1" applyFill="1" applyBorder="1" applyAlignment="1">
      <alignment horizontal="center" vertical="center"/>
    </xf>
    <xf numFmtId="14" fontId="7" fillId="0" borderId="28" xfId="2" quotePrefix="1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4" fillId="0" borderId="11" xfId="2" applyNumberFormat="1" applyFont="1" applyFill="1" applyBorder="1" applyAlignment="1">
      <alignment horizontal="center" vertical="center"/>
    </xf>
    <xf numFmtId="166" fontId="4" fillId="0" borderId="11" xfId="2" applyNumberFormat="1" applyFont="1" applyFill="1" applyBorder="1" applyAlignment="1">
      <alignment horizontal="center" vertical="center"/>
    </xf>
    <xf numFmtId="166" fontId="8" fillId="0" borderId="11" xfId="2" applyNumberFormat="1" applyFont="1" applyFill="1" applyBorder="1" applyAlignment="1">
      <alignment horizontal="center" vertical="center"/>
    </xf>
    <xf numFmtId="0" fontId="4" fillId="0" borderId="0" xfId="2" applyFont="1" applyFill="1" applyAlignment="1">
      <alignment vertical="center" wrapText="1"/>
    </xf>
    <xf numFmtId="0" fontId="4" fillId="0" borderId="22" xfId="2" applyFont="1" applyFill="1" applyBorder="1" applyAlignment="1">
      <alignment horizontal="left" vertical="center" wrapText="1"/>
    </xf>
    <xf numFmtId="0" fontId="10" fillId="0" borderId="11" xfId="2" applyNumberFormat="1" applyFont="1" applyFill="1" applyBorder="1" applyAlignment="1">
      <alignment horizontal="center" vertical="center"/>
    </xf>
    <xf numFmtId="15" fontId="10" fillId="0" borderId="11" xfId="2" quotePrefix="1" applyNumberFormat="1" applyFont="1" applyFill="1" applyBorder="1" applyAlignment="1">
      <alignment horizontal="center" vertical="center"/>
    </xf>
    <xf numFmtId="0" fontId="10" fillId="0" borderId="22" xfId="2" applyNumberFormat="1" applyFont="1" applyFill="1" applyBorder="1" applyAlignment="1">
      <alignment horizontal="center" vertical="center"/>
    </xf>
    <xf numFmtId="166" fontId="10" fillId="0" borderId="11" xfId="2" applyNumberFormat="1" applyFont="1" applyFill="1" applyBorder="1" applyAlignment="1">
      <alignment horizontal="center" vertical="center"/>
    </xf>
    <xf numFmtId="14" fontId="4" fillId="0" borderId="12" xfId="2" quotePrefix="1" applyNumberFormat="1" applyFont="1" applyFill="1" applyBorder="1" applyAlignment="1">
      <alignment horizontal="center" vertical="center"/>
    </xf>
    <xf numFmtId="0" fontId="12" fillId="0" borderId="22" xfId="3" applyNumberFormat="1" applyFont="1" applyFill="1" applyBorder="1" applyAlignment="1">
      <alignment horizontal="center" vertical="center"/>
    </xf>
    <xf numFmtId="0" fontId="4" fillId="0" borderId="44" xfId="2" applyNumberFormat="1" applyFont="1" applyFill="1" applyBorder="1" applyAlignment="1">
      <alignment horizontal="center" vertical="center"/>
    </xf>
    <xf numFmtId="14" fontId="4" fillId="0" borderId="22" xfId="2" quotePrefix="1" applyNumberFormat="1" applyFont="1" applyFill="1" applyBorder="1" applyAlignment="1">
      <alignment horizontal="center" vertical="center"/>
    </xf>
    <xf numFmtId="0" fontId="4" fillId="0" borderId="21" xfId="2" applyNumberFormat="1" applyFont="1" applyFill="1" applyBorder="1" applyAlignment="1">
      <alignment horizontal="center" vertical="center" wrapText="1"/>
    </xf>
    <xf numFmtId="0" fontId="8" fillId="0" borderId="22" xfId="2" applyNumberFormat="1" applyFont="1" applyFill="1" applyBorder="1" applyAlignment="1">
      <alignment horizontal="center" vertical="center" wrapText="1"/>
    </xf>
    <xf numFmtId="0" fontId="2" fillId="0" borderId="0" xfId="2" applyFont="1" applyFill="1" applyAlignment="1">
      <alignment wrapText="1"/>
    </xf>
    <xf numFmtId="0" fontId="4" fillId="0" borderId="22" xfId="2" applyNumberFormat="1" applyFont="1" applyFill="1" applyBorder="1" applyAlignment="1">
      <alignment horizontal="center" vertical="center" wrapText="1"/>
    </xf>
    <xf numFmtId="14" fontId="4" fillId="0" borderId="26" xfId="2" quotePrefix="1" applyNumberFormat="1" applyFont="1" applyFill="1" applyBorder="1" applyAlignment="1">
      <alignment horizontal="center" vertical="center" wrapText="1"/>
    </xf>
    <xf numFmtId="14" fontId="7" fillId="0" borderId="28" xfId="2" quotePrefix="1" applyNumberFormat="1" applyFont="1" applyFill="1" applyBorder="1" applyAlignment="1">
      <alignment horizontal="center" vertical="center" wrapText="1"/>
    </xf>
    <xf numFmtId="0" fontId="6" fillId="3" borderId="18" xfId="2" applyFont="1" applyFill="1" applyBorder="1" applyAlignment="1">
      <alignment vertical="center"/>
    </xf>
    <xf numFmtId="0" fontId="6" fillId="3" borderId="3" xfId="2" applyFont="1" applyFill="1" applyBorder="1" applyAlignment="1">
      <alignment vertical="center"/>
    </xf>
    <xf numFmtId="0" fontId="6" fillId="3" borderId="1" xfId="2" applyFont="1" applyFill="1" applyBorder="1" applyAlignment="1">
      <alignment vertical="center"/>
    </xf>
    <xf numFmtId="0" fontId="6" fillId="3" borderId="0" xfId="2" applyFont="1" applyFill="1" applyBorder="1" applyAlignment="1">
      <alignment vertical="center"/>
    </xf>
    <xf numFmtId="0" fontId="5" fillId="4" borderId="4" xfId="2" applyFont="1" applyFill="1" applyBorder="1" applyAlignment="1">
      <alignment horizontal="centerContinuous" vertical="center"/>
    </xf>
    <xf numFmtId="165" fontId="5" fillId="4" borderId="4" xfId="2" applyNumberFormat="1" applyFont="1" applyFill="1" applyBorder="1" applyAlignment="1">
      <alignment horizontal="centerContinuous" vertical="center"/>
    </xf>
    <xf numFmtId="0" fontId="5" fillId="4" borderId="34" xfId="2" applyFont="1" applyFill="1" applyBorder="1" applyAlignment="1">
      <alignment horizontal="center" vertical="center"/>
    </xf>
    <xf numFmtId="0" fontId="5" fillId="4" borderId="21" xfId="2" applyFont="1" applyFill="1" applyBorder="1" applyAlignment="1">
      <alignment horizontal="center" vertical="center" wrapText="1"/>
    </xf>
    <xf numFmtId="0" fontId="5" fillId="4" borderId="20" xfId="2" applyFont="1" applyFill="1" applyBorder="1" applyAlignment="1">
      <alignment horizontal="center" vertical="center" wrapText="1"/>
    </xf>
    <xf numFmtId="164" fontId="13" fillId="0" borderId="21" xfId="0" applyFont="1" applyFill="1" applyBorder="1" applyAlignment="1">
      <alignment horizontal="center" vertical="center"/>
    </xf>
    <xf numFmtId="164" fontId="13" fillId="0" borderId="11" xfId="0" applyFont="1" applyFill="1" applyBorder="1" applyAlignment="1">
      <alignment horizontal="center" vertical="center"/>
    </xf>
    <xf numFmtId="0" fontId="4" fillId="3" borderId="22" xfId="2" applyFont="1" applyFill="1" applyBorder="1" applyAlignment="1">
      <alignment horizontal="left" vertical="center" wrapText="1"/>
    </xf>
    <xf numFmtId="0" fontId="2" fillId="0" borderId="0" xfId="2" applyFont="1" applyFill="1" applyBorder="1" applyAlignment="1">
      <alignment horizontal="centerContinuous"/>
    </xf>
    <xf numFmtId="0" fontId="4" fillId="0" borderId="22" xfId="2" applyFont="1" applyFill="1" applyBorder="1" applyAlignment="1">
      <alignment vertical="center"/>
    </xf>
    <xf numFmtId="0" fontId="5" fillId="0" borderId="0" xfId="2" applyFont="1" applyFill="1" applyAlignment="1">
      <alignment vertical="center"/>
    </xf>
    <xf numFmtId="165" fontId="5" fillId="0" borderId="0" xfId="2" applyNumberFormat="1" applyFont="1" applyFill="1" applyAlignment="1">
      <alignment vertical="center"/>
    </xf>
    <xf numFmtId="0" fontId="11" fillId="0" borderId="22" xfId="3" applyNumberFormat="1" applyFill="1" applyBorder="1" applyAlignment="1">
      <alignment horizontal="center" vertical="center"/>
    </xf>
    <xf numFmtId="15" fontId="8" fillId="0" borderId="22" xfId="2" quotePrefix="1" applyNumberFormat="1" applyFont="1" applyFill="1" applyBorder="1" applyAlignment="1">
      <alignment horizontal="center" vertical="center"/>
    </xf>
    <xf numFmtId="164" fontId="15" fillId="0" borderId="20" xfId="0" applyFont="1" applyBorder="1" applyAlignment="1">
      <alignment horizontal="center" vertical="center"/>
    </xf>
    <xf numFmtId="164" fontId="15" fillId="0" borderId="11" xfId="0" applyFont="1" applyBorder="1" applyAlignment="1">
      <alignment horizontal="center" vertical="center"/>
    </xf>
    <xf numFmtId="164" fontId="15" fillId="0" borderId="22" xfId="0" applyFont="1" applyBorder="1" applyAlignment="1">
      <alignment horizontal="center" vertical="center"/>
    </xf>
    <xf numFmtId="166" fontId="11" fillId="0" borderId="11" xfId="3" applyNumberFormat="1" applyFill="1" applyBorder="1" applyAlignment="1">
      <alignment horizontal="center" vertical="center"/>
    </xf>
    <xf numFmtId="14" fontId="8" fillId="0" borderId="22" xfId="2" applyNumberFormat="1" applyFont="1" applyFill="1" applyBorder="1" applyAlignment="1">
      <alignment horizontal="center" vertical="center"/>
    </xf>
    <xf numFmtId="166" fontId="11" fillId="0" borderId="22" xfId="3" quotePrefix="1" applyNumberForma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center" vertical="center"/>
    </xf>
    <xf numFmtId="0" fontId="4" fillId="0" borderId="22" xfId="2" applyFont="1" applyFill="1" applyBorder="1" applyAlignment="1">
      <alignment vertical="center" wrapText="1"/>
    </xf>
    <xf numFmtId="0" fontId="4" fillId="0" borderId="29" xfId="2" applyNumberFormat="1" applyFont="1" applyFill="1" applyBorder="1" applyAlignment="1">
      <alignment horizontal="center" vertical="center"/>
    </xf>
    <xf numFmtId="0" fontId="8" fillId="0" borderId="31" xfId="2" applyNumberFormat="1" applyFont="1" applyFill="1" applyBorder="1" applyAlignment="1">
      <alignment horizontal="center" vertical="center"/>
    </xf>
    <xf numFmtId="0" fontId="8" fillId="0" borderId="40" xfId="2" applyNumberFormat="1" applyFont="1" applyFill="1" applyBorder="1" applyAlignment="1">
      <alignment horizontal="center" vertical="center"/>
    </xf>
    <xf numFmtId="166" fontId="8" fillId="0" borderId="40" xfId="2" quotePrefix="1" applyNumberFormat="1" applyFont="1" applyFill="1" applyBorder="1" applyAlignment="1">
      <alignment horizontal="center" vertical="center"/>
    </xf>
    <xf numFmtId="166" fontId="8" fillId="0" borderId="11" xfId="2" quotePrefix="1" applyNumberFormat="1" applyFont="1" applyFill="1" applyBorder="1" applyAlignment="1">
      <alignment horizontal="center" vertical="center"/>
    </xf>
    <xf numFmtId="164" fontId="16" fillId="5" borderId="22" xfId="0" applyFont="1" applyFill="1" applyBorder="1" applyAlignment="1">
      <alignment horizontal="center" vertical="center" wrapText="1"/>
    </xf>
    <xf numFmtId="164" fontId="11" fillId="5" borderId="22" xfId="3" applyFill="1" applyBorder="1" applyAlignment="1">
      <alignment horizontal="left" vertical="center" wrapText="1" indent="1"/>
    </xf>
    <xf numFmtId="164" fontId="4" fillId="0" borderId="0" xfId="0" applyFont="1" applyAlignment="1">
      <alignment vertical="center" wrapText="1"/>
    </xf>
    <xf numFmtId="166" fontId="11" fillId="0" borderId="40" xfId="3" quotePrefix="1" applyNumberFormat="1" applyFill="1" applyBorder="1" applyAlignment="1">
      <alignment horizontal="center" vertical="center"/>
    </xf>
    <xf numFmtId="0" fontId="11" fillId="0" borderId="11" xfId="3" applyNumberFormat="1" applyFill="1" applyBorder="1" applyAlignment="1">
      <alignment horizontal="center" vertical="center"/>
    </xf>
    <xf numFmtId="15" fontId="11" fillId="0" borderId="11" xfId="3" quotePrefix="1" applyNumberFormat="1" applyFill="1" applyBorder="1" applyAlignment="1">
      <alignment horizontal="center" vertical="center"/>
    </xf>
    <xf numFmtId="14" fontId="4" fillId="0" borderId="22" xfId="2" applyNumberFormat="1" applyFont="1" applyFill="1" applyBorder="1" applyAlignment="1">
      <alignment horizontal="center" vertical="center"/>
    </xf>
    <xf numFmtId="164" fontId="11" fillId="0" borderId="0" xfId="3" quotePrefix="1" applyAlignment="1">
      <alignment vertical="center"/>
    </xf>
    <xf numFmtId="0" fontId="4" fillId="0" borderId="11" xfId="2" applyNumberFormat="1" applyFont="1" applyFill="1" applyBorder="1" applyAlignment="1">
      <alignment horizontal="center" vertical="center" wrapText="1"/>
    </xf>
    <xf numFmtId="14" fontId="4" fillId="0" borderId="12" xfId="2" quotePrefix="1" applyNumberFormat="1" applyFont="1" applyFill="1" applyBorder="1" applyAlignment="1">
      <alignment horizontal="center" vertical="center" wrapText="1"/>
    </xf>
    <xf numFmtId="164" fontId="11" fillId="0" borderId="21" xfId="3" quotePrefix="1" applyBorder="1" applyAlignment="1">
      <alignment vertical="center"/>
    </xf>
    <xf numFmtId="164" fontId="11" fillId="0" borderId="0" xfId="3" applyAlignment="1">
      <alignment horizontal="center" vertical="center"/>
    </xf>
    <xf numFmtId="164" fontId="11" fillId="0" borderId="22" xfId="3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 wrapText="1"/>
    </xf>
    <xf numFmtId="164" fontId="11" fillId="0" borderId="0" xfId="3" quotePrefix="1" applyAlignment="1">
      <alignment horizontal="center" vertical="center"/>
    </xf>
    <xf numFmtId="0" fontId="4" fillId="0" borderId="39" xfId="2" applyFon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center" vertical="center"/>
    </xf>
    <xf numFmtId="0" fontId="4" fillId="0" borderId="40" xfId="2" applyFont="1" applyFill="1" applyBorder="1" applyAlignment="1">
      <alignment horizontal="left" vertical="center" wrapText="1"/>
    </xf>
    <xf numFmtId="0" fontId="4" fillId="0" borderId="11" xfId="2" applyFont="1" applyFill="1" applyBorder="1" applyAlignment="1">
      <alignment horizontal="left" vertical="center" wrapText="1"/>
    </xf>
    <xf numFmtId="0" fontId="4" fillId="0" borderId="40" xfId="2" applyFont="1" applyFill="1" applyBorder="1" applyAlignment="1">
      <alignment horizontal="center" vertical="center"/>
    </xf>
    <xf numFmtId="0" fontId="4" fillId="0" borderId="11" xfId="2" applyFont="1" applyFill="1" applyBorder="1" applyAlignment="1">
      <alignment horizontal="center" vertical="center"/>
    </xf>
    <xf numFmtId="0" fontId="3" fillId="3" borderId="36" xfId="2" applyFont="1" applyFill="1" applyBorder="1" applyAlignment="1">
      <alignment horizontal="left" vertical="center"/>
    </xf>
    <xf numFmtId="0" fontId="3" fillId="3" borderId="48" xfId="2" applyFont="1" applyFill="1" applyBorder="1" applyAlignment="1">
      <alignment horizontal="left" vertical="center"/>
    </xf>
    <xf numFmtId="0" fontId="6" fillId="3" borderId="15" xfId="2" applyFont="1" applyFill="1" applyBorder="1" applyAlignment="1">
      <alignment horizontal="center" vertical="center"/>
    </xf>
    <xf numFmtId="0" fontId="6" fillId="3" borderId="0" xfId="2" applyFont="1" applyFill="1" applyBorder="1" applyAlignment="1">
      <alignment horizontal="center" vertical="center"/>
    </xf>
    <xf numFmtId="0" fontId="6" fillId="3" borderId="32" xfId="2" applyFont="1" applyFill="1" applyBorder="1" applyAlignment="1">
      <alignment horizontal="center" vertical="center"/>
    </xf>
    <xf numFmtId="0" fontId="3" fillId="3" borderId="29" xfId="2" applyNumberFormat="1" applyFont="1" applyFill="1" applyBorder="1" applyAlignment="1">
      <alignment horizontal="left" vertical="center"/>
    </xf>
    <xf numFmtId="0" fontId="3" fillId="3" borderId="30" xfId="2" applyNumberFormat="1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43" xfId="2" applyFont="1" applyFill="1" applyBorder="1" applyAlignment="1">
      <alignment horizontal="center" vertical="center"/>
    </xf>
    <xf numFmtId="0" fontId="3" fillId="3" borderId="36" xfId="2" applyNumberFormat="1" applyFont="1" applyFill="1" applyBorder="1" applyAlignment="1">
      <alignment horizontal="left" vertical="center"/>
    </xf>
    <xf numFmtId="0" fontId="3" fillId="3" borderId="37" xfId="2" applyNumberFormat="1" applyFont="1" applyFill="1" applyBorder="1" applyAlignment="1">
      <alignment horizontal="left" vertical="center"/>
    </xf>
    <xf numFmtId="0" fontId="3" fillId="3" borderId="38" xfId="2" applyNumberFormat="1" applyFont="1" applyFill="1" applyBorder="1" applyAlignment="1">
      <alignment horizontal="left" vertical="center"/>
    </xf>
    <xf numFmtId="0" fontId="9" fillId="3" borderId="29" xfId="1" applyNumberFormat="1" applyFont="1" applyFill="1" applyBorder="1" applyAlignment="1">
      <alignment horizontal="left" vertical="center"/>
    </xf>
    <xf numFmtId="0" fontId="9" fillId="3" borderId="33" xfId="1" applyNumberFormat="1" applyFont="1" applyFill="1" applyBorder="1" applyAlignment="1">
      <alignment horizontal="left" vertical="center"/>
    </xf>
    <xf numFmtId="0" fontId="9" fillId="3" borderId="31" xfId="1" applyNumberFormat="1" applyFont="1" applyFill="1" applyBorder="1" applyAlignment="1">
      <alignment horizontal="left" vertical="center"/>
    </xf>
    <xf numFmtId="0" fontId="5" fillId="4" borderId="33" xfId="2" applyFont="1" applyFill="1" applyBorder="1" applyAlignment="1">
      <alignment horizontal="center" vertical="center"/>
    </xf>
    <xf numFmtId="0" fontId="5" fillId="4" borderId="31" xfId="2" applyFont="1" applyFill="1" applyBorder="1" applyAlignment="1">
      <alignment horizontal="center" vertical="center"/>
    </xf>
    <xf numFmtId="0" fontId="5" fillId="4" borderId="22" xfId="2" applyFont="1" applyFill="1" applyBorder="1" applyAlignment="1">
      <alignment horizontal="center" vertical="center"/>
    </xf>
    <xf numFmtId="167" fontId="3" fillId="3" borderId="34" xfId="2" applyNumberFormat="1" applyFont="1" applyFill="1" applyBorder="1" applyAlignment="1">
      <alignment horizontal="left" vertical="center"/>
    </xf>
    <xf numFmtId="167" fontId="3" fillId="3" borderId="47" xfId="2" applyNumberFormat="1" applyFont="1" applyFill="1" applyBorder="1" applyAlignment="1">
      <alignment horizontal="left" vertical="center"/>
    </xf>
    <xf numFmtId="0" fontId="6" fillId="3" borderId="13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42" xfId="2" applyFont="1" applyFill="1" applyBorder="1" applyAlignment="1">
      <alignment horizontal="center" vertical="center"/>
    </xf>
    <xf numFmtId="0" fontId="5" fillId="4" borderId="21" xfId="2" applyFont="1" applyFill="1" applyBorder="1" applyAlignment="1">
      <alignment horizontal="center" vertical="center" wrapText="1"/>
    </xf>
    <xf numFmtId="0" fontId="3" fillId="3" borderId="29" xfId="1" applyNumberFormat="1" applyFont="1" applyFill="1" applyBorder="1" applyAlignment="1">
      <alignment horizontal="left" vertical="center"/>
    </xf>
    <xf numFmtId="0" fontId="3" fillId="3" borderId="33" xfId="1" applyNumberFormat="1" applyFont="1" applyFill="1" applyBorder="1" applyAlignment="1">
      <alignment horizontal="left" vertical="center"/>
    </xf>
    <xf numFmtId="0" fontId="3" fillId="3" borderId="31" xfId="1" applyNumberFormat="1" applyFont="1" applyFill="1" applyBorder="1" applyAlignment="1">
      <alignment horizontal="left" vertical="center"/>
    </xf>
    <xf numFmtId="0" fontId="5" fillId="4" borderId="29" xfId="2" applyFont="1" applyFill="1" applyBorder="1" applyAlignment="1">
      <alignment horizontal="center" vertical="center" wrapText="1"/>
    </xf>
    <xf numFmtId="0" fontId="5" fillId="4" borderId="31" xfId="2" applyFont="1" applyFill="1" applyBorder="1" applyAlignment="1">
      <alignment horizontal="center" vertical="center" wrapText="1"/>
    </xf>
    <xf numFmtId="0" fontId="5" fillId="4" borderId="33" xfId="2" applyFont="1" applyFill="1" applyBorder="1" applyAlignment="1">
      <alignment horizontal="center" vertical="center" wrapText="1"/>
    </xf>
    <xf numFmtId="0" fontId="5" fillId="4" borderId="29" xfId="2" applyFont="1" applyFill="1" applyBorder="1" applyAlignment="1">
      <alignment horizontal="center" vertical="center"/>
    </xf>
    <xf numFmtId="0" fontId="3" fillId="3" borderId="34" xfId="1" applyNumberFormat="1" applyFont="1" applyFill="1" applyBorder="1" applyAlignment="1">
      <alignment horizontal="left" vertical="center"/>
    </xf>
    <xf numFmtId="0" fontId="3" fillId="3" borderId="45" xfId="1" applyNumberFormat="1" applyFont="1" applyFill="1" applyBorder="1" applyAlignment="1">
      <alignment horizontal="left" vertical="center"/>
    </xf>
    <xf numFmtId="0" fontId="3" fillId="3" borderId="46" xfId="1" applyNumberFormat="1" applyFont="1" applyFill="1" applyBorder="1" applyAlignment="1">
      <alignment horizontal="left" vertical="center"/>
    </xf>
    <xf numFmtId="0" fontId="5" fillId="4" borderId="20" xfId="2" applyFont="1" applyFill="1" applyBorder="1" applyAlignment="1">
      <alignment horizontal="center" vertical="center" wrapText="1"/>
    </xf>
    <xf numFmtId="0" fontId="5" fillId="4" borderId="14" xfId="2" applyFont="1" applyFill="1" applyBorder="1" applyAlignment="1">
      <alignment horizontal="center" vertical="center"/>
    </xf>
    <xf numFmtId="0" fontId="5" fillId="4" borderId="17" xfId="2" applyFont="1" applyFill="1" applyBorder="1" applyAlignment="1">
      <alignment horizontal="center" vertical="center"/>
    </xf>
    <xf numFmtId="0" fontId="5" fillId="4" borderId="36" xfId="2" applyFont="1" applyFill="1" applyBorder="1" applyAlignment="1">
      <alignment horizontal="center" vertical="center" wrapText="1"/>
    </xf>
    <xf numFmtId="0" fontId="5" fillId="4" borderId="37" xfId="2" applyFont="1" applyFill="1" applyBorder="1" applyAlignment="1">
      <alignment horizontal="center" vertical="center" wrapText="1"/>
    </xf>
    <xf numFmtId="0" fontId="5" fillId="4" borderId="38" xfId="2" applyFont="1" applyFill="1" applyBorder="1" applyAlignment="1">
      <alignment horizontal="center" vertical="center" wrapText="1"/>
    </xf>
    <xf numFmtId="0" fontId="5" fillId="4" borderId="10" xfId="2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5" fillId="4" borderId="6" xfId="2" applyFont="1" applyFill="1" applyBorder="1" applyAlignment="1">
      <alignment horizontal="center" vertical="center" wrapText="1"/>
    </xf>
    <xf numFmtId="0" fontId="5" fillId="4" borderId="14" xfId="2" applyFont="1" applyFill="1" applyBorder="1" applyAlignment="1">
      <alignment horizontal="center" vertical="center" wrapText="1"/>
    </xf>
    <xf numFmtId="0" fontId="5" fillId="4" borderId="17" xfId="2" applyFont="1" applyFill="1" applyBorder="1" applyAlignment="1">
      <alignment horizontal="center" vertical="center" wrapText="1"/>
    </xf>
    <xf numFmtId="0" fontId="5" fillId="4" borderId="11" xfId="2" applyFont="1" applyFill="1" applyBorder="1" applyAlignment="1">
      <alignment horizontal="center" vertical="center"/>
    </xf>
    <xf numFmtId="0" fontId="4" fillId="0" borderId="7" xfId="2" applyFont="1" applyFill="1" applyBorder="1" applyAlignment="1">
      <alignment horizontal="center" vertical="center"/>
    </xf>
    <xf numFmtId="0" fontId="4" fillId="0" borderId="20" xfId="2" applyFont="1" applyFill="1" applyBorder="1" applyAlignment="1">
      <alignment horizontal="left" vertical="center" wrapText="1"/>
    </xf>
    <xf numFmtId="0" fontId="4" fillId="0" borderId="20" xfId="2" applyFont="1" applyFill="1" applyBorder="1" applyAlignment="1">
      <alignment horizontal="center" vertical="center"/>
    </xf>
    <xf numFmtId="0" fontId="5" fillId="4" borderId="7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/>
    </xf>
    <xf numFmtId="0" fontId="5" fillId="4" borderId="9" xfId="2" applyFont="1" applyFill="1" applyBorder="1" applyAlignment="1">
      <alignment horizontal="center" vertical="center"/>
    </xf>
    <xf numFmtId="0" fontId="5" fillId="4" borderId="20" xfId="2" applyFont="1" applyFill="1" applyBorder="1" applyAlignment="1">
      <alignment horizontal="center" vertical="center"/>
    </xf>
    <xf numFmtId="164" fontId="4" fillId="4" borderId="14" xfId="0" applyFont="1" applyFill="1" applyBorder="1"/>
    <xf numFmtId="164" fontId="4" fillId="4" borderId="17" xfId="0" applyFont="1" applyFill="1" applyBorder="1"/>
    <xf numFmtId="0" fontId="4" fillId="0" borderId="8" xfId="2" applyFont="1" applyFill="1" applyBorder="1" applyAlignment="1">
      <alignment horizontal="center" vertical="center"/>
    </xf>
    <xf numFmtId="0" fontId="4" fillId="0" borderId="14" xfId="2" applyFont="1" applyFill="1" applyBorder="1" applyAlignment="1">
      <alignment horizontal="left" vertical="center" wrapText="1"/>
    </xf>
    <xf numFmtId="0" fontId="4" fillId="0" borderId="14" xfId="2" applyFont="1" applyFill="1" applyBorder="1" applyAlignment="1">
      <alignment horizontal="center" vertical="center"/>
    </xf>
    <xf numFmtId="0" fontId="4" fillId="3" borderId="20" xfId="2" applyFont="1" applyFill="1" applyBorder="1" applyAlignment="1">
      <alignment horizontal="left" vertical="center" wrapText="1"/>
    </xf>
    <xf numFmtId="0" fontId="4" fillId="3" borderId="14" xfId="2" applyFont="1" applyFill="1" applyBorder="1" applyAlignment="1">
      <alignment horizontal="left" vertical="center" wrapText="1"/>
    </xf>
    <xf numFmtId="0" fontId="4" fillId="3" borderId="11" xfId="2" applyFont="1" applyFill="1" applyBorder="1" applyAlignment="1">
      <alignment horizontal="left" vertical="center" wrapText="1"/>
    </xf>
    <xf numFmtId="0" fontId="5" fillId="4" borderId="26" xfId="2" applyFont="1" applyFill="1" applyBorder="1" applyAlignment="1">
      <alignment horizontal="center" vertical="center"/>
    </xf>
    <xf numFmtId="0" fontId="5" fillId="4" borderId="28" xfId="2" applyFont="1" applyFill="1" applyBorder="1" applyAlignment="1">
      <alignment horizontal="center" vertical="center"/>
    </xf>
    <xf numFmtId="0" fontId="5" fillId="4" borderId="41" xfId="2" applyFont="1" applyFill="1" applyBorder="1" applyAlignment="1">
      <alignment horizontal="center" vertical="center"/>
    </xf>
    <xf numFmtId="0" fontId="5" fillId="4" borderId="24" xfId="2" applyFont="1" applyFill="1" applyBorder="1" applyAlignment="1">
      <alignment horizontal="center" vertical="center"/>
    </xf>
    <xf numFmtId="0" fontId="5" fillId="4" borderId="25" xfId="2" applyFont="1" applyFill="1" applyBorder="1" applyAlignment="1">
      <alignment horizontal="center" vertical="center" wrapText="1"/>
    </xf>
    <xf numFmtId="0" fontId="5" fillId="4" borderId="27" xfId="2" applyFont="1" applyFill="1" applyBorder="1" applyAlignment="1">
      <alignment horizontal="center" vertical="center"/>
    </xf>
    <xf numFmtId="0" fontId="5" fillId="4" borderId="39" xfId="2" applyFont="1" applyFill="1" applyBorder="1" applyAlignment="1">
      <alignment horizontal="center" vertical="center"/>
    </xf>
    <xf numFmtId="0" fontId="5" fillId="4" borderId="23" xfId="2" applyFont="1" applyFill="1" applyBorder="1" applyAlignment="1">
      <alignment horizontal="center" vertical="center"/>
    </xf>
    <xf numFmtId="0" fontId="5" fillId="4" borderId="21" xfId="2" applyFont="1" applyFill="1" applyBorder="1" applyAlignment="1">
      <alignment horizontal="center" vertical="center"/>
    </xf>
    <xf numFmtId="164" fontId="4" fillId="4" borderId="22" xfId="0" applyFont="1" applyFill="1" applyBorder="1"/>
    <xf numFmtId="164" fontId="4" fillId="4" borderId="40" xfId="0" applyFont="1" applyFill="1" applyBorder="1"/>
    <xf numFmtId="164" fontId="4" fillId="4" borderId="4" xfId="0" applyFont="1" applyFill="1" applyBorder="1"/>
    <xf numFmtId="0" fontId="5" fillId="4" borderId="22" xfId="2" applyFont="1" applyFill="1" applyBorder="1" applyAlignment="1">
      <alignment horizontal="center" vertical="center" wrapText="1"/>
    </xf>
    <xf numFmtId="0" fontId="5" fillId="4" borderId="40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5" fillId="4" borderId="40" xfId="2" applyFont="1" applyFill="1" applyBorder="1" applyAlignment="1">
      <alignment horizontal="center" vertical="center"/>
    </xf>
    <xf numFmtId="0" fontId="5" fillId="4" borderId="4" xfId="2" applyFont="1" applyFill="1" applyBorder="1" applyAlignment="1">
      <alignment horizontal="center" vertical="center"/>
    </xf>
    <xf numFmtId="0" fontId="5" fillId="4" borderId="43" xfId="2" applyFont="1" applyFill="1" applyBorder="1" applyAlignment="1">
      <alignment horizontal="center" vertical="center" wrapText="1"/>
    </xf>
    <xf numFmtId="0" fontId="5" fillId="4" borderId="32" xfId="2" applyFont="1" applyFill="1" applyBorder="1" applyAlignment="1">
      <alignment horizontal="center" vertical="center" wrapText="1"/>
    </xf>
    <xf numFmtId="0" fontId="5" fillId="4" borderId="42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4" borderId="9" xfId="2" applyFont="1" applyFill="1" applyBorder="1" applyAlignment="1">
      <alignment horizontal="center" vertical="center" wrapText="1"/>
    </xf>
    <xf numFmtId="164" fontId="4" fillId="4" borderId="14" xfId="0" applyFont="1" applyFill="1" applyBorder="1" applyAlignment="1">
      <alignment wrapText="1"/>
    </xf>
    <xf numFmtId="164" fontId="4" fillId="4" borderId="17" xfId="0" applyFont="1" applyFill="1" applyBorder="1" applyAlignment="1">
      <alignment wrapText="1"/>
    </xf>
    <xf numFmtId="0" fontId="5" fillId="4" borderId="15" xfId="2" applyFont="1" applyFill="1" applyBorder="1" applyAlignment="1">
      <alignment horizontal="center" vertical="center" wrapText="1"/>
    </xf>
    <xf numFmtId="0" fontId="5" fillId="4" borderId="11" xfId="2" applyFont="1" applyFill="1" applyBorder="1" applyAlignment="1">
      <alignment horizontal="center" vertical="center" wrapText="1"/>
    </xf>
    <xf numFmtId="0" fontId="5" fillId="4" borderId="35" xfId="2" applyFont="1" applyFill="1" applyBorder="1" applyAlignment="1">
      <alignment horizontal="center" vertical="center" wrapText="1"/>
    </xf>
  </cellXfs>
  <cellStyles count="5">
    <cellStyle name="Comma" xfId="1" builtinId="3"/>
    <cellStyle name="Hyperlink" xfId="3" builtinId="8"/>
    <cellStyle name="Normal" xfId="0" builtinId="0"/>
    <cellStyle name="Normal 2" xfId="4"/>
    <cellStyle name="Normal_1116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1571625</xdr:colOff>
      <xdr:row>1</xdr:row>
      <xdr:rowOff>28575</xdr:rowOff>
    </xdr:from>
    <xdr:to>
      <xdr:col>2</xdr:col>
      <xdr:colOff>0</xdr:colOff>
      <xdr:row>3</xdr:row>
      <xdr:rowOff>9525</xdr:rowOff>
    </xdr:to>
    <xdr:pic>
      <xdr:nvPicPr>
        <xdr:cNvPr id="9" name="Picture 8" descr="D:\NPCC LOGO Material etc\NPCC logo- full color identit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276225"/>
          <a:ext cx="118110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66674</xdr:colOff>
      <xdr:row>0</xdr:row>
      <xdr:rowOff>209550</xdr:rowOff>
    </xdr:from>
    <xdr:to>
      <xdr:col>1</xdr:col>
      <xdr:colOff>962024</xdr:colOff>
      <xdr:row>3</xdr:row>
      <xdr:rowOff>38100</xdr:rowOff>
    </xdr:to>
    <xdr:pic>
      <xdr:nvPicPr>
        <xdr:cNvPr id="3" name="Picture 2" descr="D:\NPCC LOGO Material etc\NPCC logo- full color identit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209550"/>
          <a:ext cx="1285875" cy="571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1019175</xdr:colOff>
      <xdr:row>0</xdr:row>
      <xdr:rowOff>209550</xdr:rowOff>
    </xdr:from>
    <xdr:to>
      <xdr:col>1</xdr:col>
      <xdr:colOff>2619374</xdr:colOff>
      <xdr:row>3</xdr:row>
      <xdr:rowOff>28575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209550"/>
          <a:ext cx="1600199" cy="5619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1571625</xdr:colOff>
      <xdr:row>1</xdr:row>
      <xdr:rowOff>28575</xdr:rowOff>
    </xdr:from>
    <xdr:to>
      <xdr:col>1</xdr:col>
      <xdr:colOff>2619375</xdr:colOff>
      <xdr:row>3</xdr:row>
      <xdr:rowOff>9525</xdr:rowOff>
    </xdr:to>
    <xdr:pic>
      <xdr:nvPicPr>
        <xdr:cNvPr id="9" name="Picture 8" descr="D:\NPCC LOGO Material etc\NPCC logo- full color identit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276225"/>
          <a:ext cx="10477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66674</xdr:colOff>
      <xdr:row>0</xdr:row>
      <xdr:rowOff>209550</xdr:rowOff>
    </xdr:from>
    <xdr:to>
      <xdr:col>1</xdr:col>
      <xdr:colOff>962024</xdr:colOff>
      <xdr:row>3</xdr:row>
      <xdr:rowOff>38100</xdr:rowOff>
    </xdr:to>
    <xdr:pic>
      <xdr:nvPicPr>
        <xdr:cNvPr id="4" name="Picture 3" descr="D:\NPCC LOGO Material etc\NPCC logo- full color identit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209550"/>
          <a:ext cx="1285875" cy="571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1019175</xdr:colOff>
      <xdr:row>0</xdr:row>
      <xdr:rowOff>209550</xdr:rowOff>
    </xdr:from>
    <xdr:to>
      <xdr:col>1</xdr:col>
      <xdr:colOff>2619374</xdr:colOff>
      <xdr:row>3</xdr:row>
      <xdr:rowOff>28575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209550"/>
          <a:ext cx="1600199" cy="56197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209550</xdr:rowOff>
    </xdr:from>
    <xdr:to>
      <xdr:col>1</xdr:col>
      <xdr:colOff>962024</xdr:colOff>
      <xdr:row>3</xdr:row>
      <xdr:rowOff>38100</xdr:rowOff>
    </xdr:to>
    <xdr:pic>
      <xdr:nvPicPr>
        <xdr:cNvPr id="7" name="Picture 6" descr="D:\NPCC LOGO Material etc\NPCC logo- full color identit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209550"/>
          <a:ext cx="1285875" cy="571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1019175</xdr:colOff>
      <xdr:row>0</xdr:row>
      <xdr:rowOff>209550</xdr:rowOff>
    </xdr:from>
    <xdr:to>
      <xdr:col>1</xdr:col>
      <xdr:colOff>2619374</xdr:colOff>
      <xdr:row>3</xdr:row>
      <xdr:rowOff>28575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209550"/>
          <a:ext cx="1600199" cy="5619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..\DOCUMENTS\PIPELINE%20AND%20CABLE\PIPELAY%20ANALYSIS\3249-NN-RP-005%20SPOLL%20LIFT%208%20in%20BH%20to%20BCPA-2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..\..\DOCUMENTS\PIPELINE%20AND%20CABLE\PIPELAY%20ANALYSIS\3249-NN-RP-001%20PL%20REPORT%20FOR%208%20in%20OIl%20PL%20FROM%20BH%20to%20BCPA-2\Rev%200\COMMENTS\LTHE" TargetMode="External"/><Relationship Id="rId7" Type="http://schemas.openxmlformats.org/officeDocument/2006/relationships/hyperlink" Target="..\..\DOCUMENTS\PIPELINE%20AND%20CABLE\PIPELAY%20ANALYSIS\3249-NN-RP-002%20PL%20REPORT%20FOR%2014%20in%20GAS%20FROM%20BH%20to%20BCPA-3\Rev%200\Comment\MWS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..\..\DOCUMENTS\PIPELINE%20AND%20CABLE\PIPELAY%20ANALYSIS\3249-NN-RP-002%20PL%20REPORT%20FOR%2014%20in%20GAS%20FROM%20BH%20to%20BCPA-3\Rev%200" TargetMode="External"/><Relationship Id="rId1" Type="http://schemas.openxmlformats.org/officeDocument/2006/relationships/hyperlink" Target="..\..\DOCUMENTS\PIPELINE%20AND%20CABLE\PIPELAY%20ANALYSIS\3249-NN-RP-001%20PL%20REPORT%20FOR%208%20in%20OIl%20PL%20FROM%20BH%20to%20BCPA-2\Rev%200" TargetMode="External"/><Relationship Id="rId6" Type="http://schemas.openxmlformats.org/officeDocument/2006/relationships/hyperlink" Target="..\..\DOCUMENTS\PIPELINE%20AND%20CABLE\PIPELAY%20ANALYSIS\3249-NN-RP-001%20PL%20REPORT%20FOR%208%20in%20OIl%20PL%20FROM%20BH%20to%20BCPA-2\Rev%200\COMMENTS\MWS" TargetMode="External"/><Relationship Id="rId11" Type="http://schemas.openxmlformats.org/officeDocument/2006/relationships/hyperlink" Target="..\..\DOCUMENTS\PIPELINE%20AND%20CABLE\RISER%20LIFT%20ANALYSIS%20REPORTS\14IN%20WF%20GAS%20PL%20BH%20TO%20BCPA-3%20-%203249-NN-RP-007\REV-0" TargetMode="External"/><Relationship Id="rId5" Type="http://schemas.openxmlformats.org/officeDocument/2006/relationships/hyperlink" Target="..\..\DOCUMENTS\PIPELINE%20AND%20CABLE\PIPELAY%20ANALYSIS\3249-NN-RP-001%20PL%20REPORT%20FOR%208%20in%20OIl%20PL%20FROM%20BH%20to%20BCPA-2\Rev%201" TargetMode="External"/><Relationship Id="rId10" Type="http://schemas.openxmlformats.org/officeDocument/2006/relationships/hyperlink" Target="..\..\DOCUMENTS\PIPELINE%20AND%20CABLE\PIPELAY%20ANALYSIS\3249-NN-RP-006%20SPOLL%20LIFT%2014%20in%20BH%20to%20BCPA-3" TargetMode="External"/><Relationship Id="rId4" Type="http://schemas.openxmlformats.org/officeDocument/2006/relationships/hyperlink" Target="..\..\DOCUMENTS\PIPELINE%20AND%20CABLE\PIPELAY%20ANALYSIS\3249-NN-RP-002%20PL%20REPORT%20FOR%2014%20in%20GAS%20FROM%20BH%20to%20BCPA-3\Rev%201" TargetMode="External"/><Relationship Id="rId9" Type="http://schemas.openxmlformats.org/officeDocument/2006/relationships/hyperlink" Target="..\..\DOCUMENTS\PIPELINE%20AND%20CABLE\RISER%20LIFT%20ANALYSIS%20REPORTS\8IN%20OIL%20PL%20BH%20TO%20BCPA-2%20-%203249-NN-RP-00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\..\DOCUMENTS\NAVAL%20MARINE\MOORING%20ANALYSIS\8IN%20AND%2014IN%20OIL%20AND%20GAS%20PL%20-%20BH%20TO%20BCPS%20-%203249-ZZ-RP-001\REV-1" TargetMode="External"/><Relationship Id="rId13" Type="http://schemas.openxmlformats.org/officeDocument/2006/relationships/hyperlink" Target="..\..\DOCUMENTS\NAVAL%20MARINE\MOORING%20ANALYSIS\BCPA-3%20-%20JACKET%20AND%20PILE%20-%203249-ZZ-RP-006\REV-1" TargetMode="External"/><Relationship Id="rId18" Type="http://schemas.openxmlformats.org/officeDocument/2006/relationships/hyperlink" Target="..\..\DOCUMENTS\NAVAL%20MARINE\MOORING%20ANALYSIS\JACKET,%20DECKAND%20PILE%20INSTAL.%20AT%20BH%20-%203249-ZZ-RP-004\REV-2\MWS" TargetMode="External"/><Relationship Id="rId26" Type="http://schemas.openxmlformats.org/officeDocument/2006/relationships/hyperlink" Target="..\..\DOCUMENTS\NAVAL%20MARINE\MOORING%20ANALYSIS\MOORING%20ANALYSIS%20BCPA-2%20-%20BCPA-3%20-%203249-ZZ-RP-009\REV-0" TargetMode="External"/><Relationship Id="rId3" Type="http://schemas.openxmlformats.org/officeDocument/2006/relationships/hyperlink" Target="..\..\DOCUMENTS\NAVAL%20MARINE\MOORING%20ANALYSIS\8IN%20AND%2014IN%20OIL%20AND%20GAS%20PL%20-%20BH%20TO%20BCPS%20-%203249-ZZ-RP-001\REV-0\COMMENTS" TargetMode="External"/><Relationship Id="rId21" Type="http://schemas.openxmlformats.org/officeDocument/2006/relationships/hyperlink" Target="..\..\DOCUMENTS\NAVAL%20MARINE\MOORING%20ANALYSIS\INSTALLATION%20OF%20BLQ-3%20JACKET%20AND%20PILE%20-%203249-ZZ-RP-007" TargetMode="External"/><Relationship Id="rId34" Type="http://schemas.openxmlformats.org/officeDocument/2006/relationships/hyperlink" Target="..\..\DOCUMENTS\NAVAL%20MARINE\MOORING%20ANALYSIS\INSTALLATION%20OF%20BLQ-3%20JACKET%20AND%20PILE%20-%203249-ZZ-RP-007\REV-1\COMMENTS\MWS" TargetMode="External"/><Relationship Id="rId7" Type="http://schemas.openxmlformats.org/officeDocument/2006/relationships/hyperlink" Target="..\..\DOCUMENTS\NAVAL%20MARINE\MOORING%20ANALYSIS\8IN%20AND%2014IN%20OIL%20AND%20GAS%20PL%20-%20BH%20TO%20BCPS%20-%203249-ZZ-RP-001\REV-1\3249-ZZ-RP-001-CRS.pdf" TargetMode="External"/><Relationship Id="rId12" Type="http://schemas.openxmlformats.org/officeDocument/2006/relationships/hyperlink" Target="..\..\DOCUMENTS\NAVAL%20MARINE\MOORING%20ANALYSIS\RISER%20INSTALL.%20AT%20BCPA-2%20-%203249-ZZ-RP-003\REV-1" TargetMode="External"/><Relationship Id="rId17" Type="http://schemas.openxmlformats.org/officeDocument/2006/relationships/hyperlink" Target="..\..\DOCUMENTS\NAVAL%20MARINE\MOORING%20ANALYSIS\JACKET,%20DECKAND%20PILE%20INSTAL.%20AT%20BH%20-%203249-ZZ-RP-004\REV-2\MWS" TargetMode="External"/><Relationship Id="rId25" Type="http://schemas.openxmlformats.org/officeDocument/2006/relationships/hyperlink" Target="..\..\DOCUMENTS\NAVAL%20MARINE\MOORING%20ANALYSIS\BLQ3%20-%20BCPA3%20-%203249-ZZ-RP-012\REV-0" TargetMode="External"/><Relationship Id="rId33" Type="http://schemas.openxmlformats.org/officeDocument/2006/relationships/hyperlink" Target="..\..\DOCUMENTS\NAVAL%20MARINE\MOORING%20ANALYSIS\INSTALLATION%20OF%20BLQ-3%20JACKET%20AND%20PILE%20-%203249-ZZ-RP-007\REV-1" TargetMode="External"/><Relationship Id="rId2" Type="http://schemas.openxmlformats.org/officeDocument/2006/relationships/hyperlink" Target="..\..\DOCUMENTS\NAVAL%20MARINE\MOORING%20ANALYSIS\8IN%20AND%2014IN%20OIL%20AND%20GAS%20PL%20-%20BH%20TO%20BCPS%20-%203249-ZZ-RP-001\REV-1" TargetMode="External"/><Relationship Id="rId16" Type="http://schemas.openxmlformats.org/officeDocument/2006/relationships/hyperlink" Target="..\..\DOCUMENTS\NAVAL%20MARINE\MOORING%20ANALYSIS\JACKET,%20DECKAND%20PILE%20INSTAL.%20AT%20BH%20-%203249-ZZ-RP-004\REV-2" TargetMode="External"/><Relationship Id="rId20" Type="http://schemas.openxmlformats.org/officeDocument/2006/relationships/hyperlink" Target="..\..\DOCUMENTS\NAVAL%20MARINE\MOORING%20ANALYSIS\INSTALLATION%20OF%20BLQ-3%20TOPSIDE%20-%203249-ZZ-RP-008" TargetMode="External"/><Relationship Id="rId29" Type="http://schemas.openxmlformats.org/officeDocument/2006/relationships/hyperlink" Target="..\..\DOCUMENTS\NAVAL%20MARINE\MOORING%20ANALYSIS\BCPA-3%20-%20JACKET%20AND%20PILE%20-%203249-ZZ-RP-006\REV-1\COMMENTS\MWS" TargetMode="External"/><Relationship Id="rId1" Type="http://schemas.openxmlformats.org/officeDocument/2006/relationships/hyperlink" Target="..\..\DOCUMENTS\NAVAL%20MARINE\MOORING%20ANALYSIS\8IN%20AND%2014IN%20OIL%20AND%20GAS%20PL%20-%20BH%20TO%20BCPS%20-%203249-ZZ-RP-001\REV-0" TargetMode="External"/><Relationship Id="rId6" Type="http://schemas.openxmlformats.org/officeDocument/2006/relationships/hyperlink" Target="..\..\DOCUMENTS\NAVAL%20MARINE\MOORING%20ANALYSIS\8IN%20AND%2014IN%20OIL%20AND%20GAS%20PL%20-%20BH%20TO%20BCPS%20-%203249-ZZ-RP-001\REV-1\COMMENTS" TargetMode="External"/><Relationship Id="rId11" Type="http://schemas.openxmlformats.org/officeDocument/2006/relationships/hyperlink" Target="..\..\DOCUMENTS\NAVAL%20MARINE\MOORING%20ANALYSIS\RISER%20INSTALL.%20AT%20BCPA-2%20-%203249-ZZ-RP-003\REV-0" TargetMode="External"/><Relationship Id="rId24" Type="http://schemas.openxmlformats.org/officeDocument/2006/relationships/hyperlink" Target="..\..\DOCUMENTS\NAVAL%20MARINE\MOORING%20ANALYSIS\RISER%20INSTALL.%20AT%20BCPA-2%20-%203249-ZZ-RP-003\REV-3\COMMENTS\LTHE" TargetMode="External"/><Relationship Id="rId32" Type="http://schemas.openxmlformats.org/officeDocument/2006/relationships/hyperlink" Target="..\..\DOCUMENTS\NAVAL%20MARINE\MOORING%20ANALYSIS\INSTALLATION%20OF%20BLQ-3%20JACKET%20AND%20PILE%20-%203249-ZZ-RP-007\REV-0\COMMENTS\MWS" TargetMode="External"/><Relationship Id="rId37" Type="http://schemas.openxmlformats.org/officeDocument/2006/relationships/drawing" Target="../drawings/drawing2.xml"/><Relationship Id="rId5" Type="http://schemas.openxmlformats.org/officeDocument/2006/relationships/hyperlink" Target="..\..\DOCUMENTS\NAVAL%20MARINE\MOORING%20ANALYSIS\8IN%20AND%2014IN%20OIL%20AND%20GAS%20PL%20-%20BH%20TO%20BCPS%20-%203249-ZZ-RP-001\REV-1" TargetMode="External"/><Relationship Id="rId15" Type="http://schemas.openxmlformats.org/officeDocument/2006/relationships/hyperlink" Target="..\..\DOCUMENTS\NAVAL%20MARINE\MOORING%20ANALYSIS\8IN%20AND%2014IN%20OIL%20AND%20GAS%20PL%20-%20BH%20TO%20BCPS%20-%203249-ZZ-RP-001\REV-1\MWS" TargetMode="External"/><Relationship Id="rId23" Type="http://schemas.openxmlformats.org/officeDocument/2006/relationships/hyperlink" Target="..\..\DOCUMENTS\NAVAL%20MARINE\MOORING%20ANALYSIS\RISER%20INSTALL.%20AT%20BCPA-2%20-%203249-ZZ-RP-003\REV-3" TargetMode="External"/><Relationship Id="rId28" Type="http://schemas.openxmlformats.org/officeDocument/2006/relationships/hyperlink" Target="..\..\DOCUMENTS\NAVAL%20MARINE\MOORING%20ANALYSIS\BCPA-3%20-%20JACKET%20AND%20PILE%20-%203249-ZZ-RP-006\REV-2" TargetMode="External"/><Relationship Id="rId36" Type="http://schemas.openxmlformats.org/officeDocument/2006/relationships/printerSettings" Target="../printerSettings/printerSettings2.bin"/><Relationship Id="rId10" Type="http://schemas.openxmlformats.org/officeDocument/2006/relationships/hyperlink" Target="..\..\DOCUMENTS\NAVAL%20MARINE\MOORING%20ANALYSIS\JACKET,%20DECKAND%20PILE%20INSTAL.%20AT%20BH%20-%203249-ZZ-RP-004\REV-1" TargetMode="External"/><Relationship Id="rId19" Type="http://schemas.openxmlformats.org/officeDocument/2006/relationships/hyperlink" Target="..\..\DOCUMENTS\NAVAL%20MARINE\MOORING%20ANALYSIS\RISER%20INSTALL.%20AT%20BCPA-2%20-%203249-ZZ-RP-003\REV-2" TargetMode="External"/><Relationship Id="rId31" Type="http://schemas.openxmlformats.org/officeDocument/2006/relationships/hyperlink" Target="..\..\DOCUMENTS\NAVAL%20MARINE\MOORING%20ANALYSIS\INSTALLATION%20OF%20BLQ-3%20JACKET%20AND%20PILE%20-%203249-ZZ-RP-007\REV-0\CRS%20-" TargetMode="External"/><Relationship Id="rId4" Type="http://schemas.openxmlformats.org/officeDocument/2006/relationships/hyperlink" Target="..\..\DOCUMENTS\NAVAL%20MARINE\MOORING%20ANALYSIS\JACKET,%20DECKAND%20PILE%20INSTAL.%20AT%20BH%20-%203249-ZZ-RP-004\REV-0" TargetMode="External"/><Relationship Id="rId9" Type="http://schemas.openxmlformats.org/officeDocument/2006/relationships/hyperlink" Target="..\..\DOCUMENTS\NAVAL%20MARINE\MOORING%20ANALYSIS\BCPA-3%20-%20JACKET%20AND%20PILE%20-%203249-ZZ-RP-006\REV-0" TargetMode="External"/><Relationship Id="rId14" Type="http://schemas.openxmlformats.org/officeDocument/2006/relationships/hyperlink" Target="..\..\DOCUMENTS\NAVAL%20MARINE\MOORING%20ANALYSIS\JACKET,%20DECKAND%20PILE%20INSTAL.%20AT%20BH%20-%203249-ZZ-RP-004\REV-1\MWS" TargetMode="External"/><Relationship Id="rId22" Type="http://schemas.openxmlformats.org/officeDocument/2006/relationships/hyperlink" Target="..\..\DOCUMENTS\NAVAL%20MARINE\MOORING%20ANALYSIS\RISER%20INSTALL.%20AT%20BCPA-2%20-%203249-ZZ-RP-003\REV-1\COMMENTS\MWS" TargetMode="External"/><Relationship Id="rId27" Type="http://schemas.openxmlformats.org/officeDocument/2006/relationships/hyperlink" Target="..\..\DOCUMENTS\NAVAL%20MARINE\MOORING%20ANALYSIS\RISER%20INSTALL.%20AT%20BCPA-2%20-%203249-ZZ-RP-003\REV-4" TargetMode="External"/><Relationship Id="rId30" Type="http://schemas.openxmlformats.org/officeDocument/2006/relationships/hyperlink" Target="..\..\DOCUMENTS\NAVAL%20MARINE\MOORING%20ANALYSIS\INSTALLATION%20OF%20BLQ-3%20JACKET%20AND%20PILE%20-%203249-ZZ-RP-007\REV-0\COMMENTS\MWS" TargetMode="External"/><Relationship Id="rId35" Type="http://schemas.openxmlformats.org/officeDocument/2006/relationships/hyperlink" Target="..\..\DOCUMENTS\NAVAL%20MARINE\MOORING%20ANALYSIS\INSTALLATION%20OF%20BLQ-3%20JACKET%20AND%20PILE%20-%203249-ZZ-RP-007\REV-1\COMMENTS\CR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\..\DRAWINGS\3249-NN-005\REV-0" TargetMode="External"/><Relationship Id="rId13" Type="http://schemas.openxmlformats.org/officeDocument/2006/relationships/hyperlink" Target="..\..\DRAWINGS\3249-NN-003\REV-0\COMMENTS\LTHE" TargetMode="External"/><Relationship Id="rId18" Type="http://schemas.openxmlformats.org/officeDocument/2006/relationships/hyperlink" Target="..\..\DRAWINGS\3249-NN-010\REV-0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..\..\DRAWINGS\3249-NN-003\REV-0" TargetMode="External"/><Relationship Id="rId21" Type="http://schemas.openxmlformats.org/officeDocument/2006/relationships/hyperlink" Target="..\..\DRAWINGS\3249-NN-016\REV-1" TargetMode="External"/><Relationship Id="rId7" Type="http://schemas.openxmlformats.org/officeDocument/2006/relationships/hyperlink" Target="..\..\DRAWINGS\3249-NN-022\REV-0" TargetMode="External"/><Relationship Id="rId12" Type="http://schemas.openxmlformats.org/officeDocument/2006/relationships/hyperlink" Target="..\..\DRAWINGS\3249-NN-002\COMMENTS\LTHE" TargetMode="External"/><Relationship Id="rId17" Type="http://schemas.openxmlformats.org/officeDocument/2006/relationships/hyperlink" Target="..\..\DRAWINGS\3249-NN-009\REV-0" TargetMode="External"/><Relationship Id="rId25" Type="http://schemas.openxmlformats.org/officeDocument/2006/relationships/hyperlink" Target="..\..\DRAWINGS\3249-NN-018\REV-0" TargetMode="External"/><Relationship Id="rId2" Type="http://schemas.openxmlformats.org/officeDocument/2006/relationships/hyperlink" Target="..\..\DRAWINGS\3249-NN-002\REV-0" TargetMode="External"/><Relationship Id="rId16" Type="http://schemas.openxmlformats.org/officeDocument/2006/relationships/hyperlink" Target="..\..\DRAWINGS\3249-NN-007\REV-0" TargetMode="External"/><Relationship Id="rId20" Type="http://schemas.openxmlformats.org/officeDocument/2006/relationships/hyperlink" Target="..\..\DRAWINGS\3249-NN-016\REV-0" TargetMode="External"/><Relationship Id="rId1" Type="http://schemas.openxmlformats.org/officeDocument/2006/relationships/hyperlink" Target="..\..\DRAWINGS\3249-NN-001\REV-0" TargetMode="External"/><Relationship Id="rId6" Type="http://schemas.openxmlformats.org/officeDocument/2006/relationships/hyperlink" Target="..\..\DRAWINGS\3249-NN-021\REV-0" TargetMode="External"/><Relationship Id="rId11" Type="http://schemas.openxmlformats.org/officeDocument/2006/relationships/hyperlink" Target="..\..\DRAWINGS\3249-NN-001\REV-0\COMMENTS\LTHE" TargetMode="External"/><Relationship Id="rId24" Type="http://schemas.openxmlformats.org/officeDocument/2006/relationships/hyperlink" Target="..\..\DRAWINGS\3249-NN-017" TargetMode="External"/><Relationship Id="rId5" Type="http://schemas.openxmlformats.org/officeDocument/2006/relationships/hyperlink" Target="..\..\DRAWINGS\3249-NN-020\REV-0" TargetMode="External"/><Relationship Id="rId15" Type="http://schemas.openxmlformats.org/officeDocument/2006/relationships/hyperlink" Target="..\..\DRAWINGS\3249-NN-026\REV-0" TargetMode="External"/><Relationship Id="rId23" Type="http://schemas.openxmlformats.org/officeDocument/2006/relationships/hyperlink" Target="..\..\DRAWINGS\3249-NN-015\REV-1" TargetMode="External"/><Relationship Id="rId10" Type="http://schemas.openxmlformats.org/officeDocument/2006/relationships/hyperlink" Target="..\..\DRAWINGS\3249-NN-003\REV-1" TargetMode="External"/><Relationship Id="rId19" Type="http://schemas.openxmlformats.org/officeDocument/2006/relationships/hyperlink" Target="..\..\DRAWINGS\3249-NN-025\REV-0" TargetMode="External"/><Relationship Id="rId4" Type="http://schemas.openxmlformats.org/officeDocument/2006/relationships/hyperlink" Target="..\..\DRAWINGS\3249-NN-004\REV-0" TargetMode="External"/><Relationship Id="rId9" Type="http://schemas.openxmlformats.org/officeDocument/2006/relationships/hyperlink" Target="..\..\DRAWINGS\3249-NN-006\REV-0" TargetMode="External"/><Relationship Id="rId14" Type="http://schemas.openxmlformats.org/officeDocument/2006/relationships/hyperlink" Target="..\..\DRAWINGS\3249-NN-004\REV-0\COMMENTS\LTHE" TargetMode="External"/><Relationship Id="rId22" Type="http://schemas.openxmlformats.org/officeDocument/2006/relationships/hyperlink" Target="..\..\DRAWINGS\3249-NN-015\REV-0" TargetMode="External"/><Relationship Id="rId2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Normal="100" zoomScaleSheetLayoutView="100" workbookViewId="0">
      <pane xSplit="6" ySplit="8" topLeftCell="G15" activePane="bottomRight" state="frozen"/>
      <selection pane="topRight" activeCell="I1" sqref="I1"/>
      <selection pane="bottomLeft" activeCell="A9" sqref="A9"/>
      <selection pane="bottomRight" activeCell="H19" sqref="H19"/>
    </sheetView>
  </sheetViews>
  <sheetFormatPr defaultColWidth="10.6640625" defaultRowHeight="12.75" x14ac:dyDescent="0.2"/>
  <cols>
    <col min="1" max="1" width="6.83203125" style="2" customWidth="1"/>
    <col min="2" max="2" width="45.83203125" style="2" customWidth="1"/>
    <col min="3" max="3" width="20.83203125" style="1" customWidth="1"/>
    <col min="4" max="5" width="6.83203125" style="1" customWidth="1"/>
    <col min="6" max="6" width="11.1640625" style="1" customWidth="1"/>
    <col min="7" max="7" width="17.1640625" style="1" customWidth="1"/>
    <col min="8" max="8" width="17" style="1" customWidth="1"/>
    <col min="9" max="9" width="25.1640625" style="2" customWidth="1"/>
    <col min="10" max="10" width="10.83203125" style="4" customWidth="1"/>
    <col min="11" max="11" width="12.83203125" style="2" customWidth="1"/>
    <col min="12" max="12" width="16.6640625" style="4" customWidth="1"/>
    <col min="13" max="13" width="15.1640625" style="33" customWidth="1"/>
    <col min="14" max="15" width="19.5" style="2" customWidth="1"/>
    <col min="16" max="16" width="12.5" style="2" customWidth="1"/>
    <col min="17" max="17" width="19" style="4" customWidth="1"/>
    <col min="18" max="18" width="16.1640625" style="33" customWidth="1"/>
    <col min="19" max="19" width="22.83203125" style="33" customWidth="1"/>
    <col min="20" max="16384" width="10.6640625" style="2"/>
  </cols>
  <sheetData>
    <row r="1" spans="1:19" s="5" customFormat="1" ht="20.100000000000001" customHeight="1" x14ac:dyDescent="0.2">
      <c r="A1" s="37"/>
      <c r="B1" s="38"/>
      <c r="C1" s="96"/>
      <c r="D1" s="97"/>
      <c r="E1" s="97"/>
      <c r="F1" s="97"/>
      <c r="G1" s="97"/>
      <c r="H1" s="97"/>
      <c r="I1" s="97"/>
      <c r="J1" s="97"/>
      <c r="K1" s="97"/>
      <c r="L1" s="97"/>
      <c r="M1" s="98"/>
      <c r="N1" s="99" t="s">
        <v>7</v>
      </c>
      <c r="O1" s="100"/>
      <c r="P1" s="100"/>
      <c r="Q1" s="101"/>
      <c r="R1" s="89"/>
      <c r="S1" s="90"/>
    </row>
    <row r="2" spans="1:19" s="5" customFormat="1" ht="20.100000000000001" customHeight="1" x14ac:dyDescent="0.2">
      <c r="A2" s="39"/>
      <c r="B2" s="40"/>
      <c r="C2" s="91" t="s">
        <v>81</v>
      </c>
      <c r="D2" s="92"/>
      <c r="E2" s="92"/>
      <c r="F2" s="92"/>
      <c r="G2" s="92"/>
      <c r="H2" s="92"/>
      <c r="I2" s="92"/>
      <c r="J2" s="92"/>
      <c r="K2" s="92"/>
      <c r="L2" s="92"/>
      <c r="M2" s="93"/>
      <c r="N2" s="102" t="s">
        <v>47</v>
      </c>
      <c r="O2" s="103"/>
      <c r="P2" s="103"/>
      <c r="Q2" s="104"/>
      <c r="R2" s="94"/>
      <c r="S2" s="95"/>
    </row>
    <row r="3" spans="1:19" s="5" customFormat="1" ht="20.100000000000001" customHeight="1" x14ac:dyDescent="0.2">
      <c r="A3" s="39"/>
      <c r="B3" s="40"/>
      <c r="C3" s="91" t="s">
        <v>24</v>
      </c>
      <c r="D3" s="92"/>
      <c r="E3" s="92"/>
      <c r="F3" s="92"/>
      <c r="G3" s="92"/>
      <c r="H3" s="92"/>
      <c r="I3" s="92"/>
      <c r="J3" s="92"/>
      <c r="K3" s="92"/>
      <c r="L3" s="92"/>
      <c r="M3" s="93"/>
      <c r="N3" s="114" t="s">
        <v>9</v>
      </c>
      <c r="O3" s="115"/>
      <c r="P3" s="115"/>
      <c r="Q3" s="116"/>
      <c r="R3" s="94">
        <v>0</v>
      </c>
      <c r="S3" s="95"/>
    </row>
    <row r="4" spans="1:19" s="5" customFormat="1" ht="20.100000000000001" customHeight="1" thickBot="1" x14ac:dyDescent="0.25">
      <c r="A4" s="39"/>
      <c r="B4" s="40"/>
      <c r="C4" s="110" t="s">
        <v>82</v>
      </c>
      <c r="D4" s="111"/>
      <c r="E4" s="111"/>
      <c r="F4" s="111"/>
      <c r="G4" s="111"/>
      <c r="H4" s="111"/>
      <c r="I4" s="111"/>
      <c r="J4" s="111"/>
      <c r="K4" s="111"/>
      <c r="L4" s="111"/>
      <c r="M4" s="112"/>
      <c r="N4" s="121" t="s">
        <v>8</v>
      </c>
      <c r="O4" s="122"/>
      <c r="P4" s="122"/>
      <c r="Q4" s="123"/>
      <c r="R4" s="108">
        <v>42662</v>
      </c>
      <c r="S4" s="109"/>
    </row>
    <row r="5" spans="1:19" s="8" customFormat="1" ht="15" customHeight="1" x14ac:dyDescent="0.2">
      <c r="A5" s="139" t="s">
        <v>0</v>
      </c>
      <c r="B5" s="142" t="s">
        <v>1</v>
      </c>
      <c r="C5" s="124" t="s">
        <v>14</v>
      </c>
      <c r="D5" s="124" t="s">
        <v>13</v>
      </c>
      <c r="E5" s="124" t="s">
        <v>15</v>
      </c>
      <c r="F5" s="124" t="s">
        <v>11</v>
      </c>
      <c r="G5" s="127" t="s">
        <v>12</v>
      </c>
      <c r="H5" s="128"/>
      <c r="I5" s="128"/>
      <c r="J5" s="129"/>
      <c r="K5" s="113" t="s">
        <v>44</v>
      </c>
      <c r="L5" s="113"/>
      <c r="M5" s="113"/>
      <c r="N5" s="113" t="s">
        <v>16</v>
      </c>
      <c r="O5" s="113"/>
      <c r="P5" s="113"/>
      <c r="Q5" s="113"/>
      <c r="R5" s="113"/>
      <c r="S5" s="130" t="s">
        <v>2</v>
      </c>
    </row>
    <row r="6" spans="1:19" s="8" customFormat="1" ht="24.95" customHeight="1" x14ac:dyDescent="0.2">
      <c r="A6" s="140"/>
      <c r="B6" s="143"/>
      <c r="C6" s="133"/>
      <c r="D6" s="125"/>
      <c r="E6" s="133"/>
      <c r="F6" s="133"/>
      <c r="G6" s="117" t="s">
        <v>4</v>
      </c>
      <c r="H6" s="119"/>
      <c r="I6" s="119"/>
      <c r="J6" s="118"/>
      <c r="K6" s="135" t="s">
        <v>5</v>
      </c>
      <c r="L6" s="135"/>
      <c r="M6" s="135"/>
      <c r="N6" s="107" t="s">
        <v>4</v>
      </c>
      <c r="O6" s="107"/>
      <c r="P6" s="105" t="s">
        <v>5</v>
      </c>
      <c r="Q6" s="105"/>
      <c r="R6" s="106"/>
      <c r="S6" s="131"/>
    </row>
    <row r="7" spans="1:19" s="8" customFormat="1" ht="24.95" customHeight="1" x14ac:dyDescent="0.2">
      <c r="A7" s="140"/>
      <c r="B7" s="143"/>
      <c r="C7" s="133"/>
      <c r="D7" s="125"/>
      <c r="E7" s="133"/>
      <c r="F7" s="133"/>
      <c r="G7" s="117" t="s">
        <v>17</v>
      </c>
      <c r="H7" s="118"/>
      <c r="I7" s="119" t="s">
        <v>43</v>
      </c>
      <c r="J7" s="118"/>
      <c r="K7" s="120" t="s">
        <v>18</v>
      </c>
      <c r="L7" s="105"/>
      <c r="M7" s="106"/>
      <c r="N7" s="107" t="s">
        <v>167</v>
      </c>
      <c r="O7" s="107"/>
      <c r="P7" s="107" t="s">
        <v>168</v>
      </c>
      <c r="Q7" s="107"/>
      <c r="R7" s="107"/>
      <c r="S7" s="131"/>
    </row>
    <row r="8" spans="1:19" s="8" customFormat="1" ht="15" customHeight="1" thickBot="1" x14ac:dyDescent="0.25">
      <c r="A8" s="141"/>
      <c r="B8" s="144"/>
      <c r="C8" s="134"/>
      <c r="D8" s="126"/>
      <c r="E8" s="134"/>
      <c r="F8" s="134"/>
      <c r="G8" s="41" t="s">
        <v>3</v>
      </c>
      <c r="H8" s="42" t="s">
        <v>6</v>
      </c>
      <c r="I8" s="41" t="s">
        <v>6</v>
      </c>
      <c r="J8" s="42" t="s">
        <v>3</v>
      </c>
      <c r="K8" s="41" t="s">
        <v>3</v>
      </c>
      <c r="L8" s="42" t="s">
        <v>6</v>
      </c>
      <c r="M8" s="41" t="s">
        <v>10</v>
      </c>
      <c r="N8" s="43" t="s">
        <v>3</v>
      </c>
      <c r="O8" s="42" t="s">
        <v>6</v>
      </c>
      <c r="P8" s="43" t="s">
        <v>3</v>
      </c>
      <c r="Q8" s="42" t="s">
        <v>6</v>
      </c>
      <c r="R8" s="41" t="s">
        <v>10</v>
      </c>
      <c r="S8" s="132"/>
    </row>
    <row r="9" spans="1:19" s="3" customFormat="1" ht="24.95" customHeight="1" x14ac:dyDescent="0.2">
      <c r="A9" s="136">
        <v>1</v>
      </c>
      <c r="B9" s="137" t="s">
        <v>21</v>
      </c>
      <c r="C9" s="138" t="s">
        <v>83</v>
      </c>
      <c r="D9" s="53">
        <v>0</v>
      </c>
      <c r="E9" s="18">
        <v>2</v>
      </c>
      <c r="F9" s="13">
        <v>42658</v>
      </c>
      <c r="G9" s="13">
        <v>42676</v>
      </c>
      <c r="H9" s="17" t="s">
        <v>121</v>
      </c>
      <c r="I9" s="17" t="s">
        <v>123</v>
      </c>
      <c r="J9" s="13">
        <v>42677</v>
      </c>
      <c r="K9" s="13">
        <v>42712</v>
      </c>
      <c r="L9" s="73" t="s">
        <v>160</v>
      </c>
      <c r="M9" s="31"/>
      <c r="N9" s="74"/>
      <c r="O9" s="78"/>
      <c r="P9" s="74">
        <v>42710</v>
      </c>
      <c r="Q9" s="78" t="s">
        <v>169</v>
      </c>
      <c r="R9" s="34"/>
      <c r="S9" s="35"/>
    </row>
    <row r="10" spans="1:19" s="3" customFormat="1" ht="24.95" customHeight="1" x14ac:dyDescent="0.2">
      <c r="A10" s="84"/>
      <c r="B10" s="86"/>
      <c r="C10" s="88"/>
      <c r="D10" s="53">
        <v>1</v>
      </c>
      <c r="E10" s="18">
        <v>2</v>
      </c>
      <c r="F10" s="13"/>
      <c r="G10" s="13">
        <v>42716</v>
      </c>
      <c r="H10" s="17" t="s">
        <v>171</v>
      </c>
      <c r="I10" s="13" t="s">
        <v>173</v>
      </c>
      <c r="J10" s="13">
        <v>42717</v>
      </c>
      <c r="K10" s="13"/>
      <c r="L10" s="73"/>
      <c r="M10" s="76"/>
      <c r="N10" s="74"/>
      <c r="O10" s="75"/>
      <c r="P10" s="28"/>
      <c r="Q10" s="19"/>
      <c r="R10" s="34"/>
      <c r="S10" s="77"/>
    </row>
    <row r="11" spans="1:19" s="3" customFormat="1" ht="24.95" customHeight="1" x14ac:dyDescent="0.2">
      <c r="A11" s="83">
        <f>A9+1</f>
        <v>2</v>
      </c>
      <c r="B11" s="85" t="s">
        <v>22</v>
      </c>
      <c r="C11" s="87" t="s">
        <v>84</v>
      </c>
      <c r="D11" s="53">
        <v>0</v>
      </c>
      <c r="E11" s="18">
        <v>2</v>
      </c>
      <c r="F11" s="13">
        <v>42658</v>
      </c>
      <c r="G11" s="13">
        <v>42676</v>
      </c>
      <c r="H11" s="17" t="s">
        <v>121</v>
      </c>
      <c r="I11" s="17" t="s">
        <v>124</v>
      </c>
      <c r="J11" s="13">
        <v>42677</v>
      </c>
      <c r="K11" s="6"/>
      <c r="L11" s="7"/>
      <c r="M11" s="32"/>
      <c r="N11" s="74"/>
      <c r="O11" s="53"/>
      <c r="P11" s="74">
        <v>42709</v>
      </c>
      <c r="Q11" s="53" t="s">
        <v>170</v>
      </c>
      <c r="R11" s="32"/>
      <c r="S11" s="36"/>
    </row>
    <row r="12" spans="1:19" s="3" customFormat="1" ht="24.95" customHeight="1" x14ac:dyDescent="0.2">
      <c r="A12" s="84"/>
      <c r="B12" s="86"/>
      <c r="C12" s="88"/>
      <c r="D12" s="53">
        <v>1</v>
      </c>
      <c r="E12" s="18">
        <v>2</v>
      </c>
      <c r="F12" s="13"/>
      <c r="G12" s="13">
        <v>42712</v>
      </c>
      <c r="H12" s="17" t="s">
        <v>161</v>
      </c>
      <c r="I12" s="13" t="s">
        <v>172</v>
      </c>
      <c r="J12" s="13">
        <v>42717</v>
      </c>
      <c r="K12" s="6"/>
      <c r="L12" s="7"/>
      <c r="M12" s="32"/>
      <c r="N12" s="6"/>
      <c r="O12" s="6"/>
      <c r="P12" s="6"/>
      <c r="Q12" s="7"/>
      <c r="R12" s="32"/>
      <c r="S12" s="36"/>
    </row>
    <row r="13" spans="1:19" s="3" customFormat="1" ht="24.95" customHeight="1" x14ac:dyDescent="0.2">
      <c r="A13" s="9">
        <f>A11+1</f>
        <v>3</v>
      </c>
      <c r="B13" s="22" t="s">
        <v>85</v>
      </c>
      <c r="C13" s="10" t="s">
        <v>86</v>
      </c>
      <c r="D13" s="28">
        <v>0</v>
      </c>
      <c r="E13" s="18">
        <v>2</v>
      </c>
      <c r="F13" s="13">
        <v>42684</v>
      </c>
      <c r="G13" s="13"/>
      <c r="H13" s="13"/>
      <c r="I13" s="14"/>
      <c r="J13" s="15"/>
      <c r="K13" s="6"/>
      <c r="L13" s="7"/>
      <c r="M13" s="32"/>
      <c r="N13" s="6"/>
      <c r="O13" s="6"/>
      <c r="P13" s="6"/>
      <c r="Q13" s="7"/>
      <c r="R13" s="32"/>
      <c r="S13" s="36"/>
    </row>
    <row r="14" spans="1:19" s="3" customFormat="1" ht="30" customHeight="1" x14ac:dyDescent="0.2">
      <c r="A14" s="9">
        <f t="shared" ref="A14:A22" si="0">A13+1</f>
        <v>4</v>
      </c>
      <c r="B14" s="22" t="s">
        <v>23</v>
      </c>
      <c r="C14" s="10" t="s">
        <v>87</v>
      </c>
      <c r="D14" s="79">
        <v>0</v>
      </c>
      <c r="E14" s="18">
        <v>2</v>
      </c>
      <c r="F14" s="13">
        <v>42684</v>
      </c>
      <c r="G14" s="13">
        <v>42709</v>
      </c>
      <c r="H14" s="17" t="s">
        <v>157</v>
      </c>
      <c r="I14" s="56" t="s">
        <v>164</v>
      </c>
      <c r="J14" s="17">
        <v>42712</v>
      </c>
      <c r="K14" s="6"/>
      <c r="L14" s="7"/>
      <c r="M14" s="32"/>
      <c r="N14" s="6"/>
      <c r="O14" s="6"/>
      <c r="P14" s="6"/>
      <c r="Q14" s="7"/>
      <c r="R14" s="32"/>
      <c r="S14" s="36"/>
    </row>
    <row r="15" spans="1:19" s="3" customFormat="1" ht="25.5" customHeight="1" x14ac:dyDescent="0.2">
      <c r="A15" s="9">
        <f t="shared" si="0"/>
        <v>5</v>
      </c>
      <c r="B15" s="22" t="s">
        <v>46</v>
      </c>
      <c r="C15" s="10" t="s">
        <v>88</v>
      </c>
      <c r="D15" s="53">
        <v>0</v>
      </c>
      <c r="E15" s="18">
        <v>2</v>
      </c>
      <c r="F15" s="13">
        <v>42684</v>
      </c>
      <c r="G15" s="13">
        <v>42751</v>
      </c>
      <c r="H15" s="17" t="s">
        <v>193</v>
      </c>
      <c r="I15" s="13" t="s">
        <v>197</v>
      </c>
      <c r="J15" s="13">
        <v>42752</v>
      </c>
      <c r="K15" s="6"/>
      <c r="L15" s="7"/>
      <c r="M15" s="32"/>
      <c r="N15" s="6"/>
      <c r="O15" s="6"/>
      <c r="P15" s="6"/>
      <c r="Q15" s="7"/>
      <c r="R15" s="32"/>
      <c r="S15" s="36"/>
    </row>
    <row r="16" spans="1:19" s="3" customFormat="1" ht="26.25" customHeight="1" x14ac:dyDescent="0.2">
      <c r="A16" s="9">
        <f t="shared" si="0"/>
        <v>6</v>
      </c>
      <c r="B16" s="22" t="s">
        <v>204</v>
      </c>
      <c r="C16" s="10" t="s">
        <v>89</v>
      </c>
      <c r="D16" s="53">
        <v>0</v>
      </c>
      <c r="E16" s="18">
        <v>2</v>
      </c>
      <c r="F16" s="13">
        <v>42684</v>
      </c>
      <c r="G16" s="13">
        <v>42753</v>
      </c>
      <c r="H16" s="17" t="s">
        <v>205</v>
      </c>
      <c r="I16" s="13" t="s">
        <v>208</v>
      </c>
      <c r="J16" s="13">
        <v>42754</v>
      </c>
      <c r="K16" s="6"/>
      <c r="L16" s="7"/>
      <c r="M16" s="32"/>
      <c r="N16" s="6"/>
      <c r="O16" s="6"/>
      <c r="P16" s="6"/>
      <c r="Q16" s="7"/>
      <c r="R16" s="32"/>
      <c r="S16" s="36" t="s">
        <v>203</v>
      </c>
    </row>
    <row r="17" spans="1:20" s="3" customFormat="1" ht="23.25" customHeight="1" x14ac:dyDescent="0.2">
      <c r="A17" s="9">
        <f t="shared" si="0"/>
        <v>7</v>
      </c>
      <c r="B17" s="22" t="s">
        <v>223</v>
      </c>
      <c r="C17" s="10" t="s">
        <v>90</v>
      </c>
      <c r="D17" s="53">
        <v>0</v>
      </c>
      <c r="E17" s="18">
        <v>2</v>
      </c>
      <c r="F17" s="13">
        <v>42684</v>
      </c>
      <c r="G17" s="13">
        <v>42787</v>
      </c>
      <c r="H17" s="17" t="s">
        <v>225</v>
      </c>
      <c r="I17" s="13" t="s">
        <v>228</v>
      </c>
      <c r="J17" s="15">
        <v>42787</v>
      </c>
      <c r="K17" s="6"/>
      <c r="L17" s="7"/>
      <c r="M17" s="32"/>
      <c r="N17" s="6"/>
      <c r="O17" s="6"/>
      <c r="P17" s="6"/>
      <c r="Q17" s="7"/>
      <c r="R17" s="32"/>
      <c r="S17" s="36"/>
    </row>
    <row r="18" spans="1:20" s="3" customFormat="1" ht="23.25" customHeight="1" x14ac:dyDescent="0.2">
      <c r="A18" s="9">
        <f t="shared" si="0"/>
        <v>8</v>
      </c>
      <c r="B18" s="22" t="s">
        <v>42</v>
      </c>
      <c r="C18" s="10" t="s">
        <v>91</v>
      </c>
      <c r="D18" s="10"/>
      <c r="E18" s="14"/>
      <c r="F18" s="13"/>
      <c r="G18" s="13"/>
      <c r="H18" s="13"/>
      <c r="I18" s="14"/>
      <c r="J18" s="15"/>
      <c r="K18" s="6"/>
      <c r="L18" s="7"/>
      <c r="M18" s="32"/>
      <c r="N18" s="6"/>
      <c r="O18" s="6"/>
      <c r="P18" s="6"/>
      <c r="Q18" s="7"/>
      <c r="R18" s="32"/>
      <c r="S18" s="36"/>
    </row>
    <row r="19" spans="1:20" s="3" customFormat="1" ht="21" customHeight="1" x14ac:dyDescent="0.2">
      <c r="A19" s="9">
        <f t="shared" si="0"/>
        <v>9</v>
      </c>
      <c r="B19" s="22" t="s">
        <v>42</v>
      </c>
      <c r="C19" s="10" t="s">
        <v>92</v>
      </c>
      <c r="D19" s="10"/>
      <c r="E19" s="14"/>
      <c r="F19" s="13"/>
      <c r="G19" s="13"/>
      <c r="H19" s="13"/>
      <c r="I19" s="14"/>
      <c r="J19" s="15"/>
      <c r="K19" s="6"/>
      <c r="L19" s="7"/>
      <c r="M19" s="32"/>
      <c r="N19" s="6"/>
      <c r="O19" s="6"/>
      <c r="P19" s="6"/>
      <c r="Q19" s="7"/>
      <c r="R19" s="32"/>
      <c r="S19" s="36"/>
    </row>
    <row r="20" spans="1:20" s="3" customFormat="1" ht="22.5" customHeight="1" x14ac:dyDescent="0.2">
      <c r="A20" s="9">
        <f t="shared" si="0"/>
        <v>10</v>
      </c>
      <c r="B20" s="22" t="s">
        <v>42</v>
      </c>
      <c r="C20" s="10" t="s">
        <v>93</v>
      </c>
      <c r="D20" s="10"/>
      <c r="E20" s="14"/>
      <c r="F20" s="13"/>
      <c r="G20" s="13"/>
      <c r="H20" s="13"/>
      <c r="I20" s="14"/>
      <c r="J20" s="15"/>
      <c r="K20" s="6"/>
      <c r="L20" s="7"/>
      <c r="M20" s="32"/>
      <c r="N20" s="6"/>
      <c r="O20" s="6"/>
      <c r="P20" s="6"/>
      <c r="Q20" s="7"/>
      <c r="R20" s="32"/>
      <c r="S20" s="36"/>
    </row>
    <row r="21" spans="1:20" s="3" customFormat="1" ht="23.25" customHeight="1" x14ac:dyDescent="0.2">
      <c r="A21" s="9">
        <f t="shared" si="0"/>
        <v>11</v>
      </c>
      <c r="B21" s="22" t="s">
        <v>42</v>
      </c>
      <c r="C21" s="10" t="s">
        <v>94</v>
      </c>
      <c r="D21" s="10"/>
      <c r="E21" s="14"/>
      <c r="F21" s="13"/>
      <c r="G21" s="13"/>
      <c r="H21" s="13"/>
      <c r="I21" s="14"/>
      <c r="J21" s="15"/>
      <c r="K21" s="6"/>
      <c r="L21" s="7"/>
      <c r="M21" s="32"/>
      <c r="N21" s="6"/>
      <c r="O21" s="6"/>
      <c r="P21" s="6"/>
      <c r="Q21" s="7"/>
      <c r="R21" s="32"/>
      <c r="S21" s="36"/>
    </row>
    <row r="22" spans="1:20" s="3" customFormat="1" ht="24.95" customHeight="1" x14ac:dyDescent="0.2">
      <c r="A22" s="9">
        <f t="shared" si="0"/>
        <v>12</v>
      </c>
      <c r="B22" s="22"/>
      <c r="C22" s="10"/>
      <c r="D22" s="10"/>
      <c r="E22" s="14"/>
      <c r="F22" s="13"/>
      <c r="G22" s="13"/>
      <c r="H22" s="13"/>
      <c r="I22" s="14"/>
      <c r="J22" s="15"/>
      <c r="K22" s="6"/>
      <c r="L22" s="7"/>
      <c r="M22" s="32"/>
      <c r="N22" s="6"/>
      <c r="O22" s="6"/>
      <c r="P22" s="6"/>
      <c r="Q22" s="7"/>
      <c r="R22" s="32"/>
      <c r="S22" s="36"/>
    </row>
    <row r="25" spans="1:20" s="51" customFormat="1" ht="20.25" customHeight="1" x14ac:dyDescent="0.2">
      <c r="A25" s="51" t="s">
        <v>78</v>
      </c>
      <c r="L25" s="52"/>
      <c r="N25" s="52"/>
      <c r="Q25" s="52"/>
      <c r="T25" s="52"/>
    </row>
    <row r="26" spans="1:20" s="51" customFormat="1" ht="20.25" customHeight="1" x14ac:dyDescent="0.2">
      <c r="A26" s="51" t="s">
        <v>77</v>
      </c>
      <c r="L26" s="52"/>
      <c r="N26" s="52"/>
      <c r="Q26" s="52"/>
      <c r="T26" s="52"/>
    </row>
    <row r="27" spans="1:20" s="51" customFormat="1" ht="20.25" customHeight="1" x14ac:dyDescent="0.2">
      <c r="A27" s="51" t="s">
        <v>76</v>
      </c>
      <c r="L27" s="52"/>
      <c r="N27" s="52"/>
      <c r="Q27" s="52"/>
      <c r="T27" s="52"/>
    </row>
  </sheetData>
  <mergeCells count="37">
    <mergeCell ref="A9:A10"/>
    <mergeCell ref="B9:B10"/>
    <mergeCell ref="C9:C10"/>
    <mergeCell ref="A5:A8"/>
    <mergeCell ref="B5:B8"/>
    <mergeCell ref="C5:C8"/>
    <mergeCell ref="D5:D8"/>
    <mergeCell ref="G5:J5"/>
    <mergeCell ref="S5:S8"/>
    <mergeCell ref="N7:O7"/>
    <mergeCell ref="P7:R7"/>
    <mergeCell ref="K5:M5"/>
    <mergeCell ref="E5:E8"/>
    <mergeCell ref="F5:F8"/>
    <mergeCell ref="K6:M6"/>
    <mergeCell ref="G6:J6"/>
    <mergeCell ref="N3:Q3"/>
    <mergeCell ref="G7:H7"/>
    <mergeCell ref="I7:J7"/>
    <mergeCell ref="K7:M7"/>
    <mergeCell ref="N4:Q4"/>
    <mergeCell ref="A11:A12"/>
    <mergeCell ref="B11:B12"/>
    <mergeCell ref="C11:C12"/>
    <mergeCell ref="R1:S1"/>
    <mergeCell ref="C2:M2"/>
    <mergeCell ref="R2:S2"/>
    <mergeCell ref="C1:M1"/>
    <mergeCell ref="N1:Q1"/>
    <mergeCell ref="N2:Q2"/>
    <mergeCell ref="P6:R6"/>
    <mergeCell ref="N6:O6"/>
    <mergeCell ref="C3:M3"/>
    <mergeCell ref="R4:S4"/>
    <mergeCell ref="R3:S3"/>
    <mergeCell ref="C4:M4"/>
    <mergeCell ref="N5:R5"/>
  </mergeCells>
  <hyperlinks>
    <hyperlink ref="D9" r:id="rId1" display="..\..\DOCUMENTS\PIPELINE AND CABLE\PIPELAY ANALYSIS\3249-NN-RP-001 PL REPORT FOR 8 in OIl PL FROM BH to BCPA-2\Rev 0"/>
    <hyperlink ref="D11" r:id="rId2" display="..\..\DOCUMENTS\PIPELINE AND CABLE\PIPELAY ANALYSIS\3249-NN-RP-002 PL REPORT FOR 14 in GAS FROM BH to BCPA-3\Rev 0"/>
    <hyperlink ref="L9" r:id="rId3"/>
    <hyperlink ref="D12" r:id="rId4" display="..\..\DOCUMENTS\PIPELINE AND CABLE\PIPELAY ANALYSIS\3249-NN-RP-002 PL REPORT FOR 14 in GAS FROM BH to BCPA-3\Rev 1"/>
    <hyperlink ref="D10" r:id="rId5" display="..\..\DOCUMENTS\PIPELINE AND CABLE\PIPELAY ANALYSIS\3249-NN-RP-001 PL REPORT FOR 8 in OIl PL FROM BH to BCPA-2\Rev 1"/>
    <hyperlink ref="Q9" r:id="rId6"/>
    <hyperlink ref="Q11" r:id="rId7"/>
    <hyperlink ref="D15" r:id="rId8" display="..\..\DOCUMENTS\PIPELINE AND CABLE\PIPELAY ANALYSIS\3249-NN-RP-005 SPOLL LIFT 8 in BH to BCPA-2"/>
    <hyperlink ref="D14" r:id="rId9" display="..\..\DOCUMENTS\PIPELINE AND CABLE\RISER LIFT ANALYSIS REPORTS\8IN OIL PL BH TO BCPA-2 - 3249-NN-RP-004"/>
    <hyperlink ref="D16" r:id="rId10" display="..\..\DOCUMENTS\PIPELINE AND CABLE\PIPELAY ANALYSIS\3249-NN-RP-006 SPOLL LIFT 14 in BH to BCPA-3"/>
    <hyperlink ref="D17" r:id="rId11" display="..\..\DOCUMENTS\PIPELINE AND CABLE\RISER LIFT ANALYSIS REPORTS\14IN WF GAS PL BH TO BCPA-3 - 3249-NN-RP-007\REV-0"/>
  </hyperlinks>
  <printOptions horizontalCentered="1"/>
  <pageMargins left="0.25" right="0.25" top="0.5" bottom="0.5" header="0.25" footer="0.25"/>
  <pageSetup paperSize="9" scale="65" orientation="landscape" r:id="rId12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"/>
  <sheetViews>
    <sheetView tabSelected="1" zoomScaleNormal="100" workbookViewId="0">
      <pane xSplit="6" ySplit="8" topLeftCell="G27" activePane="bottomRight" state="frozen"/>
      <selection pane="topRight" activeCell="I1" sqref="I1"/>
      <selection pane="bottomLeft" activeCell="A9" sqref="A9"/>
      <selection pane="bottomRight" activeCell="H31" sqref="H31"/>
    </sheetView>
  </sheetViews>
  <sheetFormatPr defaultColWidth="10.6640625" defaultRowHeight="12.75" x14ac:dyDescent="0.2"/>
  <cols>
    <col min="1" max="1" width="6.83203125" style="2" customWidth="1"/>
    <col min="2" max="2" width="49.33203125" style="2" customWidth="1"/>
    <col min="3" max="3" width="19" style="1" customWidth="1"/>
    <col min="4" max="5" width="6.83203125" style="1" customWidth="1"/>
    <col min="6" max="7" width="12.83203125" style="1" customWidth="1"/>
    <col min="8" max="8" width="15.83203125" style="1" bestFit="1" customWidth="1"/>
    <col min="9" max="9" width="11.1640625" style="2" customWidth="1"/>
    <col min="10" max="10" width="23" style="4" customWidth="1"/>
    <col min="11" max="11" width="11.1640625" style="2" customWidth="1"/>
    <col min="12" max="12" width="14.33203125" style="4" customWidth="1"/>
    <col min="13" max="13" width="6.83203125" style="2" customWidth="1"/>
    <col min="14" max="15" width="8.83203125" style="2" customWidth="1"/>
    <col min="16" max="16" width="11.6640625" style="2" customWidth="1"/>
    <col min="17" max="17" width="16.83203125" style="4" customWidth="1"/>
    <col min="18" max="18" width="12.83203125" style="2" customWidth="1"/>
    <col min="19" max="19" width="22.83203125" style="2" customWidth="1"/>
    <col min="20" max="16384" width="10.6640625" style="2"/>
  </cols>
  <sheetData>
    <row r="1" spans="1:19" s="5" customFormat="1" ht="20.100000000000001" customHeight="1" x14ac:dyDescent="0.2">
      <c r="A1" s="37"/>
      <c r="B1" s="38"/>
      <c r="C1" s="96"/>
      <c r="D1" s="97"/>
      <c r="E1" s="97"/>
      <c r="F1" s="97"/>
      <c r="G1" s="97"/>
      <c r="H1" s="97"/>
      <c r="I1" s="97"/>
      <c r="J1" s="97"/>
      <c r="K1" s="97"/>
      <c r="L1" s="97"/>
      <c r="M1" s="98"/>
      <c r="N1" s="99" t="s">
        <v>7</v>
      </c>
      <c r="O1" s="100"/>
      <c r="P1" s="100"/>
      <c r="Q1" s="101"/>
      <c r="R1" s="89"/>
      <c r="S1" s="90"/>
    </row>
    <row r="2" spans="1:19" s="5" customFormat="1" ht="20.100000000000001" customHeight="1" x14ac:dyDescent="0.2">
      <c r="A2" s="39"/>
      <c r="B2" s="40"/>
      <c r="C2" s="91" t="s">
        <v>81</v>
      </c>
      <c r="D2" s="92"/>
      <c r="E2" s="92"/>
      <c r="F2" s="92"/>
      <c r="G2" s="92"/>
      <c r="H2" s="92"/>
      <c r="I2" s="92"/>
      <c r="J2" s="92"/>
      <c r="K2" s="92"/>
      <c r="L2" s="92"/>
      <c r="M2" s="93"/>
      <c r="N2" s="102" t="s">
        <v>47</v>
      </c>
      <c r="O2" s="103"/>
      <c r="P2" s="103"/>
      <c r="Q2" s="104"/>
      <c r="R2" s="94"/>
      <c r="S2" s="95"/>
    </row>
    <row r="3" spans="1:19" s="5" customFormat="1" ht="20.100000000000001" customHeight="1" x14ac:dyDescent="0.2">
      <c r="A3" s="39"/>
      <c r="B3" s="40"/>
      <c r="C3" s="91" t="s">
        <v>24</v>
      </c>
      <c r="D3" s="92"/>
      <c r="E3" s="92"/>
      <c r="F3" s="92"/>
      <c r="G3" s="92"/>
      <c r="H3" s="92"/>
      <c r="I3" s="92"/>
      <c r="J3" s="92"/>
      <c r="K3" s="92"/>
      <c r="L3" s="92"/>
      <c r="M3" s="93"/>
      <c r="N3" s="114" t="s">
        <v>9</v>
      </c>
      <c r="O3" s="115"/>
      <c r="P3" s="115"/>
      <c r="Q3" s="116"/>
      <c r="R3" s="94">
        <v>0</v>
      </c>
      <c r="S3" s="95"/>
    </row>
    <row r="4" spans="1:19" s="5" customFormat="1" ht="20.100000000000001" customHeight="1" thickBot="1" x14ac:dyDescent="0.25">
      <c r="A4" s="39"/>
      <c r="B4" s="40"/>
      <c r="C4" s="110" t="s">
        <v>82</v>
      </c>
      <c r="D4" s="111"/>
      <c r="E4" s="111"/>
      <c r="F4" s="111"/>
      <c r="G4" s="111"/>
      <c r="H4" s="111"/>
      <c r="I4" s="111"/>
      <c r="J4" s="111"/>
      <c r="K4" s="111"/>
      <c r="L4" s="111"/>
      <c r="M4" s="112"/>
      <c r="N4" s="121" t="s">
        <v>8</v>
      </c>
      <c r="O4" s="122"/>
      <c r="P4" s="122"/>
      <c r="Q4" s="123"/>
      <c r="R4" s="108">
        <v>42662</v>
      </c>
      <c r="S4" s="109"/>
    </row>
    <row r="5" spans="1:19" s="8" customFormat="1" ht="15" customHeight="1" x14ac:dyDescent="0.2">
      <c r="A5" s="155" t="s">
        <v>0</v>
      </c>
      <c r="B5" s="159" t="s">
        <v>1</v>
      </c>
      <c r="C5" s="113" t="s">
        <v>14</v>
      </c>
      <c r="D5" s="113" t="s">
        <v>13</v>
      </c>
      <c r="E5" s="124" t="s">
        <v>15</v>
      </c>
      <c r="F5" s="113" t="s">
        <v>11</v>
      </c>
      <c r="G5" s="44"/>
      <c r="H5" s="44"/>
      <c r="I5" s="113" t="s">
        <v>12</v>
      </c>
      <c r="J5" s="113"/>
      <c r="K5" s="113" t="s">
        <v>44</v>
      </c>
      <c r="L5" s="113"/>
      <c r="M5" s="113"/>
      <c r="N5" s="113" t="s">
        <v>16</v>
      </c>
      <c r="O5" s="113"/>
      <c r="P5" s="113"/>
      <c r="Q5" s="113"/>
      <c r="R5" s="113"/>
      <c r="S5" s="151" t="s">
        <v>2</v>
      </c>
    </row>
    <row r="6" spans="1:19" s="8" customFormat="1" ht="24.95" customHeight="1" x14ac:dyDescent="0.2">
      <c r="A6" s="156"/>
      <c r="B6" s="160"/>
      <c r="C6" s="163"/>
      <c r="D6" s="107"/>
      <c r="E6" s="133"/>
      <c r="F6" s="163"/>
      <c r="G6" s="117" t="s">
        <v>4</v>
      </c>
      <c r="H6" s="119"/>
      <c r="I6" s="119"/>
      <c r="J6" s="118"/>
      <c r="K6" s="107" t="s">
        <v>5</v>
      </c>
      <c r="L6" s="107"/>
      <c r="M6" s="107"/>
      <c r="N6" s="107" t="s">
        <v>5</v>
      </c>
      <c r="O6" s="107"/>
      <c r="P6" s="107"/>
      <c r="Q6" s="107"/>
      <c r="R6" s="107"/>
      <c r="S6" s="152"/>
    </row>
    <row r="7" spans="1:19" s="8" customFormat="1" ht="24.95" customHeight="1" x14ac:dyDescent="0.2">
      <c r="A7" s="157"/>
      <c r="B7" s="161"/>
      <c r="C7" s="164"/>
      <c r="D7" s="166"/>
      <c r="E7" s="133"/>
      <c r="F7" s="164"/>
      <c r="G7" s="117" t="s">
        <v>17</v>
      </c>
      <c r="H7" s="118"/>
      <c r="I7" s="119" t="s">
        <v>43</v>
      </c>
      <c r="J7" s="118"/>
      <c r="K7" s="120" t="s">
        <v>18</v>
      </c>
      <c r="L7" s="105"/>
      <c r="M7" s="106"/>
      <c r="N7" s="107" t="s">
        <v>19</v>
      </c>
      <c r="O7" s="107"/>
      <c r="P7" s="107" t="s">
        <v>20</v>
      </c>
      <c r="Q7" s="107"/>
      <c r="R7" s="107"/>
      <c r="S7" s="153"/>
    </row>
    <row r="8" spans="1:19" s="8" customFormat="1" ht="15" customHeight="1" thickBot="1" x14ac:dyDescent="0.25">
      <c r="A8" s="158"/>
      <c r="B8" s="162"/>
      <c r="C8" s="165"/>
      <c r="D8" s="167"/>
      <c r="E8" s="134"/>
      <c r="F8" s="165"/>
      <c r="G8" s="41" t="s">
        <v>3</v>
      </c>
      <c r="H8" s="42" t="s">
        <v>6</v>
      </c>
      <c r="I8" s="41" t="s">
        <v>3</v>
      </c>
      <c r="J8" s="42" t="s">
        <v>6</v>
      </c>
      <c r="K8" s="41" t="s">
        <v>3</v>
      </c>
      <c r="L8" s="42" t="s">
        <v>6</v>
      </c>
      <c r="M8" s="41" t="s">
        <v>10</v>
      </c>
      <c r="N8" s="43" t="s">
        <v>3</v>
      </c>
      <c r="O8" s="42" t="s">
        <v>6</v>
      </c>
      <c r="P8" s="43" t="s">
        <v>3</v>
      </c>
      <c r="Q8" s="42" t="s">
        <v>6</v>
      </c>
      <c r="R8" s="41" t="s">
        <v>10</v>
      </c>
      <c r="S8" s="154"/>
    </row>
    <row r="9" spans="1:19" s="3" customFormat="1" ht="33" customHeight="1" x14ac:dyDescent="0.2">
      <c r="A9" s="136">
        <v>1</v>
      </c>
      <c r="B9" s="148" t="s">
        <v>116</v>
      </c>
      <c r="C9" s="138" t="s">
        <v>95</v>
      </c>
      <c r="D9" s="53">
        <v>0</v>
      </c>
      <c r="E9" s="18">
        <v>2</v>
      </c>
      <c r="F9" s="13">
        <v>42663</v>
      </c>
      <c r="G9" s="13">
        <v>42675</v>
      </c>
      <c r="H9" s="17" t="s">
        <v>117</v>
      </c>
      <c r="I9" s="13" t="s">
        <v>126</v>
      </c>
      <c r="J9" s="17" t="s">
        <v>125</v>
      </c>
      <c r="K9" s="59">
        <v>42688</v>
      </c>
      <c r="L9" s="60" t="s">
        <v>136</v>
      </c>
      <c r="M9" s="6">
        <v>2</v>
      </c>
      <c r="N9" s="6"/>
      <c r="O9" s="6"/>
      <c r="P9" s="6"/>
      <c r="Q9" s="7"/>
      <c r="R9" s="6"/>
      <c r="S9" s="16"/>
    </row>
    <row r="10" spans="1:19" s="3" customFormat="1" ht="33" customHeight="1" x14ac:dyDescent="0.2">
      <c r="A10" s="145"/>
      <c r="B10" s="149"/>
      <c r="C10" s="147"/>
      <c r="D10" s="53">
        <v>1</v>
      </c>
      <c r="E10" s="18">
        <v>1</v>
      </c>
      <c r="F10" s="13"/>
      <c r="G10" s="13">
        <v>42689</v>
      </c>
      <c r="H10" s="17" t="s">
        <v>135</v>
      </c>
      <c r="I10" s="13">
        <v>42689</v>
      </c>
      <c r="J10" s="13" t="s">
        <v>137</v>
      </c>
      <c r="K10" s="65"/>
      <c r="L10" s="66"/>
      <c r="M10" s="6"/>
      <c r="N10" s="6"/>
      <c r="O10" s="6"/>
      <c r="P10" s="6"/>
      <c r="Q10" s="7"/>
      <c r="R10" s="6"/>
      <c r="S10" s="16"/>
    </row>
    <row r="11" spans="1:19" s="3" customFormat="1" ht="33" customHeight="1" x14ac:dyDescent="0.2">
      <c r="A11" s="145"/>
      <c r="B11" s="149"/>
      <c r="C11" s="147"/>
      <c r="D11" s="53" t="s">
        <v>149</v>
      </c>
      <c r="E11" s="18">
        <v>2</v>
      </c>
      <c r="F11" s="13"/>
      <c r="G11" s="13">
        <v>42698</v>
      </c>
      <c r="H11" s="17" t="s">
        <v>150</v>
      </c>
      <c r="I11" s="13">
        <v>42698</v>
      </c>
      <c r="J11" s="13" t="s">
        <v>152</v>
      </c>
      <c r="K11" s="13">
        <v>42702</v>
      </c>
      <c r="L11" s="71" t="s">
        <v>136</v>
      </c>
      <c r="M11" s="64"/>
      <c r="N11" s="6"/>
      <c r="O11" s="6"/>
      <c r="P11" s="6"/>
      <c r="Q11" s="7"/>
      <c r="R11" s="6"/>
      <c r="S11" s="16"/>
    </row>
    <row r="12" spans="1:19" s="3" customFormat="1" ht="33" customHeight="1" x14ac:dyDescent="0.2">
      <c r="A12" s="84"/>
      <c r="B12" s="150"/>
      <c r="C12" s="88"/>
      <c r="D12" s="53" t="s">
        <v>149</v>
      </c>
      <c r="E12" s="72">
        <v>2</v>
      </c>
      <c r="F12" s="13"/>
      <c r="G12" s="13">
        <v>42711</v>
      </c>
      <c r="H12" s="17" t="s">
        <v>158</v>
      </c>
      <c r="I12" s="13">
        <v>42712</v>
      </c>
      <c r="J12" s="56" t="s">
        <v>165</v>
      </c>
      <c r="K12" s="17"/>
      <c r="L12" s="71"/>
      <c r="M12" s="64"/>
      <c r="N12" s="6"/>
      <c r="O12" s="6"/>
      <c r="P12" s="59">
        <v>42731</v>
      </c>
      <c r="Q12" s="60" t="s">
        <v>180</v>
      </c>
      <c r="R12" s="6"/>
      <c r="S12" s="16"/>
    </row>
    <row r="13" spans="1:19" s="3" customFormat="1" ht="33" customHeight="1" x14ac:dyDescent="0.2">
      <c r="A13" s="9">
        <f>A9+1</f>
        <v>2</v>
      </c>
      <c r="B13" s="48" t="s">
        <v>25</v>
      </c>
      <c r="C13" s="10" t="s">
        <v>96</v>
      </c>
      <c r="D13" s="10">
        <v>0</v>
      </c>
      <c r="E13" s="18">
        <v>1</v>
      </c>
      <c r="F13" s="54" t="s">
        <v>106</v>
      </c>
      <c r="G13" s="54" t="s">
        <v>118</v>
      </c>
      <c r="H13" s="13"/>
      <c r="I13" s="63"/>
      <c r="J13" s="68"/>
      <c r="K13" s="68"/>
      <c r="L13" s="69"/>
      <c r="M13" s="64"/>
      <c r="N13" s="6"/>
      <c r="O13" s="6"/>
      <c r="P13" s="6"/>
      <c r="Q13" s="7"/>
      <c r="R13" s="6"/>
      <c r="S13" s="36" t="s">
        <v>119</v>
      </c>
    </row>
    <row r="14" spans="1:19" s="3" customFormat="1" ht="33" customHeight="1" x14ac:dyDescent="0.2">
      <c r="A14" s="83">
        <f t="shared" ref="A14:A41" si="0">A13+1</f>
        <v>3</v>
      </c>
      <c r="B14" s="85" t="s">
        <v>141</v>
      </c>
      <c r="C14" s="87" t="s">
        <v>97</v>
      </c>
      <c r="D14" s="80">
        <v>0</v>
      </c>
      <c r="E14" s="18">
        <v>2</v>
      </c>
      <c r="F14" s="13">
        <v>42673</v>
      </c>
      <c r="G14" s="13">
        <v>42691</v>
      </c>
      <c r="H14" s="17" t="s">
        <v>142</v>
      </c>
      <c r="I14" s="13">
        <v>42694</v>
      </c>
      <c r="J14" s="13" t="s">
        <v>147</v>
      </c>
      <c r="K14" s="12"/>
      <c r="L14" s="67"/>
      <c r="M14" s="6"/>
      <c r="N14" s="6"/>
      <c r="O14" s="6"/>
      <c r="P14" s="6"/>
      <c r="Q14" s="7"/>
      <c r="R14" s="6"/>
      <c r="S14" s="16"/>
    </row>
    <row r="15" spans="1:19" s="3" customFormat="1" ht="33" customHeight="1" x14ac:dyDescent="0.2">
      <c r="A15" s="145"/>
      <c r="B15" s="146"/>
      <c r="C15" s="147"/>
      <c r="D15" s="79">
        <v>1</v>
      </c>
      <c r="E15" s="18">
        <v>2</v>
      </c>
      <c r="F15" s="13"/>
      <c r="G15" s="13">
        <v>42731</v>
      </c>
      <c r="H15" s="17" t="s">
        <v>178</v>
      </c>
      <c r="I15" s="13">
        <v>42732</v>
      </c>
      <c r="J15" s="13" t="s">
        <v>182</v>
      </c>
      <c r="K15" s="12"/>
      <c r="L15" s="67"/>
      <c r="M15" s="6"/>
      <c r="N15" s="6"/>
      <c r="O15" s="6"/>
      <c r="P15" s="13">
        <v>42752</v>
      </c>
      <c r="Q15" s="60" t="s">
        <v>200</v>
      </c>
      <c r="R15" s="6"/>
      <c r="S15" s="16"/>
    </row>
    <row r="16" spans="1:19" s="3" customFormat="1" ht="33" customHeight="1" x14ac:dyDescent="0.2">
      <c r="A16" s="145"/>
      <c r="B16" s="146"/>
      <c r="C16" s="147"/>
      <c r="D16" s="80">
        <v>2</v>
      </c>
      <c r="E16" s="18">
        <v>2</v>
      </c>
      <c r="F16" s="13"/>
      <c r="G16" s="13"/>
      <c r="H16" s="17"/>
      <c r="I16" s="13"/>
      <c r="J16" s="81" t="s">
        <v>187</v>
      </c>
      <c r="K16" s="12"/>
      <c r="L16" s="67"/>
      <c r="M16" s="6"/>
      <c r="N16" s="6"/>
      <c r="O16" s="6"/>
      <c r="P16" s="6"/>
      <c r="Q16" s="7"/>
      <c r="R16" s="6"/>
      <c r="S16" s="16"/>
    </row>
    <row r="17" spans="1:19" s="3" customFormat="1" ht="33" customHeight="1" x14ac:dyDescent="0.2">
      <c r="A17" s="145"/>
      <c r="B17" s="146"/>
      <c r="C17" s="147"/>
      <c r="D17" s="79">
        <v>3</v>
      </c>
      <c r="E17" s="18">
        <v>2</v>
      </c>
      <c r="F17" s="13"/>
      <c r="G17" s="13">
        <v>42754</v>
      </c>
      <c r="H17" s="17" t="s">
        <v>206</v>
      </c>
      <c r="I17" s="13">
        <v>42754</v>
      </c>
      <c r="J17" s="13" t="s">
        <v>207</v>
      </c>
      <c r="K17" s="12"/>
      <c r="L17" s="67"/>
      <c r="M17" s="6"/>
      <c r="N17" s="6"/>
      <c r="O17" s="6"/>
      <c r="P17" s="6"/>
      <c r="Q17" s="7"/>
      <c r="R17" s="6"/>
      <c r="S17" s="16"/>
    </row>
    <row r="18" spans="1:19" s="3" customFormat="1" ht="33" customHeight="1" x14ac:dyDescent="0.2">
      <c r="A18" s="145"/>
      <c r="B18" s="146"/>
      <c r="C18" s="147"/>
      <c r="D18" s="80" t="s">
        <v>149</v>
      </c>
      <c r="E18" s="18"/>
      <c r="F18" s="13"/>
      <c r="G18" s="13">
        <v>42758</v>
      </c>
      <c r="H18" s="81" t="s">
        <v>215</v>
      </c>
      <c r="I18" s="13">
        <v>42759</v>
      </c>
      <c r="J18" s="13" t="s">
        <v>216</v>
      </c>
      <c r="K18" s="12"/>
      <c r="L18" s="67"/>
      <c r="M18" s="6"/>
      <c r="N18" s="6"/>
      <c r="O18" s="6"/>
      <c r="P18" s="6"/>
      <c r="Q18" s="7"/>
      <c r="R18" s="6"/>
      <c r="S18" s="16"/>
    </row>
    <row r="19" spans="1:19" s="3" customFormat="1" ht="33" customHeight="1" x14ac:dyDescent="0.2">
      <c r="A19" s="84"/>
      <c r="B19" s="86"/>
      <c r="C19" s="88"/>
      <c r="D19" s="79">
        <v>4</v>
      </c>
      <c r="E19" s="18">
        <v>2</v>
      </c>
      <c r="F19" s="13"/>
      <c r="G19" s="13">
        <v>42764</v>
      </c>
      <c r="H19" s="17" t="s">
        <v>213</v>
      </c>
      <c r="I19" s="13">
        <v>42764</v>
      </c>
      <c r="J19" s="13" t="s">
        <v>214</v>
      </c>
      <c r="K19" s="12"/>
      <c r="L19" s="67"/>
      <c r="M19" s="6"/>
      <c r="N19" s="6"/>
      <c r="O19" s="6"/>
      <c r="P19" s="6"/>
      <c r="Q19" s="7"/>
      <c r="R19" s="6"/>
      <c r="S19" s="16"/>
    </row>
    <row r="20" spans="1:19" s="3" customFormat="1" ht="33" customHeight="1" x14ac:dyDescent="0.2">
      <c r="A20" s="83">
        <f>A14+1</f>
        <v>4</v>
      </c>
      <c r="B20" s="85" t="s">
        <v>138</v>
      </c>
      <c r="C20" s="87" t="s">
        <v>98</v>
      </c>
      <c r="D20" s="53">
        <v>0</v>
      </c>
      <c r="E20" s="18">
        <v>2</v>
      </c>
      <c r="F20" s="13">
        <v>42673</v>
      </c>
      <c r="G20" s="13">
        <v>42690</v>
      </c>
      <c r="H20" s="17" t="s">
        <v>139</v>
      </c>
      <c r="I20" s="13">
        <v>42691</v>
      </c>
      <c r="J20" s="17" t="s">
        <v>143</v>
      </c>
      <c r="K20" s="6"/>
      <c r="L20" s="7"/>
      <c r="M20" s="6"/>
      <c r="N20" s="6"/>
      <c r="O20" s="6"/>
      <c r="P20" s="6"/>
      <c r="Q20" s="7"/>
      <c r="R20" s="6"/>
      <c r="S20" s="16"/>
    </row>
    <row r="21" spans="1:19" s="3" customFormat="1" ht="33" customHeight="1" x14ac:dyDescent="0.2">
      <c r="A21" s="145"/>
      <c r="B21" s="146"/>
      <c r="C21" s="147"/>
      <c r="D21" s="53">
        <v>1</v>
      </c>
      <c r="E21" s="18">
        <v>2</v>
      </c>
      <c r="F21" s="13"/>
      <c r="G21" s="13">
        <v>42719</v>
      </c>
      <c r="H21" s="17" t="s">
        <v>174</v>
      </c>
      <c r="I21" s="13">
        <v>42719</v>
      </c>
      <c r="J21" s="17" t="s">
        <v>175</v>
      </c>
      <c r="K21" s="6"/>
      <c r="L21" s="7"/>
      <c r="M21" s="6"/>
      <c r="N21" s="6"/>
      <c r="O21" s="6"/>
      <c r="P21" s="59">
        <v>42731</v>
      </c>
      <c r="Q21" s="60" t="s">
        <v>179</v>
      </c>
      <c r="R21" s="6"/>
      <c r="S21" s="16"/>
    </row>
    <row r="22" spans="1:19" s="3" customFormat="1" ht="33" customHeight="1" x14ac:dyDescent="0.2">
      <c r="A22" s="145"/>
      <c r="B22" s="146"/>
      <c r="C22" s="147"/>
      <c r="D22" s="53">
        <v>2</v>
      </c>
      <c r="E22" s="18">
        <v>2</v>
      </c>
      <c r="F22" s="13"/>
      <c r="G22" s="13">
        <v>42732</v>
      </c>
      <c r="H22" s="17" t="s">
        <v>181</v>
      </c>
      <c r="I22" s="13">
        <v>42733</v>
      </c>
      <c r="J22" s="17" t="s">
        <v>184</v>
      </c>
      <c r="K22" s="6"/>
      <c r="L22" s="7"/>
      <c r="M22" s="6"/>
      <c r="N22" s="6"/>
      <c r="O22" s="6"/>
      <c r="P22" s="59">
        <v>42738</v>
      </c>
      <c r="Q22" s="60" t="s">
        <v>185</v>
      </c>
      <c r="R22" s="6"/>
      <c r="S22" s="16"/>
    </row>
    <row r="23" spans="1:19" s="3" customFormat="1" ht="33" customHeight="1" x14ac:dyDescent="0.2">
      <c r="A23" s="84"/>
      <c r="B23" s="86"/>
      <c r="C23" s="88"/>
      <c r="D23" s="53" t="s">
        <v>149</v>
      </c>
      <c r="E23" s="18"/>
      <c r="F23" s="13"/>
      <c r="G23" s="13"/>
      <c r="H23" s="17"/>
      <c r="I23" s="13"/>
      <c r="J23" s="17"/>
      <c r="K23" s="6"/>
      <c r="L23" s="7"/>
      <c r="M23" s="6"/>
      <c r="N23" s="6"/>
      <c r="O23" s="6"/>
      <c r="P23" s="59">
        <v>42739</v>
      </c>
      <c r="Q23" s="59" t="s">
        <v>186</v>
      </c>
      <c r="R23" s="6"/>
      <c r="S23" s="16"/>
    </row>
    <row r="24" spans="1:19" s="3" customFormat="1" ht="33" customHeight="1" x14ac:dyDescent="0.2">
      <c r="A24" s="9">
        <f>A20+1</f>
        <v>5</v>
      </c>
      <c r="B24" s="22" t="s">
        <v>41</v>
      </c>
      <c r="C24" s="10" t="s">
        <v>99</v>
      </c>
      <c r="D24" s="10">
        <v>0</v>
      </c>
      <c r="E24" s="18">
        <v>1</v>
      </c>
      <c r="F24" s="13">
        <v>42679</v>
      </c>
      <c r="G24" s="13"/>
      <c r="H24" s="13"/>
      <c r="I24" s="14"/>
      <c r="J24" s="15"/>
      <c r="K24" s="6"/>
      <c r="L24" s="7"/>
      <c r="M24" s="6"/>
      <c r="N24" s="6"/>
      <c r="O24" s="6"/>
      <c r="P24" s="6"/>
      <c r="Q24" s="7"/>
      <c r="R24" s="6"/>
      <c r="S24" s="16"/>
    </row>
    <row r="25" spans="1:19" s="3" customFormat="1" ht="33" customHeight="1" x14ac:dyDescent="0.2">
      <c r="A25" s="83">
        <f t="shared" si="0"/>
        <v>6</v>
      </c>
      <c r="B25" s="85" t="s">
        <v>217</v>
      </c>
      <c r="C25" s="87" t="s">
        <v>100</v>
      </c>
      <c r="D25" s="53">
        <v>0</v>
      </c>
      <c r="E25" s="18">
        <v>1</v>
      </c>
      <c r="F25" s="13">
        <v>42685</v>
      </c>
      <c r="G25" s="13">
        <v>42712</v>
      </c>
      <c r="H25" s="17" t="s">
        <v>159</v>
      </c>
      <c r="I25" s="13">
        <v>42712</v>
      </c>
      <c r="J25" s="56" t="s">
        <v>166</v>
      </c>
      <c r="K25" s="6"/>
      <c r="L25" s="7"/>
      <c r="M25" s="6"/>
      <c r="N25" s="6"/>
      <c r="O25" s="6"/>
      <c r="P25" s="6"/>
      <c r="Q25" s="7"/>
      <c r="R25" s="6"/>
      <c r="S25" s="16"/>
    </row>
    <row r="26" spans="1:19" s="3" customFormat="1" ht="33" customHeight="1" x14ac:dyDescent="0.2">
      <c r="A26" s="145"/>
      <c r="B26" s="146"/>
      <c r="C26" s="147"/>
      <c r="D26" s="53">
        <v>1</v>
      </c>
      <c r="E26" s="18"/>
      <c r="F26" s="13"/>
      <c r="G26" s="13">
        <v>42731</v>
      </c>
      <c r="H26" s="17" t="s">
        <v>178</v>
      </c>
      <c r="I26" s="13">
        <v>42732</v>
      </c>
      <c r="J26" s="13" t="s">
        <v>183</v>
      </c>
      <c r="K26" s="6"/>
      <c r="L26" s="7"/>
      <c r="M26" s="6"/>
      <c r="N26" s="6"/>
      <c r="O26" s="59"/>
      <c r="P26" s="59">
        <v>42754</v>
      </c>
      <c r="Q26" s="82" t="s">
        <v>219</v>
      </c>
      <c r="R26" s="6"/>
      <c r="S26" s="16"/>
    </row>
    <row r="27" spans="1:19" s="3" customFormat="1" ht="33" customHeight="1" x14ac:dyDescent="0.2">
      <c r="A27" s="84"/>
      <c r="B27" s="86"/>
      <c r="C27" s="88"/>
      <c r="D27" s="53">
        <v>2</v>
      </c>
      <c r="E27" s="18"/>
      <c r="F27" s="13"/>
      <c r="G27" s="13">
        <v>42766</v>
      </c>
      <c r="H27" s="17" t="s">
        <v>218</v>
      </c>
      <c r="I27" s="13">
        <v>42767</v>
      </c>
      <c r="J27" s="13" t="s">
        <v>220</v>
      </c>
      <c r="K27" s="6"/>
      <c r="L27" s="7"/>
      <c r="M27" s="6"/>
      <c r="N27" s="6"/>
      <c r="O27" s="6"/>
      <c r="P27" s="6"/>
      <c r="Q27" s="7"/>
      <c r="R27" s="6"/>
      <c r="S27" s="16"/>
    </row>
    <row r="28" spans="1:19" s="3" customFormat="1" ht="33" customHeight="1" x14ac:dyDescent="0.2">
      <c r="A28" s="83">
        <f>A25+1</f>
        <v>7</v>
      </c>
      <c r="B28" s="85" t="s">
        <v>188</v>
      </c>
      <c r="C28" s="87" t="s">
        <v>101</v>
      </c>
      <c r="D28" s="80">
        <v>0</v>
      </c>
      <c r="E28" s="18">
        <v>1</v>
      </c>
      <c r="F28" s="13">
        <v>42689</v>
      </c>
      <c r="G28" s="13">
        <v>42744</v>
      </c>
      <c r="H28" s="17" t="s">
        <v>189</v>
      </c>
      <c r="I28" s="13">
        <v>42746</v>
      </c>
      <c r="J28" s="13" t="s">
        <v>192</v>
      </c>
      <c r="K28" s="6"/>
      <c r="L28" s="7"/>
      <c r="M28" s="6"/>
      <c r="N28" s="6"/>
      <c r="O28" s="6" t="s">
        <v>221</v>
      </c>
      <c r="P28" s="13">
        <v>42773</v>
      </c>
      <c r="Q28" s="60" t="s">
        <v>149</v>
      </c>
      <c r="R28" s="6"/>
      <c r="S28" s="16"/>
    </row>
    <row r="29" spans="1:19" s="3" customFormat="1" ht="33" customHeight="1" x14ac:dyDescent="0.2">
      <c r="A29" s="145"/>
      <c r="B29" s="146"/>
      <c r="C29" s="147"/>
      <c r="D29" s="80" t="s">
        <v>149</v>
      </c>
      <c r="E29" s="18"/>
      <c r="F29" s="13"/>
      <c r="G29" s="13"/>
      <c r="H29" s="81" t="s">
        <v>222</v>
      </c>
      <c r="I29" s="13">
        <v>42787</v>
      </c>
      <c r="J29" s="13" t="s">
        <v>226</v>
      </c>
      <c r="K29" s="13"/>
      <c r="L29" s="7"/>
      <c r="M29" s="6"/>
      <c r="N29" s="6"/>
      <c r="O29" s="6"/>
      <c r="P29" s="13">
        <v>42787</v>
      </c>
      <c r="Q29" s="60" t="s">
        <v>227</v>
      </c>
      <c r="R29" s="6"/>
      <c r="S29" s="16"/>
    </row>
    <row r="30" spans="1:19" s="3" customFormat="1" ht="33" customHeight="1" x14ac:dyDescent="0.2">
      <c r="A30" s="145"/>
      <c r="B30" s="146"/>
      <c r="C30" s="147"/>
      <c r="D30" s="80">
        <v>1</v>
      </c>
      <c r="E30" s="18">
        <v>1</v>
      </c>
      <c r="F30" s="13"/>
      <c r="G30" s="13">
        <v>42789</v>
      </c>
      <c r="H30" s="17" t="s">
        <v>230</v>
      </c>
      <c r="I30" s="13">
        <v>42789</v>
      </c>
      <c r="J30" s="13" t="s">
        <v>231</v>
      </c>
      <c r="K30" s="13"/>
      <c r="L30" s="7"/>
      <c r="M30" s="6"/>
      <c r="N30" s="6"/>
      <c r="O30" s="6"/>
      <c r="P30" s="13">
        <v>42792</v>
      </c>
      <c r="Q30" s="60" t="s">
        <v>232</v>
      </c>
      <c r="R30" s="6"/>
      <c r="S30" s="16"/>
    </row>
    <row r="31" spans="1:19" s="3" customFormat="1" ht="33" customHeight="1" x14ac:dyDescent="0.2">
      <c r="A31" s="84"/>
      <c r="B31" s="86"/>
      <c r="C31" s="88"/>
      <c r="D31" s="80" t="s">
        <v>149</v>
      </c>
      <c r="E31" s="18"/>
      <c r="F31" s="13"/>
      <c r="G31" s="13"/>
      <c r="H31" s="81" t="s">
        <v>233</v>
      </c>
      <c r="I31" s="13"/>
      <c r="J31" s="13"/>
      <c r="K31" s="13"/>
      <c r="L31" s="7"/>
      <c r="M31" s="6"/>
      <c r="N31" s="6"/>
      <c r="O31" s="6"/>
      <c r="P31" s="13"/>
      <c r="Q31" s="60"/>
      <c r="R31" s="6"/>
      <c r="S31" s="16"/>
    </row>
    <row r="32" spans="1:19" s="3" customFormat="1" ht="33" customHeight="1" x14ac:dyDescent="0.2">
      <c r="A32" s="9">
        <f>A28+1</f>
        <v>8</v>
      </c>
      <c r="B32" s="22" t="s">
        <v>190</v>
      </c>
      <c r="C32" s="10" t="s">
        <v>102</v>
      </c>
      <c r="D32" s="79">
        <v>0</v>
      </c>
      <c r="E32" s="18">
        <v>1</v>
      </c>
      <c r="F32" s="13">
        <v>42689</v>
      </c>
      <c r="G32" s="13">
        <v>42750</v>
      </c>
      <c r="H32" s="17" t="s">
        <v>191</v>
      </c>
      <c r="I32" s="13">
        <v>42750</v>
      </c>
      <c r="J32" s="13" t="s">
        <v>196</v>
      </c>
      <c r="K32" s="6"/>
      <c r="L32" s="7"/>
      <c r="M32" s="6"/>
      <c r="N32" s="6"/>
      <c r="O32" s="6"/>
      <c r="P32" s="6"/>
      <c r="Q32" s="7"/>
      <c r="R32" s="6"/>
      <c r="S32" s="16"/>
    </row>
    <row r="33" spans="1:20" s="3" customFormat="1" ht="33" customHeight="1" x14ac:dyDescent="0.2">
      <c r="A33" s="9">
        <f t="shared" si="0"/>
        <v>9</v>
      </c>
      <c r="B33" s="22" t="s">
        <v>195</v>
      </c>
      <c r="C33" s="10" t="s">
        <v>103</v>
      </c>
      <c r="D33" s="79">
        <v>0</v>
      </c>
      <c r="E33" s="18">
        <v>1</v>
      </c>
      <c r="F33" s="13">
        <v>42694</v>
      </c>
      <c r="G33" s="13">
        <v>42751</v>
      </c>
      <c r="H33" s="17" t="s">
        <v>194</v>
      </c>
      <c r="I33" s="13">
        <v>42752</v>
      </c>
      <c r="J33" s="13" t="s">
        <v>199</v>
      </c>
      <c r="K33" s="6"/>
      <c r="L33" s="7"/>
      <c r="M33" s="6"/>
      <c r="N33" s="6"/>
      <c r="O33" s="6"/>
      <c r="P33" s="6"/>
      <c r="Q33" s="7"/>
      <c r="R33" s="6"/>
      <c r="S33" s="16"/>
    </row>
    <row r="34" spans="1:20" s="3" customFormat="1" ht="33" customHeight="1" x14ac:dyDescent="0.2">
      <c r="A34" s="9">
        <f t="shared" si="0"/>
        <v>10</v>
      </c>
      <c r="B34" s="22" t="s">
        <v>104</v>
      </c>
      <c r="C34" s="10" t="s">
        <v>105</v>
      </c>
      <c r="D34" s="10">
        <v>0</v>
      </c>
      <c r="E34" s="18">
        <v>1</v>
      </c>
      <c r="F34" s="13">
        <v>42697</v>
      </c>
      <c r="G34" s="13"/>
      <c r="H34" s="13"/>
      <c r="I34" s="14"/>
      <c r="J34" s="15"/>
      <c r="K34" s="6"/>
      <c r="L34" s="7"/>
      <c r="M34" s="6"/>
      <c r="N34" s="6"/>
      <c r="O34" s="6"/>
      <c r="P34" s="6"/>
      <c r="Q34" s="7"/>
      <c r="R34" s="6"/>
      <c r="S34" s="16"/>
    </row>
    <row r="35" spans="1:20" s="3" customFormat="1" ht="33" customHeight="1" x14ac:dyDescent="0.2">
      <c r="A35" s="9">
        <f t="shared" si="0"/>
        <v>11</v>
      </c>
      <c r="B35" s="22" t="s">
        <v>106</v>
      </c>
      <c r="C35" s="10" t="s">
        <v>107</v>
      </c>
      <c r="D35" s="10"/>
      <c r="E35" s="18"/>
      <c r="F35" s="13"/>
      <c r="G35" s="13"/>
      <c r="H35" s="13"/>
      <c r="I35" s="14"/>
      <c r="J35" s="15"/>
      <c r="K35" s="6"/>
      <c r="L35" s="7"/>
      <c r="M35" s="6"/>
      <c r="N35" s="6"/>
      <c r="O35" s="6"/>
      <c r="P35" s="6"/>
      <c r="Q35" s="7"/>
      <c r="R35" s="6"/>
      <c r="S35" s="16"/>
    </row>
    <row r="36" spans="1:20" s="3" customFormat="1" ht="33" customHeight="1" x14ac:dyDescent="0.2">
      <c r="A36" s="9">
        <f t="shared" si="0"/>
        <v>12</v>
      </c>
      <c r="B36" s="48" t="s">
        <v>210</v>
      </c>
      <c r="C36" s="10" t="s">
        <v>108</v>
      </c>
      <c r="D36" s="53">
        <v>0</v>
      </c>
      <c r="E36" s="18">
        <v>1</v>
      </c>
      <c r="F36" s="13">
        <v>42699</v>
      </c>
      <c r="G36" s="13">
        <v>42760</v>
      </c>
      <c r="H36" s="17" t="s">
        <v>211</v>
      </c>
      <c r="I36" s="13">
        <v>42761</v>
      </c>
      <c r="J36" s="13" t="s">
        <v>212</v>
      </c>
      <c r="K36" s="6"/>
      <c r="L36" s="7"/>
      <c r="M36" s="6"/>
      <c r="N36" s="6"/>
      <c r="O36" s="6"/>
      <c r="P36" s="6"/>
      <c r="Q36" s="7"/>
      <c r="R36" s="6"/>
      <c r="S36" s="16"/>
    </row>
    <row r="37" spans="1:20" s="3" customFormat="1" ht="33" customHeight="1" x14ac:dyDescent="0.2">
      <c r="A37" s="9">
        <f t="shared" si="0"/>
        <v>13</v>
      </c>
      <c r="B37" s="22" t="s">
        <v>106</v>
      </c>
      <c r="C37" s="10" t="s">
        <v>109</v>
      </c>
      <c r="D37" s="10"/>
      <c r="E37" s="18"/>
      <c r="F37" s="13"/>
      <c r="G37" s="13"/>
      <c r="H37" s="13"/>
      <c r="I37" s="14"/>
      <c r="J37" s="15"/>
      <c r="K37" s="6"/>
      <c r="L37" s="7"/>
      <c r="M37" s="6"/>
      <c r="N37" s="6"/>
      <c r="O37" s="6"/>
      <c r="P37" s="6"/>
      <c r="Q37" s="7"/>
      <c r="R37" s="6"/>
      <c r="S37" s="16"/>
    </row>
    <row r="38" spans="1:20" s="3" customFormat="1" ht="33" customHeight="1" x14ac:dyDescent="0.2">
      <c r="A38" s="9">
        <f t="shared" si="0"/>
        <v>14</v>
      </c>
      <c r="B38" s="22" t="s">
        <v>106</v>
      </c>
      <c r="C38" s="10" t="s">
        <v>110</v>
      </c>
      <c r="D38" s="10"/>
      <c r="E38" s="18"/>
      <c r="F38" s="13"/>
      <c r="G38" s="13"/>
      <c r="H38" s="13"/>
      <c r="I38" s="14"/>
      <c r="J38" s="15"/>
      <c r="K38" s="6"/>
      <c r="L38" s="7"/>
      <c r="M38" s="6"/>
      <c r="N38" s="6"/>
      <c r="O38" s="6"/>
      <c r="P38" s="6"/>
      <c r="Q38" s="7"/>
      <c r="R38" s="6"/>
      <c r="S38" s="16"/>
    </row>
    <row r="39" spans="1:20" s="3" customFormat="1" ht="33" customHeight="1" x14ac:dyDescent="0.2">
      <c r="A39" s="9">
        <f t="shared" si="0"/>
        <v>15</v>
      </c>
      <c r="B39" s="22" t="s">
        <v>106</v>
      </c>
      <c r="C39" s="10" t="s">
        <v>111</v>
      </c>
      <c r="D39" s="10"/>
      <c r="E39" s="18"/>
      <c r="F39" s="13"/>
      <c r="G39" s="13"/>
      <c r="H39" s="13"/>
      <c r="I39" s="14"/>
      <c r="J39" s="15"/>
      <c r="K39" s="6"/>
      <c r="L39" s="7"/>
      <c r="M39" s="6"/>
      <c r="N39" s="6"/>
      <c r="O39" s="6"/>
      <c r="P39" s="6"/>
      <c r="Q39" s="7"/>
      <c r="R39" s="6"/>
      <c r="S39" s="16"/>
    </row>
    <row r="40" spans="1:20" s="3" customFormat="1" ht="33" customHeight="1" x14ac:dyDescent="0.2">
      <c r="A40" s="9">
        <f t="shared" si="0"/>
        <v>16</v>
      </c>
      <c r="B40" s="22" t="s">
        <v>106</v>
      </c>
      <c r="C40" s="10" t="s">
        <v>112</v>
      </c>
      <c r="D40" s="10"/>
      <c r="E40" s="18"/>
      <c r="F40" s="13"/>
      <c r="G40" s="13"/>
      <c r="H40" s="13"/>
      <c r="I40" s="14"/>
      <c r="J40" s="15"/>
      <c r="K40" s="6"/>
      <c r="L40" s="7"/>
      <c r="M40" s="6"/>
      <c r="N40" s="6"/>
      <c r="O40" s="6"/>
      <c r="P40" s="6"/>
      <c r="Q40" s="7"/>
      <c r="R40" s="6"/>
      <c r="S40" s="16"/>
    </row>
    <row r="41" spans="1:20" s="3" customFormat="1" ht="33" customHeight="1" x14ac:dyDescent="0.2">
      <c r="A41" s="9">
        <f t="shared" si="0"/>
        <v>17</v>
      </c>
      <c r="B41" s="48"/>
      <c r="C41" s="10"/>
      <c r="D41" s="10"/>
      <c r="E41" s="18"/>
      <c r="F41" s="13"/>
      <c r="G41" s="13"/>
      <c r="H41" s="13"/>
      <c r="I41" s="14"/>
      <c r="J41" s="15"/>
      <c r="K41" s="6"/>
      <c r="L41" s="7"/>
      <c r="M41" s="6"/>
      <c r="N41" s="6"/>
      <c r="O41" s="6"/>
      <c r="P41" s="6"/>
      <c r="Q41" s="7"/>
      <c r="R41" s="6"/>
      <c r="S41" s="16"/>
    </row>
    <row r="43" spans="1:20" ht="14.25" customHeight="1" x14ac:dyDescent="0.2"/>
    <row r="44" spans="1:20" s="51" customFormat="1" ht="20.25" customHeight="1" x14ac:dyDescent="0.2">
      <c r="A44" s="51" t="s">
        <v>78</v>
      </c>
      <c r="L44" s="52"/>
      <c r="N44" s="52"/>
      <c r="Q44" s="52"/>
      <c r="T44" s="52"/>
    </row>
    <row r="45" spans="1:20" s="51" customFormat="1" ht="20.25" customHeight="1" x14ac:dyDescent="0.2">
      <c r="A45" s="51" t="s">
        <v>77</v>
      </c>
      <c r="L45" s="52"/>
      <c r="N45" s="52"/>
      <c r="Q45" s="52"/>
      <c r="T45" s="52"/>
    </row>
    <row r="46" spans="1:20" s="51" customFormat="1" ht="20.25" customHeight="1" x14ac:dyDescent="0.2">
      <c r="A46" s="51" t="s">
        <v>76</v>
      </c>
      <c r="L46" s="52"/>
      <c r="N46" s="52"/>
      <c r="Q46" s="52"/>
      <c r="T46" s="52"/>
    </row>
  </sheetData>
  <mergeCells count="45">
    <mergeCell ref="C3:M3"/>
    <mergeCell ref="N3:Q3"/>
    <mergeCell ref="R3:S3"/>
    <mergeCell ref="C4:M4"/>
    <mergeCell ref="N4:Q4"/>
    <mergeCell ref="R4:S4"/>
    <mergeCell ref="C1:M1"/>
    <mergeCell ref="N1:Q1"/>
    <mergeCell ref="R1:S1"/>
    <mergeCell ref="C2:M2"/>
    <mergeCell ref="N2:Q2"/>
    <mergeCell ref="R2:S2"/>
    <mergeCell ref="A5:A8"/>
    <mergeCell ref="B5:B8"/>
    <mergeCell ref="C5:C8"/>
    <mergeCell ref="I5:J5"/>
    <mergeCell ref="D5:D8"/>
    <mergeCell ref="E5:E8"/>
    <mergeCell ref="F5:F8"/>
    <mergeCell ref="G7:H7"/>
    <mergeCell ref="I7:J7"/>
    <mergeCell ref="G6:J6"/>
    <mergeCell ref="S5:S8"/>
    <mergeCell ref="K6:M6"/>
    <mergeCell ref="N6:R6"/>
    <mergeCell ref="N5:R5"/>
    <mergeCell ref="K5:M5"/>
    <mergeCell ref="K7:M7"/>
    <mergeCell ref="N7:O7"/>
    <mergeCell ref="P7:R7"/>
    <mergeCell ref="A9:A12"/>
    <mergeCell ref="B9:B12"/>
    <mergeCell ref="C9:C12"/>
    <mergeCell ref="A14:A19"/>
    <mergeCell ref="B14:B19"/>
    <mergeCell ref="C14:C19"/>
    <mergeCell ref="A20:A23"/>
    <mergeCell ref="B20:B23"/>
    <mergeCell ref="C20:C23"/>
    <mergeCell ref="A25:A27"/>
    <mergeCell ref="B25:B27"/>
    <mergeCell ref="C25:C27"/>
    <mergeCell ref="A28:A31"/>
    <mergeCell ref="B28:B31"/>
    <mergeCell ref="C28:C31"/>
  </mergeCells>
  <hyperlinks>
    <hyperlink ref="D9" r:id="rId1" display="..\..\DOCUMENTS\NAVAL MARINE\MOORING ANALYSIS\8IN AND 14IN OIL AND GAS PL - BH TO BCPS - 3249-ZZ-RP-001\REV-0"/>
    <hyperlink ref="D10" r:id="rId2" display="..\..\DOCUMENTS\NAVAL MARINE\MOORING ANALYSIS\8IN AND 14IN OIL AND GAS PL - BH TO BCPS - 3249-ZZ-RP-001\REV-1"/>
    <hyperlink ref="L9" r:id="rId3"/>
    <hyperlink ref="D20" r:id="rId4" display="..\..\DOCUMENTS\NAVAL MARINE\MOORING ANALYSIS\JACKET, DECKAND PILE INSTAL. AT BH - 3249-ZZ-RP-004\REV-0"/>
    <hyperlink ref="D11" r:id="rId5"/>
    <hyperlink ref="L11" r:id="rId6"/>
    <hyperlink ref="E12" r:id="rId7" display="..\..\DOCUMENTS\NAVAL MARINE\MOORING ANALYSIS\8IN AND 14IN OIL AND GAS PL - BH TO BCPS - 3249-ZZ-RP-001\REV-1\3249-ZZ-RP-001-CRS.pdf"/>
    <hyperlink ref="D12" r:id="rId8"/>
    <hyperlink ref="D25" r:id="rId9" display="..\..\DOCUMENTS\NAVAL MARINE\MOORING ANALYSIS\BCPA-3 - JACKET AND PILE - 3249-ZZ-RP-006\REV-0"/>
    <hyperlink ref="D21" r:id="rId10" display="..\..\DOCUMENTS\NAVAL MARINE\MOORING ANALYSIS\JACKET, DECKAND PILE INSTAL. AT BH - 3249-ZZ-RP-004\REV-1"/>
    <hyperlink ref="D14" r:id="rId11" display="..\..\DOCUMENTS\NAVAL MARINE\MOORING ANALYSIS\RISER INSTALL. AT BCPA-2 - 3249-ZZ-RP-003\REV-0"/>
    <hyperlink ref="D15" r:id="rId12" display="..\..\DOCUMENTS\NAVAL MARINE\MOORING ANALYSIS\RISER INSTALL. AT BCPA-2 - 3249-ZZ-RP-003\REV-1"/>
    <hyperlink ref="D26" r:id="rId13" display="..\..\DOCUMENTS\NAVAL MARINE\MOORING ANALYSIS\BCPA-3 - JACKET AND PILE - 3249-ZZ-RP-006\REV-1"/>
    <hyperlink ref="Q21" r:id="rId14"/>
    <hyperlink ref="Q12" r:id="rId15"/>
    <hyperlink ref="D22" r:id="rId16" display="..\..\DOCUMENTS\NAVAL MARINE\MOORING ANALYSIS\JACKET, DECKAND PILE INSTAL. AT BH - 3249-ZZ-RP-004\REV-2"/>
    <hyperlink ref="Q22" r:id="rId17"/>
    <hyperlink ref="D23" r:id="rId18"/>
    <hyperlink ref="D16" r:id="rId19" display="..\..\DOCUMENTS\NAVAL MARINE\MOORING ANALYSIS\RISER INSTALL. AT BCPA-2 - 3249-ZZ-RP-003\REV-2"/>
    <hyperlink ref="D32" r:id="rId20" display="..\..\DOCUMENTS\NAVAL MARINE\MOORING ANALYSIS\INSTALLATION OF BLQ-3 TOPSIDE - 3249-ZZ-RP-008"/>
    <hyperlink ref="D28" r:id="rId21" display="..\..\DOCUMENTS\NAVAL MARINE\MOORING ANALYSIS\INSTALLATION OF BLQ-3 JACKET AND PILE - 3249-ZZ-RP-007"/>
    <hyperlink ref="Q15" r:id="rId22"/>
    <hyperlink ref="D17" r:id="rId23" display="..\..\DOCUMENTS\NAVAL MARINE\MOORING ANALYSIS\RISER INSTALL. AT BCPA-2 - 3249-ZZ-RP-003\REV-3"/>
    <hyperlink ref="D18" r:id="rId24"/>
    <hyperlink ref="D36" r:id="rId25" display="..\..\DOCUMENTS\NAVAL MARINE\MOORING ANALYSIS\BLQ3 - BCPA3 - 3249-ZZ-RP-012\REV-0"/>
    <hyperlink ref="D33" r:id="rId26" display="..\..\DOCUMENTS\NAVAL MARINE\MOORING ANALYSIS\MOORING ANALYSIS BCPA-2 - BCPA-3 - 3249-ZZ-RP-009\REV-0"/>
    <hyperlink ref="D19" r:id="rId27" display="..\..\DOCUMENTS\NAVAL MARINE\MOORING ANALYSIS\RISER INSTALL. AT BCPA-2 - 3249-ZZ-RP-003\REV-4"/>
    <hyperlink ref="D27" r:id="rId28" display="..\..\DOCUMENTS\NAVAL MARINE\MOORING ANALYSIS\BCPA-3 - JACKET AND PILE - 3249-ZZ-RP-006\REV-2"/>
    <hyperlink ref="Q26" r:id="rId29"/>
    <hyperlink ref="Q28" r:id="rId30"/>
    <hyperlink ref="D29" r:id="rId31"/>
    <hyperlink ref="Q29" r:id="rId32"/>
    <hyperlink ref="D30" r:id="rId33" display="..\..\DOCUMENTS\NAVAL MARINE\MOORING ANALYSIS\INSTALLATION OF BLQ-3 JACKET AND PILE - 3249-ZZ-RP-007\REV-1"/>
    <hyperlink ref="Q30" r:id="rId34"/>
    <hyperlink ref="D31" r:id="rId35"/>
  </hyperlinks>
  <printOptions horizontalCentered="1"/>
  <pageMargins left="0.25" right="0.25" top="0.5" bottom="0.5" header="0.25" footer="0.25"/>
  <pageSetup paperSize="9" scale="65" orientation="landscape" r:id="rId36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3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zoomScaleNormal="100" workbookViewId="0">
      <pane ySplit="8" topLeftCell="A12" activePane="bottomLeft" state="frozen"/>
      <selection pane="bottomLeft" activeCell="K15" sqref="K15"/>
    </sheetView>
  </sheetViews>
  <sheetFormatPr defaultColWidth="10.6640625" defaultRowHeight="12.75" x14ac:dyDescent="0.2"/>
  <cols>
    <col min="1" max="1" width="6.83203125" style="2" customWidth="1"/>
    <col min="2" max="2" width="45.83203125" style="2" customWidth="1"/>
    <col min="3" max="3" width="16.5" style="1" customWidth="1"/>
    <col min="4" max="4" width="8.83203125" style="49" bestFit="1" customWidth="1"/>
    <col min="5" max="5" width="6.83203125" style="1" customWidth="1"/>
    <col min="6" max="6" width="12.83203125" style="1" customWidth="1"/>
    <col min="7" max="7" width="17.5" style="1" customWidth="1"/>
    <col min="8" max="8" width="16.6640625" style="1" customWidth="1"/>
    <col min="9" max="9" width="21.1640625" style="2" bestFit="1" customWidth="1"/>
    <col min="10" max="10" width="11.6640625" style="4" customWidth="1"/>
    <col min="11" max="11" width="10.6640625" style="2" customWidth="1"/>
    <col min="12" max="12" width="25" style="4" customWidth="1"/>
    <col min="13" max="13" width="6.83203125" style="2" customWidth="1"/>
    <col min="14" max="14" width="25.5" style="2" bestFit="1" customWidth="1"/>
    <col min="15" max="15" width="10.5" style="2" bestFit="1" customWidth="1"/>
    <col min="16" max="16" width="8.83203125" style="2" customWidth="1"/>
    <col min="17" max="17" width="10.83203125" style="4" customWidth="1"/>
    <col min="18" max="18" width="6.83203125" style="2" customWidth="1"/>
    <col min="19" max="19" width="22.83203125" style="2" customWidth="1"/>
    <col min="20" max="16384" width="10.6640625" style="2"/>
  </cols>
  <sheetData>
    <row r="1" spans="1:19" s="5" customFormat="1" ht="20.100000000000001" customHeight="1" x14ac:dyDescent="0.2">
      <c r="A1" s="37"/>
      <c r="B1" s="38"/>
      <c r="C1" s="96"/>
      <c r="D1" s="97"/>
      <c r="E1" s="97"/>
      <c r="F1" s="97"/>
      <c r="G1" s="97"/>
      <c r="H1" s="97"/>
      <c r="I1" s="97"/>
      <c r="J1" s="97"/>
      <c r="K1" s="97"/>
      <c r="L1" s="97"/>
      <c r="M1" s="98"/>
      <c r="N1" s="99" t="s">
        <v>7</v>
      </c>
      <c r="O1" s="100"/>
      <c r="P1" s="100"/>
      <c r="Q1" s="101"/>
      <c r="R1" s="89"/>
      <c r="S1" s="90"/>
    </row>
    <row r="2" spans="1:19" s="5" customFormat="1" ht="20.100000000000001" customHeight="1" x14ac:dyDescent="0.2">
      <c r="A2" s="39"/>
      <c r="B2" s="40"/>
      <c r="C2" s="91" t="s">
        <v>81</v>
      </c>
      <c r="D2" s="92"/>
      <c r="E2" s="92"/>
      <c r="F2" s="92"/>
      <c r="G2" s="92"/>
      <c r="H2" s="92"/>
      <c r="I2" s="92"/>
      <c r="J2" s="92"/>
      <c r="K2" s="92"/>
      <c r="L2" s="92"/>
      <c r="M2" s="93"/>
      <c r="N2" s="102" t="s">
        <v>47</v>
      </c>
      <c r="O2" s="103"/>
      <c r="P2" s="103"/>
      <c r="Q2" s="104"/>
      <c r="R2" s="94"/>
      <c r="S2" s="95"/>
    </row>
    <row r="3" spans="1:19" s="5" customFormat="1" ht="20.100000000000001" customHeight="1" x14ac:dyDescent="0.2">
      <c r="A3" s="39"/>
      <c r="B3" s="40"/>
      <c r="C3" s="91" t="s">
        <v>24</v>
      </c>
      <c r="D3" s="92"/>
      <c r="E3" s="92"/>
      <c r="F3" s="92"/>
      <c r="G3" s="92"/>
      <c r="H3" s="92"/>
      <c r="I3" s="92"/>
      <c r="J3" s="92"/>
      <c r="K3" s="92"/>
      <c r="L3" s="92"/>
      <c r="M3" s="93"/>
      <c r="N3" s="114" t="s">
        <v>9</v>
      </c>
      <c r="O3" s="115"/>
      <c r="P3" s="115"/>
      <c r="Q3" s="116"/>
      <c r="R3" s="94">
        <v>0</v>
      </c>
      <c r="S3" s="95"/>
    </row>
    <row r="4" spans="1:19" s="5" customFormat="1" ht="20.100000000000001" customHeight="1" thickBot="1" x14ac:dyDescent="0.25">
      <c r="A4" s="39"/>
      <c r="B4" s="40"/>
      <c r="C4" s="110" t="s">
        <v>82</v>
      </c>
      <c r="D4" s="111"/>
      <c r="E4" s="111"/>
      <c r="F4" s="111"/>
      <c r="G4" s="111"/>
      <c r="H4" s="111"/>
      <c r="I4" s="111"/>
      <c r="J4" s="111"/>
      <c r="K4" s="111"/>
      <c r="L4" s="111"/>
      <c r="M4" s="112"/>
      <c r="N4" s="121" t="s">
        <v>8</v>
      </c>
      <c r="O4" s="122"/>
      <c r="P4" s="122"/>
      <c r="Q4" s="123"/>
      <c r="R4" s="108">
        <v>42662</v>
      </c>
      <c r="S4" s="109"/>
    </row>
    <row r="5" spans="1:19" s="21" customFormat="1" ht="15" customHeight="1" x14ac:dyDescent="0.2">
      <c r="A5" s="139" t="s">
        <v>0</v>
      </c>
      <c r="B5" s="124" t="s">
        <v>1</v>
      </c>
      <c r="C5" s="124" t="s">
        <v>14</v>
      </c>
      <c r="D5" s="163" t="s">
        <v>13</v>
      </c>
      <c r="E5" s="168" t="s">
        <v>15</v>
      </c>
      <c r="F5" s="124" t="s">
        <v>11</v>
      </c>
      <c r="G5" s="45"/>
      <c r="H5" s="45"/>
      <c r="I5" s="113" t="s">
        <v>12</v>
      </c>
      <c r="J5" s="113"/>
      <c r="K5" s="113" t="s">
        <v>44</v>
      </c>
      <c r="L5" s="113"/>
      <c r="M5" s="113"/>
      <c r="N5" s="127" t="s">
        <v>16</v>
      </c>
      <c r="O5" s="128"/>
      <c r="P5" s="128"/>
      <c r="Q5" s="128"/>
      <c r="R5" s="129"/>
      <c r="S5" s="130" t="s">
        <v>2</v>
      </c>
    </row>
    <row r="6" spans="1:19" s="21" customFormat="1" ht="24.95" customHeight="1" x14ac:dyDescent="0.2">
      <c r="A6" s="171"/>
      <c r="B6" s="173"/>
      <c r="C6" s="133"/>
      <c r="D6" s="163"/>
      <c r="E6" s="169"/>
      <c r="F6" s="133"/>
      <c r="G6" s="117" t="s">
        <v>4</v>
      </c>
      <c r="H6" s="119"/>
      <c r="I6" s="119"/>
      <c r="J6" s="118"/>
      <c r="K6" s="176" t="s">
        <v>5</v>
      </c>
      <c r="L6" s="176"/>
      <c r="M6" s="177"/>
      <c r="N6" s="117" t="s">
        <v>5</v>
      </c>
      <c r="O6" s="119"/>
      <c r="P6" s="119"/>
      <c r="Q6" s="119"/>
      <c r="R6" s="118"/>
      <c r="S6" s="131"/>
    </row>
    <row r="7" spans="1:19" s="21" customFormat="1" ht="24.95" customHeight="1" x14ac:dyDescent="0.2">
      <c r="A7" s="171"/>
      <c r="B7" s="173"/>
      <c r="C7" s="133"/>
      <c r="D7" s="163"/>
      <c r="E7" s="169"/>
      <c r="F7" s="175"/>
      <c r="G7" s="117" t="s">
        <v>17</v>
      </c>
      <c r="H7" s="118"/>
      <c r="I7" s="119" t="s">
        <v>43</v>
      </c>
      <c r="J7" s="118"/>
      <c r="K7" s="120" t="s">
        <v>18</v>
      </c>
      <c r="L7" s="105"/>
      <c r="M7" s="106"/>
      <c r="N7" s="107" t="s">
        <v>19</v>
      </c>
      <c r="O7" s="107"/>
      <c r="P7" s="107" t="s">
        <v>20</v>
      </c>
      <c r="Q7" s="107"/>
      <c r="R7" s="107"/>
      <c r="S7" s="131"/>
    </row>
    <row r="8" spans="1:19" s="21" customFormat="1" ht="15" customHeight="1" thickBot="1" x14ac:dyDescent="0.25">
      <c r="A8" s="172"/>
      <c r="B8" s="174"/>
      <c r="C8" s="134"/>
      <c r="D8" s="163"/>
      <c r="E8" s="170"/>
      <c r="F8" s="134"/>
      <c r="G8" s="41" t="s">
        <v>3</v>
      </c>
      <c r="H8" s="42" t="s">
        <v>6</v>
      </c>
      <c r="I8" s="41" t="s">
        <v>6</v>
      </c>
      <c r="J8" s="42" t="s">
        <v>3</v>
      </c>
      <c r="K8" s="41" t="s">
        <v>3</v>
      </c>
      <c r="L8" s="42" t="s">
        <v>6</v>
      </c>
      <c r="M8" s="41" t="s">
        <v>10</v>
      </c>
      <c r="N8" s="43" t="s">
        <v>3</v>
      </c>
      <c r="O8" s="42" t="s">
        <v>6</v>
      </c>
      <c r="P8" s="43" t="s">
        <v>3</v>
      </c>
      <c r="Q8" s="42" t="s">
        <v>6</v>
      </c>
      <c r="R8" s="41" t="s">
        <v>10</v>
      </c>
      <c r="S8" s="132"/>
    </row>
    <row r="9" spans="1:19" s="8" customFormat="1" ht="24.95" customHeight="1" x14ac:dyDescent="0.2">
      <c r="A9" s="11">
        <v>1</v>
      </c>
      <c r="B9" s="22" t="s">
        <v>26</v>
      </c>
      <c r="C9" s="10" t="s">
        <v>48</v>
      </c>
      <c r="D9" s="53">
        <v>0</v>
      </c>
      <c r="E9" s="29">
        <v>2</v>
      </c>
      <c r="F9" s="13">
        <v>42658</v>
      </c>
      <c r="G9" s="17">
        <v>42673</v>
      </c>
      <c r="H9" s="17" t="s">
        <v>114</v>
      </c>
      <c r="I9" s="55" t="s">
        <v>115</v>
      </c>
      <c r="J9" s="17">
        <v>42674</v>
      </c>
      <c r="K9" s="17">
        <v>42684</v>
      </c>
      <c r="L9" s="58" t="s">
        <v>115</v>
      </c>
      <c r="M9" s="12">
        <v>2</v>
      </c>
      <c r="N9" s="46"/>
      <c r="O9" s="17"/>
      <c r="P9" s="12"/>
      <c r="Q9" s="20"/>
      <c r="R9" s="12"/>
      <c r="S9" s="27" t="s">
        <v>120</v>
      </c>
    </row>
    <row r="10" spans="1:19" s="8" customFormat="1" ht="24.95" customHeight="1" x14ac:dyDescent="0.2">
      <c r="A10" s="11">
        <f t="shared" ref="A10:A35" si="0">A9+1</f>
        <v>2</v>
      </c>
      <c r="B10" s="22" t="s">
        <v>27</v>
      </c>
      <c r="C10" s="10" t="s">
        <v>49</v>
      </c>
      <c r="D10" s="53">
        <v>0</v>
      </c>
      <c r="E10" s="29">
        <v>2</v>
      </c>
      <c r="F10" s="13">
        <v>42663</v>
      </c>
      <c r="G10" s="17">
        <v>42673</v>
      </c>
      <c r="H10" s="17" t="s">
        <v>114</v>
      </c>
      <c r="I10" s="57" t="s">
        <v>115</v>
      </c>
      <c r="J10" s="17">
        <v>42674</v>
      </c>
      <c r="K10" s="17">
        <v>42684</v>
      </c>
      <c r="L10" s="58" t="s">
        <v>115</v>
      </c>
      <c r="M10" s="12">
        <v>2</v>
      </c>
      <c r="N10" s="47"/>
      <c r="O10" s="17"/>
      <c r="P10" s="12"/>
      <c r="Q10" s="20"/>
      <c r="R10" s="12"/>
      <c r="S10" s="27" t="s">
        <v>120</v>
      </c>
    </row>
    <row r="11" spans="1:19" s="8" customFormat="1" ht="24.95" customHeight="1" x14ac:dyDescent="0.2">
      <c r="A11" s="83">
        <f t="shared" si="0"/>
        <v>3</v>
      </c>
      <c r="B11" s="85" t="s">
        <v>28</v>
      </c>
      <c r="C11" s="87" t="s">
        <v>50</v>
      </c>
      <c r="D11" s="53">
        <v>0</v>
      </c>
      <c r="E11" s="29">
        <v>2</v>
      </c>
      <c r="F11" s="13">
        <v>42663</v>
      </c>
      <c r="G11" s="17">
        <v>42673</v>
      </c>
      <c r="H11" s="17" t="s">
        <v>114</v>
      </c>
      <c r="I11" s="57" t="s">
        <v>115</v>
      </c>
      <c r="J11" s="17">
        <v>42674</v>
      </c>
      <c r="K11" s="17">
        <v>42684</v>
      </c>
      <c r="L11" s="58" t="s">
        <v>115</v>
      </c>
      <c r="M11" s="12">
        <v>2</v>
      </c>
      <c r="N11" s="47"/>
      <c r="O11" s="23"/>
      <c r="P11" s="23"/>
      <c r="Q11" s="26"/>
      <c r="R11" s="23"/>
      <c r="S11" s="27" t="s">
        <v>120</v>
      </c>
    </row>
    <row r="12" spans="1:19" s="8" customFormat="1" ht="24.95" customHeight="1" x14ac:dyDescent="0.2">
      <c r="A12" s="84"/>
      <c r="B12" s="86"/>
      <c r="C12" s="88"/>
      <c r="D12" s="53">
        <v>1</v>
      </c>
      <c r="E12" s="29">
        <v>1</v>
      </c>
      <c r="F12" s="13"/>
      <c r="G12" s="17">
        <v>42681</v>
      </c>
      <c r="H12" s="17" t="s">
        <v>130</v>
      </c>
      <c r="I12" s="57" t="s">
        <v>134</v>
      </c>
      <c r="J12" s="17">
        <v>42684</v>
      </c>
      <c r="K12" s="23"/>
      <c r="L12" s="26"/>
      <c r="M12" s="23"/>
      <c r="N12" s="47"/>
      <c r="O12" s="23"/>
      <c r="P12" s="23"/>
      <c r="Q12" s="26"/>
      <c r="R12" s="23"/>
      <c r="S12" s="27" t="s">
        <v>131</v>
      </c>
    </row>
    <row r="13" spans="1:19" s="8" customFormat="1" ht="24.95" customHeight="1" x14ac:dyDescent="0.2">
      <c r="A13" s="11">
        <f>A11+1</f>
        <v>4</v>
      </c>
      <c r="B13" s="22" t="s">
        <v>29</v>
      </c>
      <c r="C13" s="10" t="s">
        <v>51</v>
      </c>
      <c r="D13" s="53">
        <v>0</v>
      </c>
      <c r="E13" s="29">
        <v>2</v>
      </c>
      <c r="F13" s="13">
        <v>42658</v>
      </c>
      <c r="G13" s="17">
        <v>42673</v>
      </c>
      <c r="H13" s="17" t="s">
        <v>114</v>
      </c>
      <c r="I13" s="56" t="s">
        <v>115</v>
      </c>
      <c r="J13" s="17">
        <v>42674</v>
      </c>
      <c r="K13" s="17">
        <v>42684</v>
      </c>
      <c r="L13" s="58" t="s">
        <v>115</v>
      </c>
      <c r="M13" s="12">
        <v>2</v>
      </c>
      <c r="N13" s="47"/>
      <c r="O13" s="17"/>
      <c r="P13" s="18"/>
      <c r="Q13" s="19"/>
      <c r="R13" s="18"/>
      <c r="S13" s="27" t="s">
        <v>120</v>
      </c>
    </row>
    <row r="14" spans="1:19" s="8" customFormat="1" ht="24.95" customHeight="1" x14ac:dyDescent="0.2">
      <c r="A14" s="11">
        <f t="shared" si="0"/>
        <v>5</v>
      </c>
      <c r="B14" s="22" t="s">
        <v>30</v>
      </c>
      <c r="C14" s="10" t="s">
        <v>52</v>
      </c>
      <c r="D14" s="53">
        <v>0</v>
      </c>
      <c r="E14" s="29">
        <v>2</v>
      </c>
      <c r="F14" s="13">
        <v>42663</v>
      </c>
      <c r="G14" s="17">
        <v>42681</v>
      </c>
      <c r="H14" s="17" t="s">
        <v>127</v>
      </c>
      <c r="I14" s="56" t="s">
        <v>132</v>
      </c>
      <c r="J14" s="17">
        <v>42691</v>
      </c>
      <c r="K14" s="23"/>
      <c r="L14" s="26"/>
      <c r="M14" s="23"/>
      <c r="N14" s="47"/>
      <c r="O14" s="23"/>
      <c r="P14" s="23"/>
      <c r="Q14" s="26"/>
      <c r="R14" s="23"/>
      <c r="S14" s="27" t="s">
        <v>128</v>
      </c>
    </row>
    <row r="15" spans="1:19" s="8" customFormat="1" ht="24.95" customHeight="1" x14ac:dyDescent="0.2">
      <c r="A15" s="11">
        <f t="shared" si="0"/>
        <v>6</v>
      </c>
      <c r="B15" s="22" t="s">
        <v>31</v>
      </c>
      <c r="C15" s="10" t="s">
        <v>53</v>
      </c>
      <c r="D15" s="53">
        <v>0</v>
      </c>
      <c r="E15" s="29">
        <v>2</v>
      </c>
      <c r="F15" s="13">
        <v>42663</v>
      </c>
      <c r="G15" s="17">
        <v>42681</v>
      </c>
      <c r="H15" s="17" t="s">
        <v>127</v>
      </c>
      <c r="I15" s="56" t="s">
        <v>132</v>
      </c>
      <c r="J15" s="17">
        <v>42691</v>
      </c>
      <c r="K15" s="18"/>
      <c r="L15" s="19"/>
      <c r="M15" s="18"/>
      <c r="N15" s="47"/>
      <c r="O15" s="17"/>
      <c r="P15" s="18"/>
      <c r="Q15" s="19"/>
      <c r="R15" s="18"/>
      <c r="S15" s="27" t="s">
        <v>129</v>
      </c>
    </row>
    <row r="16" spans="1:19" s="8" customFormat="1" ht="24.95" customHeight="1" x14ac:dyDescent="0.2">
      <c r="A16" s="11">
        <f t="shared" si="0"/>
        <v>7</v>
      </c>
      <c r="B16" s="22" t="s">
        <v>32</v>
      </c>
      <c r="C16" s="10" t="s">
        <v>54</v>
      </c>
      <c r="D16" s="53">
        <v>0</v>
      </c>
      <c r="E16" s="29">
        <v>2</v>
      </c>
      <c r="F16" s="13">
        <v>42679</v>
      </c>
      <c r="G16" s="17">
        <v>42701</v>
      </c>
      <c r="H16" s="17" t="s">
        <v>151</v>
      </c>
      <c r="I16" s="56" t="s">
        <v>155</v>
      </c>
      <c r="J16" s="17">
        <v>42702</v>
      </c>
      <c r="K16" s="18"/>
      <c r="L16" s="19"/>
      <c r="M16" s="18"/>
      <c r="N16" s="47"/>
      <c r="O16" s="17"/>
      <c r="P16" s="18"/>
      <c r="Q16" s="19"/>
      <c r="R16" s="18"/>
      <c r="S16" s="27"/>
    </row>
    <row r="17" spans="1:19" s="8" customFormat="1" ht="30" customHeight="1" x14ac:dyDescent="0.2">
      <c r="A17" s="11">
        <f t="shared" si="0"/>
        <v>8</v>
      </c>
      <c r="B17" s="22" t="s">
        <v>33</v>
      </c>
      <c r="C17" s="10" t="s">
        <v>55</v>
      </c>
      <c r="D17" s="28">
        <v>0</v>
      </c>
      <c r="E17" s="29">
        <v>2</v>
      </c>
      <c r="F17" s="13">
        <v>42679</v>
      </c>
      <c r="G17" s="24"/>
      <c r="H17" s="24"/>
      <c r="I17" s="25"/>
      <c r="J17" s="26"/>
      <c r="K17" s="23"/>
      <c r="L17" s="26"/>
      <c r="M17" s="23"/>
      <c r="N17" s="47"/>
      <c r="O17" s="23"/>
      <c r="P17" s="23"/>
      <c r="Q17" s="26"/>
      <c r="R17" s="23"/>
      <c r="S17" s="27"/>
    </row>
    <row r="18" spans="1:19" s="8" customFormat="1" ht="24.95" customHeight="1" x14ac:dyDescent="0.2">
      <c r="A18" s="11">
        <f t="shared" si="0"/>
        <v>9</v>
      </c>
      <c r="B18" s="22" t="s">
        <v>34</v>
      </c>
      <c r="C18" s="10" t="s">
        <v>56</v>
      </c>
      <c r="D18" s="53">
        <v>0</v>
      </c>
      <c r="E18" s="29">
        <v>2</v>
      </c>
      <c r="F18" s="13">
        <v>42682</v>
      </c>
      <c r="G18" s="17">
        <v>42701</v>
      </c>
      <c r="H18" s="17" t="s">
        <v>151</v>
      </c>
      <c r="I18" s="56" t="s">
        <v>155</v>
      </c>
      <c r="J18" s="17">
        <v>42702</v>
      </c>
      <c r="K18" s="18"/>
      <c r="L18" s="19"/>
      <c r="M18" s="18"/>
      <c r="N18" s="47"/>
      <c r="O18" s="17"/>
      <c r="P18" s="18"/>
      <c r="Q18" s="19"/>
      <c r="R18" s="18"/>
      <c r="S18" s="27"/>
    </row>
    <row r="19" spans="1:19" s="8" customFormat="1" ht="24.95" customHeight="1" x14ac:dyDescent="0.2">
      <c r="A19" s="11">
        <f t="shared" si="0"/>
        <v>10</v>
      </c>
      <c r="B19" s="22" t="s">
        <v>35</v>
      </c>
      <c r="C19" s="10" t="s">
        <v>57</v>
      </c>
      <c r="D19" s="53">
        <v>0</v>
      </c>
      <c r="E19" s="29">
        <v>2</v>
      </c>
      <c r="F19" s="13">
        <v>42679</v>
      </c>
      <c r="G19" s="17">
        <v>42701</v>
      </c>
      <c r="H19" s="17" t="s">
        <v>151</v>
      </c>
      <c r="I19" s="56" t="s">
        <v>155</v>
      </c>
      <c r="J19" s="17">
        <v>42702</v>
      </c>
      <c r="K19" s="23"/>
      <c r="L19" s="26"/>
      <c r="M19" s="23"/>
      <c r="N19" s="47"/>
      <c r="O19" s="23"/>
      <c r="P19" s="23"/>
      <c r="Q19" s="26"/>
      <c r="R19" s="23"/>
      <c r="S19" s="27"/>
    </row>
    <row r="20" spans="1:19" s="8" customFormat="1" ht="24.95" customHeight="1" x14ac:dyDescent="0.2">
      <c r="A20" s="11">
        <f t="shared" si="0"/>
        <v>11</v>
      </c>
      <c r="B20" s="22" t="s">
        <v>36</v>
      </c>
      <c r="C20" s="10" t="s">
        <v>58</v>
      </c>
      <c r="D20" s="28">
        <v>0</v>
      </c>
      <c r="E20" s="29">
        <v>2</v>
      </c>
      <c r="F20" s="13">
        <v>42694</v>
      </c>
      <c r="G20" s="17"/>
      <c r="H20" s="17"/>
      <c r="I20" s="14"/>
      <c r="J20" s="17"/>
      <c r="K20" s="18"/>
      <c r="L20" s="19"/>
      <c r="M20" s="18"/>
      <c r="N20" s="47"/>
      <c r="O20" s="17"/>
      <c r="P20" s="18"/>
      <c r="Q20" s="19"/>
      <c r="R20" s="18"/>
      <c r="S20" s="27"/>
    </row>
    <row r="21" spans="1:19" s="8" customFormat="1" ht="24.95" customHeight="1" x14ac:dyDescent="0.2">
      <c r="A21" s="11">
        <f t="shared" si="0"/>
        <v>12</v>
      </c>
      <c r="B21" s="22" t="s">
        <v>37</v>
      </c>
      <c r="C21" s="10" t="s">
        <v>59</v>
      </c>
      <c r="D21" s="28">
        <v>0</v>
      </c>
      <c r="E21" s="29">
        <v>2</v>
      </c>
      <c r="F21" s="13">
        <v>42694</v>
      </c>
      <c r="G21" s="17"/>
      <c r="H21" s="17"/>
      <c r="I21" s="14"/>
      <c r="J21" s="17"/>
      <c r="K21" s="18"/>
      <c r="L21" s="19"/>
      <c r="M21" s="18"/>
      <c r="N21" s="47"/>
      <c r="O21" s="17"/>
      <c r="P21" s="18"/>
      <c r="Q21" s="19"/>
      <c r="R21" s="18"/>
      <c r="S21" s="27"/>
    </row>
    <row r="22" spans="1:19" s="8" customFormat="1" ht="24.95" customHeight="1" x14ac:dyDescent="0.2">
      <c r="A22" s="11">
        <f t="shared" si="0"/>
        <v>13</v>
      </c>
      <c r="B22" s="22" t="s">
        <v>38</v>
      </c>
      <c r="C22" s="10" t="s">
        <v>60</v>
      </c>
      <c r="D22" s="28">
        <v>0</v>
      </c>
      <c r="E22" s="29">
        <v>2</v>
      </c>
      <c r="F22" s="13">
        <v>42694</v>
      </c>
      <c r="G22" s="24"/>
      <c r="H22" s="24"/>
      <c r="I22" s="25"/>
      <c r="J22" s="26"/>
      <c r="K22" s="23"/>
      <c r="L22" s="26"/>
      <c r="M22" s="23"/>
      <c r="N22" s="47"/>
      <c r="O22" s="23"/>
      <c r="P22" s="23"/>
      <c r="Q22" s="26"/>
      <c r="R22" s="23"/>
      <c r="S22" s="27"/>
    </row>
    <row r="23" spans="1:19" s="8" customFormat="1" ht="24.95" customHeight="1" x14ac:dyDescent="0.2">
      <c r="A23" s="11">
        <f t="shared" si="0"/>
        <v>14</v>
      </c>
      <c r="B23" s="22" t="s">
        <v>39</v>
      </c>
      <c r="C23" s="10" t="s">
        <v>61</v>
      </c>
      <c r="D23" s="28">
        <v>0</v>
      </c>
      <c r="E23" s="29">
        <v>2</v>
      </c>
      <c r="F23" s="13">
        <v>42694</v>
      </c>
      <c r="G23" s="17"/>
      <c r="H23" s="17"/>
      <c r="I23" s="14"/>
      <c r="J23" s="17"/>
      <c r="K23" s="18"/>
      <c r="L23" s="19"/>
      <c r="M23" s="18"/>
      <c r="N23" s="47"/>
      <c r="O23" s="17"/>
      <c r="P23" s="18"/>
      <c r="Q23" s="19"/>
      <c r="R23" s="18"/>
      <c r="S23" s="27"/>
    </row>
    <row r="24" spans="1:19" s="8" customFormat="1" ht="24.95" customHeight="1" x14ac:dyDescent="0.2">
      <c r="A24" s="83">
        <f t="shared" si="0"/>
        <v>15</v>
      </c>
      <c r="B24" s="85" t="s">
        <v>45</v>
      </c>
      <c r="C24" s="87" t="s">
        <v>62</v>
      </c>
      <c r="D24" s="53">
        <v>0</v>
      </c>
      <c r="E24" s="29">
        <v>2</v>
      </c>
      <c r="F24" s="13">
        <v>42679</v>
      </c>
      <c r="G24" s="13">
        <v>42751</v>
      </c>
      <c r="H24" s="17" t="s">
        <v>193</v>
      </c>
      <c r="I24" s="56" t="s">
        <v>197</v>
      </c>
      <c r="J24" s="15">
        <v>42752</v>
      </c>
      <c r="K24" s="23"/>
      <c r="L24" s="26"/>
      <c r="M24" s="23"/>
      <c r="N24" s="47"/>
      <c r="O24" s="23"/>
      <c r="P24" s="23"/>
      <c r="Q24" s="26"/>
      <c r="R24" s="23"/>
      <c r="S24" s="27"/>
    </row>
    <row r="25" spans="1:19" s="8" customFormat="1" ht="24.95" customHeight="1" x14ac:dyDescent="0.2">
      <c r="A25" s="84"/>
      <c r="B25" s="86"/>
      <c r="C25" s="88"/>
      <c r="D25" s="53">
        <v>1</v>
      </c>
      <c r="E25" s="29">
        <v>2</v>
      </c>
      <c r="F25" s="13"/>
      <c r="G25" s="13">
        <v>42753</v>
      </c>
      <c r="H25" s="17" t="s">
        <v>198</v>
      </c>
      <c r="I25" s="13" t="s">
        <v>209</v>
      </c>
      <c r="J25" s="13">
        <v>42754</v>
      </c>
      <c r="K25" s="23"/>
      <c r="L25" s="26"/>
      <c r="M25" s="23"/>
      <c r="N25" s="47"/>
      <c r="O25" s="23"/>
      <c r="P25" s="23"/>
      <c r="Q25" s="26"/>
      <c r="R25" s="23"/>
      <c r="S25" s="27"/>
    </row>
    <row r="26" spans="1:19" s="8" customFormat="1" ht="24.95" customHeight="1" x14ac:dyDescent="0.2">
      <c r="A26" s="83">
        <f>A24+1</f>
        <v>16</v>
      </c>
      <c r="B26" s="85" t="s">
        <v>40</v>
      </c>
      <c r="C26" s="87" t="s">
        <v>63</v>
      </c>
      <c r="D26" s="53">
        <v>0</v>
      </c>
      <c r="E26" s="29">
        <v>2</v>
      </c>
      <c r="F26" s="13">
        <v>42679</v>
      </c>
      <c r="G26" s="17">
        <v>42709</v>
      </c>
      <c r="H26" s="17" t="s">
        <v>156</v>
      </c>
      <c r="I26" s="56" t="s">
        <v>163</v>
      </c>
      <c r="J26" s="17">
        <v>42712</v>
      </c>
      <c r="K26" s="18"/>
      <c r="L26" s="19"/>
      <c r="M26" s="18"/>
      <c r="N26" s="47"/>
      <c r="O26" s="17"/>
      <c r="P26" s="18"/>
      <c r="Q26" s="19"/>
      <c r="R26" s="18"/>
      <c r="S26" s="27"/>
    </row>
    <row r="27" spans="1:19" s="8" customFormat="1" ht="24.95" customHeight="1" x14ac:dyDescent="0.2">
      <c r="A27" s="84"/>
      <c r="B27" s="86"/>
      <c r="C27" s="88"/>
      <c r="D27" s="53">
        <v>1</v>
      </c>
      <c r="E27" s="29">
        <v>2</v>
      </c>
      <c r="F27" s="13"/>
      <c r="G27" s="17">
        <v>42729</v>
      </c>
      <c r="H27" s="17" t="s">
        <v>176</v>
      </c>
      <c r="I27" s="56" t="s">
        <v>177</v>
      </c>
      <c r="J27" s="17">
        <v>42729</v>
      </c>
      <c r="K27" s="18"/>
      <c r="L27" s="19"/>
      <c r="M27" s="18"/>
      <c r="N27" s="47"/>
      <c r="O27" s="17"/>
      <c r="P27" s="18"/>
      <c r="Q27" s="19"/>
      <c r="R27" s="18"/>
      <c r="S27" s="27"/>
    </row>
    <row r="28" spans="1:19" s="8" customFormat="1" ht="24.95" customHeight="1" x14ac:dyDescent="0.2">
      <c r="A28" s="11">
        <f>A26+1</f>
        <v>17</v>
      </c>
      <c r="B28" s="22" t="s">
        <v>201</v>
      </c>
      <c r="C28" s="10" t="s">
        <v>64</v>
      </c>
      <c r="D28" s="53">
        <v>0</v>
      </c>
      <c r="E28" s="29">
        <v>2</v>
      </c>
      <c r="F28" s="13">
        <v>42679</v>
      </c>
      <c r="G28" s="13">
        <v>42753</v>
      </c>
      <c r="H28" s="17" t="s">
        <v>205</v>
      </c>
      <c r="I28" s="56" t="s">
        <v>208</v>
      </c>
      <c r="J28" s="13">
        <v>42754</v>
      </c>
      <c r="K28" s="18"/>
      <c r="L28" s="19"/>
      <c r="M28" s="18"/>
      <c r="N28" s="47"/>
      <c r="O28" s="17"/>
      <c r="P28" s="18"/>
      <c r="Q28" s="19"/>
      <c r="R28" s="18"/>
      <c r="S28" s="27" t="s">
        <v>202</v>
      </c>
    </row>
    <row r="29" spans="1:19" s="8" customFormat="1" ht="24.95" customHeight="1" x14ac:dyDescent="0.2">
      <c r="A29" s="11">
        <f t="shared" si="0"/>
        <v>18</v>
      </c>
      <c r="B29" s="22" t="s">
        <v>224</v>
      </c>
      <c r="C29" s="10" t="s">
        <v>65</v>
      </c>
      <c r="D29" s="53">
        <v>0</v>
      </c>
      <c r="E29" s="29">
        <v>2</v>
      </c>
      <c r="F29" s="13">
        <v>42679</v>
      </c>
      <c r="G29" s="13">
        <v>42787</v>
      </c>
      <c r="H29" s="17" t="s">
        <v>225</v>
      </c>
      <c r="I29" s="56" t="s">
        <v>229</v>
      </c>
      <c r="J29" s="13">
        <v>42787</v>
      </c>
      <c r="K29" s="23"/>
      <c r="L29" s="26"/>
      <c r="M29" s="23"/>
      <c r="N29" s="47"/>
      <c r="O29" s="23"/>
      <c r="P29" s="23"/>
      <c r="Q29" s="26"/>
      <c r="R29" s="23"/>
      <c r="S29" s="27"/>
    </row>
    <row r="30" spans="1:19" s="8" customFormat="1" ht="24.95" customHeight="1" x14ac:dyDescent="0.2">
      <c r="A30" s="11">
        <f t="shared" si="0"/>
        <v>19</v>
      </c>
      <c r="B30" s="22" t="s">
        <v>67</v>
      </c>
      <c r="C30" s="10" t="s">
        <v>66</v>
      </c>
      <c r="D30" s="28">
        <v>0</v>
      </c>
      <c r="E30" s="29">
        <v>2</v>
      </c>
      <c r="F30" s="13">
        <v>42663</v>
      </c>
      <c r="G30" s="17" t="s">
        <v>113</v>
      </c>
      <c r="H30" s="17"/>
      <c r="I30" s="14"/>
      <c r="J30" s="17"/>
      <c r="K30" s="18"/>
      <c r="L30" s="19"/>
      <c r="M30" s="18"/>
      <c r="N30" s="47"/>
      <c r="O30" s="17"/>
      <c r="P30" s="18"/>
      <c r="Q30" s="19"/>
      <c r="R30" s="18"/>
      <c r="S30" s="27"/>
    </row>
    <row r="31" spans="1:19" s="8" customFormat="1" ht="24.95" customHeight="1" x14ac:dyDescent="0.2">
      <c r="A31" s="11">
        <f t="shared" si="0"/>
        <v>20</v>
      </c>
      <c r="B31" s="22" t="s">
        <v>68</v>
      </c>
      <c r="C31" s="10" t="s">
        <v>69</v>
      </c>
      <c r="D31" s="53">
        <v>0</v>
      </c>
      <c r="E31" s="29">
        <v>2</v>
      </c>
      <c r="F31" s="13">
        <v>42663</v>
      </c>
      <c r="G31" s="17">
        <v>42680</v>
      </c>
      <c r="H31" s="17" t="s">
        <v>122</v>
      </c>
      <c r="I31" s="56" t="s">
        <v>133</v>
      </c>
      <c r="J31" s="17">
        <v>42680</v>
      </c>
      <c r="K31" s="23"/>
      <c r="L31" s="26"/>
      <c r="M31" s="23"/>
      <c r="N31" s="47"/>
      <c r="O31" s="23"/>
      <c r="P31" s="23"/>
      <c r="Q31" s="26"/>
      <c r="R31" s="23"/>
      <c r="S31" s="27" t="s">
        <v>120</v>
      </c>
    </row>
    <row r="32" spans="1:19" s="8" customFormat="1" ht="24.95" customHeight="1" x14ac:dyDescent="0.2">
      <c r="A32" s="11">
        <f t="shared" si="0"/>
        <v>21</v>
      </c>
      <c r="B32" s="22" t="s">
        <v>70</v>
      </c>
      <c r="C32" s="10" t="s">
        <v>71</v>
      </c>
      <c r="D32" s="53">
        <v>0</v>
      </c>
      <c r="E32" s="29">
        <v>2</v>
      </c>
      <c r="F32" s="13">
        <v>42663</v>
      </c>
      <c r="G32" s="17">
        <v>42680</v>
      </c>
      <c r="H32" s="17" t="s">
        <v>122</v>
      </c>
      <c r="I32" s="56" t="s">
        <v>133</v>
      </c>
      <c r="J32" s="17">
        <v>42680</v>
      </c>
      <c r="K32" s="18"/>
      <c r="L32" s="19"/>
      <c r="M32" s="18"/>
      <c r="N32" s="47"/>
      <c r="O32" s="17"/>
      <c r="P32" s="18"/>
      <c r="Q32" s="19"/>
      <c r="R32" s="18"/>
      <c r="S32" s="27" t="s">
        <v>120</v>
      </c>
    </row>
    <row r="33" spans="1:20" s="8" customFormat="1" ht="24.95" customHeight="1" x14ac:dyDescent="0.2">
      <c r="A33" s="11">
        <f t="shared" si="0"/>
        <v>22</v>
      </c>
      <c r="B33" s="22" t="s">
        <v>72</v>
      </c>
      <c r="C33" s="10" t="s">
        <v>73</v>
      </c>
      <c r="D33" s="53">
        <v>0</v>
      </c>
      <c r="E33" s="29">
        <v>2</v>
      </c>
      <c r="F33" s="13">
        <v>42663</v>
      </c>
      <c r="G33" s="17">
        <v>42680</v>
      </c>
      <c r="H33" s="17" t="s">
        <v>122</v>
      </c>
      <c r="I33" s="56" t="s">
        <v>133</v>
      </c>
      <c r="J33" s="17">
        <v>42680</v>
      </c>
      <c r="K33" s="18"/>
      <c r="L33" s="19"/>
      <c r="M33" s="18"/>
      <c r="N33" s="47"/>
      <c r="O33" s="17"/>
      <c r="P33" s="18"/>
      <c r="Q33" s="19"/>
      <c r="R33" s="18"/>
      <c r="S33" s="27" t="s">
        <v>120</v>
      </c>
    </row>
    <row r="34" spans="1:20" s="8" customFormat="1" ht="24.95" customHeight="1" x14ac:dyDescent="0.2">
      <c r="A34" s="11">
        <f t="shared" si="0"/>
        <v>23</v>
      </c>
      <c r="B34" s="22" t="s">
        <v>74</v>
      </c>
      <c r="C34" s="10" t="s">
        <v>79</v>
      </c>
      <c r="D34" s="28">
        <v>0</v>
      </c>
      <c r="E34" s="29">
        <v>2</v>
      </c>
      <c r="F34" s="17">
        <v>42668</v>
      </c>
      <c r="G34" s="24"/>
      <c r="H34" s="24"/>
      <c r="I34" s="25"/>
      <c r="J34" s="26"/>
      <c r="K34" s="23"/>
      <c r="L34" s="26"/>
      <c r="M34" s="23"/>
      <c r="N34" s="47"/>
      <c r="O34" s="23"/>
      <c r="P34" s="23"/>
      <c r="Q34" s="26"/>
      <c r="R34" s="23"/>
      <c r="S34" s="27"/>
    </row>
    <row r="35" spans="1:20" s="8" customFormat="1" ht="24.95" customHeight="1" x14ac:dyDescent="0.2">
      <c r="A35" s="11">
        <f t="shared" si="0"/>
        <v>24</v>
      </c>
      <c r="B35" s="50" t="s">
        <v>75</v>
      </c>
      <c r="C35" s="10" t="s">
        <v>80</v>
      </c>
      <c r="D35" s="28">
        <v>0</v>
      </c>
      <c r="E35" s="29">
        <v>2</v>
      </c>
      <c r="F35" s="17">
        <v>42668</v>
      </c>
      <c r="G35" s="17"/>
      <c r="H35" s="17"/>
      <c r="I35" s="14"/>
      <c r="J35" s="17"/>
      <c r="K35" s="18"/>
      <c r="L35" s="19"/>
      <c r="M35" s="18"/>
      <c r="N35" s="47"/>
      <c r="O35" s="17"/>
      <c r="P35" s="18"/>
      <c r="Q35" s="19"/>
      <c r="R35" s="18"/>
      <c r="S35" s="27"/>
    </row>
    <row r="36" spans="1:20" s="8" customFormat="1" ht="24.95" customHeight="1" x14ac:dyDescent="0.2">
      <c r="A36" s="61">
        <v>25</v>
      </c>
      <c r="B36" s="62" t="s">
        <v>153</v>
      </c>
      <c r="C36" s="10" t="s">
        <v>140</v>
      </c>
      <c r="D36" s="53">
        <v>0</v>
      </c>
      <c r="E36" s="29">
        <v>2</v>
      </c>
      <c r="F36" s="17"/>
      <c r="G36" s="17">
        <v>42704</v>
      </c>
      <c r="H36" s="17" t="s">
        <v>154</v>
      </c>
      <c r="I36" s="56" t="s">
        <v>162</v>
      </c>
      <c r="J36" s="17">
        <v>42712</v>
      </c>
      <c r="K36" s="18"/>
      <c r="L36" s="19"/>
      <c r="M36" s="18"/>
      <c r="N36" s="47"/>
      <c r="O36" s="17"/>
      <c r="P36" s="18"/>
      <c r="Q36" s="19"/>
      <c r="R36" s="18"/>
      <c r="S36" s="27"/>
    </row>
    <row r="37" spans="1:20" s="8" customFormat="1" ht="24.95" customHeight="1" x14ac:dyDescent="0.2">
      <c r="A37" s="61">
        <v>26</v>
      </c>
      <c r="B37" s="70" t="s">
        <v>145</v>
      </c>
      <c r="C37" s="10" t="s">
        <v>144</v>
      </c>
      <c r="D37" s="53">
        <v>0</v>
      </c>
      <c r="E37" s="29">
        <v>2</v>
      </c>
      <c r="F37" s="17"/>
      <c r="G37" s="17">
        <v>42695</v>
      </c>
      <c r="H37" s="17" t="s">
        <v>146</v>
      </c>
      <c r="I37" s="56" t="s">
        <v>148</v>
      </c>
      <c r="J37" s="17">
        <v>42696</v>
      </c>
      <c r="K37" s="18"/>
      <c r="L37" s="19"/>
      <c r="M37" s="18"/>
      <c r="N37" s="47"/>
      <c r="O37" s="17"/>
      <c r="P37" s="18"/>
      <c r="Q37" s="19"/>
      <c r="R37" s="18"/>
      <c r="S37" s="27" t="s">
        <v>120</v>
      </c>
    </row>
    <row r="38" spans="1:20" s="8" customFormat="1" ht="24.95" customHeight="1" x14ac:dyDescent="0.2">
      <c r="A38" s="11"/>
      <c r="B38" s="50"/>
      <c r="C38" s="10"/>
      <c r="D38" s="30"/>
      <c r="E38" s="29"/>
      <c r="F38" s="17"/>
      <c r="G38" s="24"/>
      <c r="H38" s="24"/>
      <c r="I38" s="25"/>
      <c r="J38" s="26"/>
      <c r="K38" s="23"/>
      <c r="L38" s="26"/>
      <c r="M38" s="23"/>
      <c r="N38" s="47"/>
      <c r="O38" s="23"/>
      <c r="P38" s="23"/>
      <c r="Q38" s="26"/>
      <c r="R38" s="23"/>
      <c r="S38" s="27"/>
    </row>
    <row r="42" spans="1:20" s="51" customFormat="1" ht="20.25" customHeight="1" x14ac:dyDescent="0.2">
      <c r="A42" s="51" t="s">
        <v>78</v>
      </c>
      <c r="L42" s="52"/>
      <c r="N42" s="52"/>
      <c r="Q42" s="52"/>
      <c r="T42" s="52"/>
    </row>
    <row r="43" spans="1:20" s="51" customFormat="1" ht="20.25" customHeight="1" x14ac:dyDescent="0.2">
      <c r="A43" s="51" t="s">
        <v>77</v>
      </c>
      <c r="L43" s="52"/>
      <c r="N43" s="52"/>
      <c r="Q43" s="52"/>
      <c r="T43" s="52"/>
    </row>
    <row r="44" spans="1:20" s="51" customFormat="1" ht="20.25" customHeight="1" x14ac:dyDescent="0.2">
      <c r="A44" s="51" t="s">
        <v>76</v>
      </c>
      <c r="L44" s="52"/>
      <c r="N44" s="52"/>
      <c r="Q44" s="52"/>
      <c r="T44" s="52"/>
    </row>
  </sheetData>
  <mergeCells count="39">
    <mergeCell ref="N5:R5"/>
    <mergeCell ref="N7:O7"/>
    <mergeCell ref="P7:R7"/>
    <mergeCell ref="R1:S1"/>
    <mergeCell ref="R2:S2"/>
    <mergeCell ref="R3:S3"/>
    <mergeCell ref="R4:S4"/>
    <mergeCell ref="S5:S8"/>
    <mergeCell ref="N6:R6"/>
    <mergeCell ref="C1:M1"/>
    <mergeCell ref="C2:M2"/>
    <mergeCell ref="C3:M3"/>
    <mergeCell ref="C4:M4"/>
    <mergeCell ref="N1:Q1"/>
    <mergeCell ref="N2:Q2"/>
    <mergeCell ref="N3:Q3"/>
    <mergeCell ref="N4:Q4"/>
    <mergeCell ref="G6:J6"/>
    <mergeCell ref="F5:F8"/>
    <mergeCell ref="K6:M6"/>
    <mergeCell ref="I5:J5"/>
    <mergeCell ref="K5:M5"/>
    <mergeCell ref="G7:H7"/>
    <mergeCell ref="I7:J7"/>
    <mergeCell ref="K7:M7"/>
    <mergeCell ref="E5:E8"/>
    <mergeCell ref="A5:A8"/>
    <mergeCell ref="B5:B8"/>
    <mergeCell ref="C5:C8"/>
    <mergeCell ref="D5:D8"/>
    <mergeCell ref="A26:A27"/>
    <mergeCell ref="B26:B27"/>
    <mergeCell ref="C26:C27"/>
    <mergeCell ref="A11:A12"/>
    <mergeCell ref="B11:B12"/>
    <mergeCell ref="C11:C12"/>
    <mergeCell ref="A24:A25"/>
    <mergeCell ref="B24:B25"/>
    <mergeCell ref="C24:C25"/>
  </mergeCells>
  <hyperlinks>
    <hyperlink ref="D9" r:id="rId1" display="..\..\DRAWINGS\3249-NN-001\REV-0"/>
    <hyperlink ref="D10" r:id="rId2" display="..\..\DRAWINGS\3249-NN-002\REV-0"/>
    <hyperlink ref="D11" r:id="rId3" display="..\..\DRAWINGS\3249-NN-003\REV-0"/>
    <hyperlink ref="D13" r:id="rId4" display="..\..\DRAWINGS\3249-NN-004\REV-0"/>
    <hyperlink ref="D31" r:id="rId5" display="..\..\DRAWINGS\3249-NN-020\REV-0"/>
    <hyperlink ref="D32" r:id="rId6" display="..\..\DRAWINGS\3249-NN-021\REV-0"/>
    <hyperlink ref="D33" r:id="rId7" display="..\..\DRAWINGS\3249-NN-022\REV-0"/>
    <hyperlink ref="D14" r:id="rId8" display="..\..\DRAWINGS\3249-NN-005\REV-0"/>
    <hyperlink ref="D15" r:id="rId9" display="..\..\DRAWINGS\3249-NN-006\REV-0"/>
    <hyperlink ref="D12" r:id="rId10" display="..\..\DRAWINGS\3249-NN-003\REV-1"/>
    <hyperlink ref="L9" r:id="rId11"/>
    <hyperlink ref="L10" r:id="rId12"/>
    <hyperlink ref="L11" r:id="rId13"/>
    <hyperlink ref="L13" r:id="rId14"/>
    <hyperlink ref="D37" r:id="rId15" display="..\..\DRAWINGS\3249-NN-026\REV-0"/>
    <hyperlink ref="D16" r:id="rId16" display="..\..\DRAWINGS\3249-NN-007\REV-0"/>
    <hyperlink ref="D18" r:id="rId17" display="..\..\DRAWINGS\3249-NN-009\REV-0"/>
    <hyperlink ref="D19" r:id="rId18" display="..\..\DRAWINGS\3249-NN-010\REV-0"/>
    <hyperlink ref="D36" r:id="rId19" display="..\..\DRAWINGS\3249-NN-025\REV-0"/>
    <hyperlink ref="D26" r:id="rId20" display="..\..\DRAWINGS\3249-NN-016\REV-0"/>
    <hyperlink ref="D27" r:id="rId21" display="..\..\DRAWINGS\3249-NN-016\REV-1"/>
    <hyperlink ref="D24" r:id="rId22" display="..\..\DRAWINGS\3249-NN-015\REV-0"/>
    <hyperlink ref="D25" r:id="rId23" display="..\..\DRAWINGS\3249-NN-015\REV-1"/>
    <hyperlink ref="D28" r:id="rId24" display="..\..\DRAWINGS\3249-NN-017"/>
    <hyperlink ref="D29" r:id="rId25" display="..\..\DRAWINGS\3249-NN-018\REV-0"/>
  </hyperlinks>
  <printOptions horizontalCentered="1"/>
  <pageMargins left="0.25" right="0.25" top="0.5" bottom="0.5" header="0.25" footer="0.25"/>
  <pageSetup paperSize="9" scale="65" orientation="landscape" r:id="rId26"/>
  <headerFooter alignWithMargins="0">
    <oddFooter xml:space="preserve">&amp;L&amp;"Tahoma,Regular"&amp;8DOCUMENT CLASS : (1) ISSUED FOR APPROVAL; (2) ISSUED FOR REVIEW &amp; COMMENTS; (3) ISSUED FOR INFORMATION&amp;R&amp;"Tahoma,Regular"&amp;8APPROVAL CODE : (1) REJECTED; (2) COMMENTED - WORK MAY PROCEED; (3) APPROVED; (4) INFORMATION </oddFooter>
  </headerFooter>
  <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Documents - Pipeline &amp; Cable</vt:lpstr>
      <vt:lpstr>Documents - Naval Marine</vt:lpstr>
      <vt:lpstr>Drawings</vt:lpstr>
      <vt:lpstr>'Documents - Naval Marine'!Print_Titles</vt:lpstr>
      <vt:lpstr>'Documents - Pipeline &amp; Cable'!Print_Titles</vt:lpstr>
      <vt:lpstr>Drawings!Print_Titles</vt:lpstr>
    </vt:vector>
  </TitlesOfParts>
  <Company>NPCC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Ravi Chandran (NPCC)</cp:lastModifiedBy>
  <cp:lastPrinted>2014-03-25T05:33:58Z</cp:lastPrinted>
  <dcterms:created xsi:type="dcterms:W3CDTF">2007-10-29T11:02:38Z</dcterms:created>
  <dcterms:modified xsi:type="dcterms:W3CDTF">2017-02-26T07:10:24Z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