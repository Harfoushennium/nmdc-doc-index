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.local\fs\Departments\Offshore\Offshore Technical\ConstructionEngineering\ConstructionEnggProjects\PROJECTS\2207 CAMPAING II\REGISTERS\"/>
    </mc:Choice>
  </mc:AlternateContent>
  <bookViews>
    <workbookView xWindow="0" yWindow="0" windowWidth="19200" windowHeight="11460" tabRatio="789" activeTab="2"/>
  </bookViews>
  <sheets>
    <sheet name="Documents - Pipeline &amp; Cable" sheetId="19" r:id="rId1"/>
    <sheet name="Documents - Naval Marine" sheetId="21" r:id="rId2"/>
    <sheet name="Drawings" sheetId="20" r:id="rId3"/>
    <sheet name="Sheet1" sheetId="22" r:id="rId4"/>
  </sheets>
  <definedNames>
    <definedName name="_xlnm._FilterDatabase" localSheetId="1" hidden="1">'Documents - Naval Marine'!$I$1:$I$163</definedName>
    <definedName name="_xlnm._FilterDatabase" localSheetId="0" hidden="1">'Documents - Pipeline &amp; Cable'!$W$1:$W$222</definedName>
    <definedName name="_xlnm._FilterDatabase" localSheetId="2" hidden="1">Drawings!$A$1:$AI$421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</definedNames>
  <calcPr calcId="162913"/>
</workbook>
</file>

<file path=xl/calcChain.xml><?xml version="1.0" encoding="utf-8"?>
<calcChain xmlns="http://schemas.openxmlformats.org/spreadsheetml/2006/main">
  <c r="I24" i="21" l="1"/>
  <c r="A219" i="19" l="1"/>
  <c r="G167" i="20" l="1"/>
  <c r="G169" i="20" s="1"/>
  <c r="G171" i="20" s="1"/>
  <c r="G172" i="20" s="1"/>
  <c r="G174" i="20" s="1"/>
  <c r="G176" i="20" s="1"/>
  <c r="G177" i="20" s="1"/>
  <c r="G178" i="20" s="1"/>
  <c r="G179" i="20" s="1"/>
  <c r="G180" i="20" s="1"/>
  <c r="G181" i="20" s="1"/>
  <c r="G182" i="20" s="1"/>
  <c r="G183" i="20" s="1"/>
  <c r="G184" i="20" s="1"/>
  <c r="G185" i="20" s="1"/>
  <c r="G186" i="20" s="1"/>
  <c r="G187" i="20" s="1"/>
  <c r="G188" i="20" s="1"/>
  <c r="G189" i="20" s="1"/>
  <c r="G190" i="20" s="1"/>
  <c r="G191" i="20" s="1"/>
  <c r="I214" i="19"/>
  <c r="I120" i="21" l="1"/>
  <c r="I100" i="20" l="1"/>
  <c r="I74" i="20" l="1"/>
  <c r="I76" i="20"/>
  <c r="I80" i="20"/>
  <c r="I81" i="20"/>
  <c r="I83" i="20"/>
  <c r="I85" i="20"/>
  <c r="I86" i="20"/>
  <c r="I88" i="20"/>
  <c r="I90" i="20"/>
  <c r="I91" i="20"/>
  <c r="I93" i="20"/>
  <c r="I95" i="20"/>
  <c r="I96" i="20"/>
  <c r="I98" i="20"/>
  <c r="I101" i="20"/>
  <c r="I103" i="20"/>
  <c r="I105" i="20"/>
  <c r="I106" i="20"/>
  <c r="I108" i="20"/>
  <c r="I110" i="20"/>
  <c r="I111" i="20"/>
  <c r="I113" i="20"/>
  <c r="I117" i="20"/>
  <c r="I118" i="20"/>
  <c r="I120" i="20"/>
  <c r="I124" i="20"/>
  <c r="I125" i="20"/>
  <c r="I127" i="20"/>
  <c r="I131" i="20"/>
  <c r="I132" i="20"/>
  <c r="I134" i="20"/>
  <c r="I136" i="20"/>
  <c r="I137" i="20"/>
  <c r="I139" i="20"/>
  <c r="I141" i="20"/>
  <c r="I146" i="20"/>
  <c r="I196" i="20"/>
  <c r="I241" i="20"/>
  <c r="I330" i="20"/>
  <c r="I331" i="20"/>
  <c r="I373" i="20"/>
  <c r="I32" i="21"/>
  <c r="I33" i="21"/>
  <c r="I36" i="21"/>
  <c r="I40" i="21"/>
  <c r="I41" i="21"/>
  <c r="I42" i="21"/>
  <c r="I44" i="21"/>
  <c r="I45" i="21"/>
  <c r="I49" i="21"/>
  <c r="I50" i="21"/>
  <c r="I51" i="21"/>
  <c r="I52" i="21"/>
  <c r="I53" i="21"/>
  <c r="I54" i="21"/>
  <c r="I57" i="21"/>
  <c r="I58" i="21"/>
  <c r="I72" i="21"/>
  <c r="I73" i="21"/>
  <c r="I75" i="21"/>
  <c r="I76" i="21"/>
  <c r="I78" i="21"/>
  <c r="I83" i="21"/>
  <c r="I84" i="21"/>
  <c r="I85" i="21"/>
  <c r="I116" i="21"/>
  <c r="I117" i="21"/>
  <c r="I118" i="21"/>
  <c r="J163" i="19"/>
  <c r="J187" i="19"/>
  <c r="J189" i="19"/>
  <c r="J192" i="19"/>
  <c r="J195" i="19"/>
  <c r="J199" i="19"/>
  <c r="J210" i="19"/>
  <c r="J211" i="19"/>
  <c r="J212" i="19"/>
  <c r="G359" i="20" l="1"/>
  <c r="I119" i="21"/>
  <c r="J213" i="19" l="1"/>
  <c r="G360" i="20"/>
  <c r="A10" i="20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11" i="21"/>
  <c r="A12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9" i="21" s="1"/>
  <c r="A30" i="21" s="1"/>
  <c r="A31" i="21" s="1"/>
  <c r="A32" i="21" s="1"/>
  <c r="A33" i="21" s="1"/>
  <c r="A34" i="21" s="1"/>
  <c r="A35" i="21" s="1"/>
  <c r="A36" i="21" s="1"/>
  <c r="A37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7" i="21" s="1"/>
  <c r="A58" i="21" s="1"/>
  <c r="A59" i="21" s="1"/>
  <c r="I59" i="21" l="1"/>
  <c r="G361" i="20"/>
  <c r="A60" i="21"/>
  <c r="A62" i="21" s="1"/>
  <c r="A63" i="21" s="1"/>
  <c r="A64" i="21" s="1"/>
  <c r="A65" i="21" s="1"/>
  <c r="A66" i="21" s="1"/>
  <c r="A67" i="21" s="1"/>
  <c r="A68" i="21" s="1"/>
  <c r="A72" i="21" s="1"/>
  <c r="A73" i="21" s="1"/>
  <c r="A75" i="21" s="1"/>
  <c r="A76" i="21" s="1"/>
  <c r="A78" i="21" s="1"/>
  <c r="A75" i="20"/>
  <c r="A76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A93" i="20" s="1"/>
  <c r="A94" i="20" s="1"/>
  <c r="A95" i="20" s="1"/>
  <c r="A96" i="20" s="1"/>
  <c r="A97" i="20" s="1"/>
  <c r="A98" i="20" s="1"/>
  <c r="A99" i="20" s="1"/>
  <c r="A100" i="20" s="1"/>
  <c r="A101" i="20" s="1"/>
  <c r="A102" i="20" s="1"/>
  <c r="A103" i="20" s="1"/>
  <c r="A104" i="20" s="1"/>
  <c r="A105" i="20" s="1"/>
  <c r="A106" i="20" s="1"/>
  <c r="A107" i="20" s="1"/>
  <c r="A108" i="20" s="1"/>
  <c r="A109" i="20" s="1"/>
  <c r="A110" i="20" s="1"/>
  <c r="A111" i="20" s="1"/>
  <c r="A112" i="20" s="1"/>
  <c r="A113" i="20" s="1"/>
  <c r="A116" i="20" s="1"/>
  <c r="A117" i="20" s="1"/>
  <c r="A118" i="20" s="1"/>
  <c r="A119" i="20" s="1"/>
  <c r="A120" i="20" s="1"/>
  <c r="A123" i="20" s="1"/>
  <c r="A124" i="20" s="1"/>
  <c r="A125" i="20" s="1"/>
  <c r="A126" i="20" s="1"/>
  <c r="A127" i="20" s="1"/>
  <c r="A130" i="20" s="1"/>
  <c r="A131" i="20" s="1"/>
  <c r="A132" i="20" s="1"/>
  <c r="A133" i="20" s="1"/>
  <c r="A134" i="20" s="1"/>
  <c r="A135" i="20" s="1"/>
  <c r="A136" i="20" s="1"/>
  <c r="A137" i="20" s="1"/>
  <c r="A138" i="20" s="1"/>
  <c r="A139" i="20" s="1"/>
  <c r="A140" i="20" s="1"/>
  <c r="A141" i="20" s="1"/>
  <c r="A142" i="20" s="1"/>
  <c r="A143" i="20" s="1"/>
  <c r="A144" i="20" s="1"/>
  <c r="A145" i="20" s="1"/>
  <c r="A146" i="20" s="1"/>
  <c r="A147" i="20" s="1"/>
  <c r="A150" i="20" s="1"/>
  <c r="A153" i="20" s="1"/>
  <c r="A155" i="20" s="1"/>
  <c r="A156" i="20" s="1"/>
  <c r="A157" i="20" s="1"/>
  <c r="A159" i="20" s="1"/>
  <c r="A160" i="20" s="1"/>
  <c r="A161" i="20" s="1"/>
  <c r="A162" i="20" s="1"/>
  <c r="A165" i="20" s="1"/>
  <c r="A167" i="20" s="1"/>
  <c r="A169" i="20" s="1"/>
  <c r="A171" i="20" s="1"/>
  <c r="A172" i="20" s="1"/>
  <c r="A174" i="20" s="1"/>
  <c r="A176" i="20" s="1"/>
  <c r="A177" i="20" s="1"/>
  <c r="A178" i="20" s="1"/>
  <c r="A179" i="20" s="1"/>
  <c r="A180" i="20" s="1"/>
  <c r="A181" i="20" s="1"/>
  <c r="A182" i="20" s="1"/>
  <c r="A183" i="20" s="1"/>
  <c r="A184" i="20" s="1"/>
  <c r="A185" i="20" s="1"/>
  <c r="A186" i="20" s="1"/>
  <c r="A187" i="20" s="1"/>
  <c r="A188" i="20" s="1"/>
  <c r="A189" i="20" s="1"/>
  <c r="A190" i="20" s="1"/>
  <c r="A191" i="20" s="1"/>
  <c r="A192" i="20" s="1"/>
  <c r="A193" i="20" s="1"/>
  <c r="A194" i="20" s="1"/>
  <c r="A195" i="20" s="1"/>
  <c r="A196" i="20" s="1"/>
  <c r="A197" i="20" s="1"/>
  <c r="A198" i="20" s="1"/>
  <c r="A199" i="20" s="1"/>
  <c r="A201" i="20" s="1"/>
  <c r="A202" i="20" s="1"/>
  <c r="A203" i="20" s="1"/>
  <c r="A204" i="20" s="1"/>
  <c r="A205" i="20" s="1"/>
  <c r="A206" i="20" s="1"/>
  <c r="A208" i="20" s="1"/>
  <c r="A209" i="20" s="1"/>
  <c r="A210" i="20" s="1"/>
  <c r="A211" i="20" s="1"/>
  <c r="A212" i="20" s="1"/>
  <c r="A213" i="20" s="1"/>
  <c r="A215" i="20" s="1"/>
  <c r="A216" i="20" s="1"/>
  <c r="A217" i="20" s="1"/>
  <c r="A218" i="20" s="1"/>
  <c r="A219" i="20" s="1"/>
  <c r="A220" i="20" s="1"/>
  <c r="A221" i="20" s="1"/>
  <c r="A222" i="20" s="1"/>
  <c r="A223" i="20" s="1"/>
  <c r="A225" i="20" s="1"/>
  <c r="A227" i="20" s="1"/>
  <c r="A228" i="20" s="1"/>
  <c r="A230" i="20" s="1"/>
  <c r="A232" i="20" s="1"/>
  <c r="A234" i="20" s="1"/>
  <c r="A235" i="20" s="1"/>
  <c r="A238" i="20" s="1"/>
  <c r="A239" i="20" s="1"/>
  <c r="A240" i="20" s="1"/>
  <c r="A241" i="20" s="1"/>
  <c r="A243" i="20" s="1"/>
  <c r="A244" i="20" s="1"/>
  <c r="A246" i="20" s="1"/>
  <c r="A247" i="20" s="1"/>
  <c r="A248" i="20" s="1"/>
  <c r="A249" i="20" s="1"/>
  <c r="A250" i="20" s="1"/>
  <c r="A251" i="20" s="1"/>
  <c r="A252" i="20" s="1"/>
  <c r="A253" i="20" s="1"/>
  <c r="A255" i="20" s="1"/>
  <c r="A258" i="20" s="1"/>
  <c r="A260" i="20" s="1"/>
  <c r="A264" i="20" s="1"/>
  <c r="A267" i="20" s="1"/>
  <c r="A268" i="20" s="1"/>
  <c r="A269" i="20" s="1"/>
  <c r="A271" i="20" s="1"/>
  <c r="A275" i="20" s="1"/>
  <c r="A277" i="20" s="1"/>
  <c r="A280" i="20" s="1"/>
  <c r="A282" i="20" s="1"/>
  <c r="A285" i="20" s="1"/>
  <c r="A287" i="20" s="1"/>
  <c r="A289" i="20" s="1"/>
  <c r="A291" i="20" s="1"/>
  <c r="A293" i="20" s="1"/>
  <c r="A295" i="20" s="1"/>
  <c r="A297" i="20" s="1"/>
  <c r="A298" i="20" s="1"/>
  <c r="A300" i="20" s="1"/>
  <c r="A302" i="20" s="1"/>
  <c r="A304" i="20" s="1"/>
  <c r="A307" i="20" s="1"/>
  <c r="A310" i="20" s="1"/>
  <c r="A312" i="20" s="1"/>
  <c r="A315" i="20" s="1"/>
  <c r="A318" i="20" s="1"/>
  <c r="A321" i="20" s="1"/>
  <c r="A324" i="20" s="1"/>
  <c r="A327" i="20" s="1"/>
  <c r="A329" i="20" s="1"/>
  <c r="A330" i="20" s="1"/>
  <c r="A331" i="20" s="1"/>
  <c r="A332" i="20" s="1"/>
  <c r="A333" i="20" s="1"/>
  <c r="A334" i="20" s="1"/>
  <c r="A338" i="20" s="1"/>
  <c r="A339" i="20" s="1"/>
  <c r="A343" i="20" s="1"/>
  <c r="A344" i="20" s="1"/>
  <c r="A345" i="20" s="1"/>
  <c r="A346" i="20" s="1"/>
  <c r="A347" i="20" s="1"/>
  <c r="A348" i="20" s="1"/>
  <c r="A349" i="20" s="1"/>
  <c r="A350" i="20" s="1"/>
  <c r="A351" i="20" s="1"/>
  <c r="A352" i="20" s="1"/>
  <c r="A353" i="20" s="1"/>
  <c r="A354" i="20" s="1"/>
  <c r="A355" i="20" s="1"/>
  <c r="A356" i="20" s="1"/>
  <c r="A357" i="20" s="1"/>
  <c r="A358" i="20" s="1"/>
  <c r="A359" i="20" s="1"/>
  <c r="A360" i="20" s="1"/>
  <c r="A361" i="20" s="1"/>
  <c r="A362" i="20" s="1"/>
  <c r="A363" i="20" s="1"/>
  <c r="A364" i="20" s="1"/>
  <c r="A365" i="20" s="1"/>
  <c r="A366" i="20" s="1"/>
  <c r="A367" i="20" s="1"/>
  <c r="A368" i="20" s="1"/>
  <c r="A369" i="20" s="1"/>
  <c r="A370" i="20" s="1"/>
  <c r="A371" i="20" s="1"/>
  <c r="A373" i="20" s="1"/>
  <c r="A11" i="19"/>
  <c r="A14" i="19" s="1"/>
  <c r="A15" i="19" s="1"/>
  <c r="A17" i="19" s="1"/>
  <c r="A19" i="19" s="1"/>
  <c r="A22" i="19" s="1"/>
  <c r="A24" i="19" s="1"/>
  <c r="A26" i="19" s="1"/>
  <c r="A28" i="19" s="1"/>
  <c r="A30" i="19" s="1"/>
  <c r="A90" i="21" l="1"/>
  <c r="A92" i="21" s="1"/>
  <c r="A94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I96" i="21"/>
  <c r="G362" i="20"/>
  <c r="A32" i="19"/>
  <c r="A34" i="19" s="1"/>
  <c r="A36" i="19" s="1"/>
  <c r="A37" i="19" s="1"/>
  <c r="A39" i="19" s="1"/>
  <c r="A41" i="19" s="1"/>
  <c r="A43" i="19" s="1"/>
  <c r="A45" i="19" s="1"/>
  <c r="A47" i="19" s="1"/>
  <c r="A49" i="19" s="1"/>
  <c r="A51" i="19" s="1"/>
  <c r="A52" i="19" s="1"/>
  <c r="A54" i="19" s="1"/>
  <c r="A56" i="19" s="1"/>
  <c r="A58" i="19" s="1"/>
  <c r="A61" i="19" s="1"/>
  <c r="A63" i="19" s="1"/>
  <c r="A67" i="19" s="1"/>
  <c r="A68" i="19" s="1"/>
  <c r="A70" i="19" s="1"/>
  <c r="A72" i="19" s="1"/>
  <c r="A75" i="19" s="1"/>
  <c r="A77" i="19" s="1"/>
  <c r="A79" i="19" s="1"/>
  <c r="A80" i="19" s="1"/>
  <c r="A82" i="19" s="1"/>
  <c r="A84" i="19" s="1"/>
  <c r="A86" i="19" s="1"/>
  <c r="A88" i="19" s="1"/>
  <c r="A90" i="19" s="1"/>
  <c r="A92" i="19" s="1"/>
  <c r="A94" i="19" s="1"/>
  <c r="A98" i="19" s="1"/>
  <c r="A100" i="19" s="1"/>
  <c r="A103" i="19" s="1"/>
  <c r="A106" i="19" s="1"/>
  <c r="A109" i="19" s="1"/>
  <c r="A111" i="19" s="1"/>
  <c r="A113" i="19" s="1"/>
  <c r="A117" i="19" s="1"/>
  <c r="A121" i="19" s="1"/>
  <c r="A124" i="19" s="1"/>
  <c r="A128" i="19" s="1"/>
  <c r="A131" i="19" s="1"/>
  <c r="A133" i="19" s="1"/>
  <c r="A134" i="19" s="1"/>
  <c r="A135" i="19" s="1"/>
  <c r="A136" i="19" s="1"/>
  <c r="A137" i="19" s="1"/>
  <c r="A139" i="19" s="1"/>
  <c r="A140" i="19" s="1"/>
  <c r="A141" i="19" s="1"/>
  <c r="A142" i="19" s="1"/>
  <c r="A143" i="19" s="1"/>
  <c r="A144" i="19" s="1"/>
  <c r="A145" i="19" s="1"/>
  <c r="A146" i="19" s="1"/>
  <c r="A148" i="19" s="1"/>
  <c r="A149" i="19" s="1"/>
  <c r="A151" i="19" s="1"/>
  <c r="A152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5" i="19" s="1"/>
  <c r="A166" i="19" s="1"/>
  <c r="A167" i="19" s="1"/>
  <c r="A169" i="19" s="1"/>
  <c r="A171" i="19" s="1"/>
  <c r="A173" i="19" s="1"/>
  <c r="A175" i="19" s="1"/>
  <c r="A177" i="19" s="1"/>
  <c r="A179" i="19" s="1"/>
  <c r="A181" i="19" s="1"/>
  <c r="A182" i="19" s="1"/>
  <c r="A183" i="19" s="1"/>
  <c r="A185" i="19" s="1"/>
  <c r="A186" i="19" s="1"/>
  <c r="A187" i="19" s="1"/>
  <c r="A189" i="19" s="1"/>
  <c r="A191" i="19" s="1"/>
  <c r="A192" i="19" s="1"/>
  <c r="A194" i="19" s="1"/>
  <c r="A195" i="19" s="1"/>
  <c r="A197" i="19" s="1"/>
  <c r="A198" i="19" s="1"/>
  <c r="A199" i="19" s="1"/>
  <c r="A201" i="19" s="1"/>
  <c r="A202" i="19" s="1"/>
  <c r="A203" i="19" s="1"/>
  <c r="A204" i="19" s="1"/>
  <c r="A205" i="19" s="1"/>
  <c r="A207" i="19" s="1"/>
  <c r="A209" i="19" s="1"/>
  <c r="A210" i="19" s="1"/>
  <c r="A211" i="19" s="1"/>
  <c r="A212" i="19" s="1"/>
  <c r="A213" i="19" s="1"/>
  <c r="A214" i="19" l="1"/>
  <c r="A215" i="19" s="1"/>
  <c r="A217" i="19" s="1"/>
  <c r="I97" i="21"/>
  <c r="G363" i="20"/>
  <c r="I98" i="21" l="1"/>
  <c r="G364" i="20"/>
  <c r="G365" i="20" l="1"/>
  <c r="G366" i="20" l="1"/>
  <c r="G367" i="20" l="1"/>
  <c r="I102" i="21" l="1"/>
  <c r="G368" i="20"/>
  <c r="I103" i="21" l="1"/>
  <c r="G369" i="20"/>
  <c r="I104" i="21" l="1"/>
  <c r="G370" i="20"/>
  <c r="I105" i="21" l="1"/>
  <c r="I106" i="21" l="1"/>
  <c r="I107" i="21" l="1"/>
  <c r="I183" i="20"/>
  <c r="I108" i="21" l="1"/>
  <c r="I184" i="20"/>
  <c r="I109" i="21" l="1"/>
  <c r="I185" i="20"/>
  <c r="I110" i="21" l="1"/>
  <c r="I186" i="20"/>
  <c r="I111" i="21" l="1"/>
  <c r="I187" i="20"/>
  <c r="I112" i="21" l="1"/>
  <c r="I188" i="20"/>
  <c r="I113" i="21" l="1"/>
  <c r="I189" i="20"/>
  <c r="I115" i="21" l="1"/>
  <c r="I114" i="21"/>
  <c r="I191" i="20"/>
  <c r="I190" i="20"/>
</calcChain>
</file>

<file path=xl/sharedStrings.xml><?xml version="1.0" encoding="utf-8"?>
<sst xmlns="http://schemas.openxmlformats.org/spreadsheetml/2006/main" count="7236" uniqueCount="3460">
  <si>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</si>
  <si>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</si>
  <si>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</si>
  <si>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</si>
  <si>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</si>
  <si>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</si>
  <si>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</si>
  <si>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</si>
  <si>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</si>
  <si>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</si>
  <si>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ABU DHABI MARINE OPERATING COMPANY (ADMA-OPCO)</t>
  </si>
  <si>
    <t>CODE</t>
  </si>
  <si>
    <t xml:space="preserve">SUBMISSION PLAN </t>
  </si>
  <si>
    <t>NPCC</t>
  </si>
  <si>
    <t>ADMA-OPCO</t>
  </si>
  <si>
    <t>REV.</t>
  </si>
  <si>
    <t>ADMA DOC. No. :</t>
  </si>
  <si>
    <t>NPCC
DOCUMENT NUMBER</t>
  </si>
  <si>
    <t>ADMA-OPCO
DOCUMENT NUMBER</t>
  </si>
  <si>
    <t>OFFSHORE CONSTRUCTION ENGINEERING DRAWINGS</t>
  </si>
  <si>
    <t>OFFSHORE CONSTRUCTION ENGINEERING DOCUMENTS (PIPELINE &amp; CABLE)</t>
  </si>
  <si>
    <t>OFFSHORE CONSTRUCTION ENGINEERING DOCUMENTS (NAVEL MARINE)</t>
  </si>
  <si>
    <t>CLASS</t>
  </si>
  <si>
    <t>UMM LULU  PACKAGE-1 FFD PROJECT</t>
  </si>
  <si>
    <t>NPCC PROJECT NO. 2207</t>
  </si>
  <si>
    <t>PIPE STACKING ANALYSIS REPORT - Campaign-1</t>
  </si>
  <si>
    <t>PIPELAY INSTALLATION REPORT FOR 16" WELL FLUID P/L FROM ULRP TO WHT-5</t>
  </si>
  <si>
    <t>PIPELAY INSTALLATION REPORT FOR 16" WELL FLUID P/L FROM WHT-5 TO WHT-2</t>
  </si>
  <si>
    <t>PIPELAY INSTALLATION REPORT FOR 16" WELL FLUID P/L FROM WHT-3 TO ULRP</t>
  </si>
  <si>
    <t>PIPELAY INSTALLATION REPORT FOR 16" WELL FLUID P/L FROM WHT-1 TO WHT-3</t>
  </si>
  <si>
    <t>PIPELAY INSTALLATION REPORT FOR 10" WATER INJECTION P/L FROM WHT-1 TO WHT-3</t>
  </si>
  <si>
    <t>PIPELAY INSTALLATION REPORT FOR 6" GAS LIFT P/L FROM WHT-1 TO WHT-3</t>
  </si>
  <si>
    <t>PIPELAY INSTALLATION REPORT FOR 8" GAS INJECTION P/L FROM WHT-3 TO ULRP</t>
  </si>
  <si>
    <t>PIPELAY INSTALLATION REPORT FOR 10" WATER INJECTION P/L FROM WHT-3 TO ULRP</t>
  </si>
  <si>
    <t>PIPELAY INSTALLATION REPORT FOR 6" GAS LIFT P/L FROM WHT-3 TO ULRP</t>
  </si>
  <si>
    <t>PIPELAY INSTALLATION REPORT FOR 6" GAS LIFT P/L FROM ULRP TO WHT-5</t>
  </si>
  <si>
    <t>PIPELAY INSTALLATION REPORT FOR 10" WATER INJECTION P/L FROM ULRP TO WHT-5</t>
  </si>
  <si>
    <t>PIPELAY INSTALLATION REPORT FOR 10" WATER INJECTION P/L FROM WHT-5 TO WHT-2</t>
  </si>
  <si>
    <t>PIPELAY INSTALLATION REPORT FOR 6" GAS LIFT P/L FROM WHT-5 TO WHT-2</t>
  </si>
  <si>
    <t>PIPELAY NSTALLATION REPORT FOR 18" WELL FLUID P/L FROM WHT-6 TO ULRP</t>
  </si>
  <si>
    <t>PIPELAY INSTALLATION REPORT FOR 16" WELL FLUID P/L FROM ULRP TO WHT-7</t>
  </si>
  <si>
    <t>PIPELAY INSTALLATION REPORT FOR 16" WELL FLUID P/L FROM WHT-7 TO WHT-8</t>
  </si>
  <si>
    <t>PIPELAY INSTALLATION REPORT FOR 10" WATER INJECTION P/L FROM WHT-8 TO WHT-7</t>
  </si>
  <si>
    <t>PIPELAY INSTALLATION REPORT FOR 6" GAS LIFT P/L FROM WHT-7 TO WHT-8</t>
  </si>
  <si>
    <t>PIPELAY INSTALLATION REPORT FOR 6" GAS LIFT P/L FROM ULRP TO WHT-7</t>
  </si>
  <si>
    <t>PIPELAY INSTALLATION REPORT FOR 10" WATER INJECTION P/L FROM WHT-7 TO ULRP</t>
  </si>
  <si>
    <t>PIPELAY INSTALLATION REPORT FOR 10" WATER INJECTION P/L FROM ULRP TO WHT-6</t>
  </si>
  <si>
    <t>PIPELAY INSTALLATION REPORT FOR 8" GAS INJECTION P/L FROM WHT-6 TO ULRP</t>
  </si>
  <si>
    <t>PIPELAY INSTALLATION REPORT FOR 6" GAS LIFT P/L FROM WHT-6 TO ULRP</t>
  </si>
  <si>
    <t>PIPELAY INSTALLATION REPORT FOR 10" WATER INJECTION P/L FROM WHT-6 TO WHT-4</t>
  </si>
  <si>
    <t>PIPELAY INSTALLATION REPORT FOR 6" GAS LIFT P/L FROM WHT-4 TO WHT-6</t>
  </si>
  <si>
    <t>DAVIT LIFT ANALYSIS REPORT FOR 16" WELL FLUID P/L FROM ULRP TO WHT-5</t>
  </si>
  <si>
    <t>DAVIT LIFT ANALYSIS REPORT FOR 16" WELL FLUID P/L FROM WHT-5 TO WHT-2</t>
  </si>
  <si>
    <t>DAVIT LIFT ANALYSIS REPORT FOR 16" WELL FLUID P/L FROM WHT-3 TO ULRP</t>
  </si>
  <si>
    <t>DAVIT LIFT ANALYSIS REPORT FOR 16" WELL FLUID P/L FROM WHT-1 TO WHT-3</t>
  </si>
  <si>
    <t>DAVIT LIFT ANALYSIS REPORT FOR 10" WATER INJECTION P/L FROM WHT-1 TO WHT-3</t>
  </si>
  <si>
    <t>DAVIT LIFT ANALYSIS REPORT FOR 6" GAS LIFT P/L FROM WHT-1 TO WHT-3</t>
  </si>
  <si>
    <t>DAVIT LIFT ANALYSIS REPORT FOR 8" GAS INJECTION P/L FROM WHT-3 TO ULRP</t>
  </si>
  <si>
    <t>DAVIT LIFT ANALYSIS REPORT FOR 10" WATER INJECTION P/L FROM WHT-3 TO ULRP</t>
  </si>
  <si>
    <t>DAVIT LIFT ANALYSIS REPORT FOR 6" GAS LIFT P/L FROM WHT-3 TO ULRP</t>
  </si>
  <si>
    <t>DAVIT LIFT ANALYSIS REPORT FOR 6" GAS LIFT P/L FROM ULRP TO WHT-5</t>
  </si>
  <si>
    <t>DAVIT LIFT ANALYSIS REPORT FOR 10" WATER INJECTION P/L FROM ULRP TO WHT-5</t>
  </si>
  <si>
    <t>DAVIT LIFT ANALYSIS REPORT FOR 10" WATER INJECTION P/L FROM WHT-5 TO WHT-2</t>
  </si>
  <si>
    <t>DAVIT LIFT ANALYSIS REPORT FOR 6" GAS LIFT P/L FROM WHT-5 TO WHT-2</t>
  </si>
  <si>
    <t>DAVIT LIFT ANALYSIS REPORT FOR 18" WELL FLUID P/L FROM WHT-6 TO ULRP</t>
  </si>
  <si>
    <t>DAVIT LIFT ANALYSIS REPORT FOR 16" WELL FLUID P/L FROM ULRP TO WHT-7</t>
  </si>
  <si>
    <t>DAVIT LIFT ANALYSIS REPORT FOR 16" WELL FLUID P/L FROM WHT-7 TO WHT-8</t>
  </si>
  <si>
    <t>DAVIT LIFT ANALYSIS REPORT FOR 10" WATER INJECTION P/L FROM WHT-8 TO WHT-7</t>
  </si>
  <si>
    <t>DAVIT LIFT ANALYSIS REPORT FOR 6" GAS LIFT P/L FROM WHT-7 TO WHT-8</t>
  </si>
  <si>
    <t>DAVIT LIFT ANALYSIS REPORT FOR 6" GAS LIFT P/L FROM ULRP TO WHT-7</t>
  </si>
  <si>
    <t>DAVIT LIFT ANALYSIS REPORT FOR 10" WATER INJECTION P/L FROM WHT-7 TO ULRP</t>
  </si>
  <si>
    <t>DAVIT LIFT ANALYSIS REPORT FOR 10" WATER INJECTION P/L FROM ULRP TO WHT-6</t>
  </si>
  <si>
    <t>DAVIT LIFT ANALYSIS REPORT FOR 8" GAS INJECTION P/L FROM WHT-6 TO ULRP</t>
  </si>
  <si>
    <t>DAVIT LIFT ANALYSIS REPORT FOR 6" GAS LIFT P/L FROM WHT-6 TO ULRP</t>
  </si>
  <si>
    <t>DAVIT LIFT ANALYSIS REPORT FOR 10" WATER INJECTION P/L FROM WHT-6 TO WHT-4</t>
  </si>
  <si>
    <t>DAVIT LIFT ANALYSIS REPORT FOR 6" GAS LIFT P/L FROM WHT-4 TO WHT-6</t>
  </si>
  <si>
    <t>RISER LIFT ANALYSIS REPORT FOR 16" WELL FLUID P/L FROM ULRP TO WHT-5 (@ULRP)</t>
  </si>
  <si>
    <t>RISER LIFT ANALYSIS REPORT FOR 16" WELL FLUID P/L FROM ULRP TO WHT-5 (@WHT-5)</t>
  </si>
  <si>
    <t>RISER LIFT ANALYSIS REPORT FOR 16" WELL FLUID P/L FROM WHT-5 TO WHT-2(@WHT-5)</t>
  </si>
  <si>
    <t>RISER LIFT ANALYSIS REPORT FOR 16" WELL FLUID P/L FROM WHT-5 TO WHT-2(@WHT-2)</t>
  </si>
  <si>
    <t>RISER LIFT ANALYSIS REPORT FOR 16" WELL FLUID P/L FROM WHT-3 TO ULRP (@WHT-3)</t>
  </si>
  <si>
    <t>RISER LIFT ANALYSIS REPORT FOR 16" WELL FLUID P/L FROM WHT-3 TO ULRP (@ULRP)</t>
  </si>
  <si>
    <t>RISER LIFT ANALYSIS REPORT FOR 16" WELL FLUID P/L FROM WHT-1 TO WHT-3 (@WHT-1)</t>
  </si>
  <si>
    <t>RISER LIFT ANALYSIS REPORT FOR 16" WELL FLUID P/L FROM WHT-1 TO WHT-3 (@WHT-3)</t>
  </si>
  <si>
    <t>RISER LIFT ANALYSIS REPORT FOR 10" WATER INJECTION P/L FROM WHT-1 TO WHT-3 (@WHT-1)</t>
  </si>
  <si>
    <t>RISER LIFT ANALYSIS REPORT FOR 10" WATER INJECTION P/L FROM WHT-1 TO WHT-3 (@WHT-3)</t>
  </si>
  <si>
    <t>RISER LIFT ANALYSIS REPORT FOR 6" GAS LIFT P/L FROM WHT-1 TO WHT-3 (@WHT-1)</t>
  </si>
  <si>
    <t>RISER LIFT ANALYSIS REPORT FOR 6" GAS LIFT P/L FROM WHT-1 TO WHT-3 (@WHT-3)</t>
  </si>
  <si>
    <t>RISER LIFT ANALYSIS REPORT FOR 8" GAS INJECTION P/L FROM WHT-3 TO ULRP (@WHT-3)</t>
  </si>
  <si>
    <t>RISER LIFT ANALYSIS REPORT FOR 8" GAS INJECTION P/L FROM WHT-3 TO ULRP (@ULRP)</t>
  </si>
  <si>
    <t>RISER LIFT ANALYSIS REPORT FOR 10" WATER INJECTION P/L FROM WHT-3 TO ULRP (@WHT-3)</t>
  </si>
  <si>
    <t>RISER LIFT ANALYSIS REPORT FOR 10" WATER INJECTION P/L FROM WHT-3 TO ULRP (@ULRP)</t>
  </si>
  <si>
    <t>RISER LIFT ANALYSIS REPORT FOR 6" GAS LIFT P/L FROM WHT-3 TO ULRP (@WHT-3)</t>
  </si>
  <si>
    <t>RISER LIFT ANALYSIS REPORT FOR 6" GAS LIFT P/L FROM WHT-3 TO ULRP (@ULRP)</t>
  </si>
  <si>
    <t>RISER LIFT ANALYSIS REPORT FOR 6" GAS LIFT P/L FROM ULRP TO WHT-5 (@ULRP)</t>
  </si>
  <si>
    <t>RISER LIFT ANALYSIS REPORT FOR 6" GAS LIFT P/L FROM ULRP TO WHT-5 (@WHT-5)</t>
  </si>
  <si>
    <t>RISER LIFT ANALYSIS REPORT FOR 10" WATER INJECTION P/L FROM ULRP TO WHT-5(@ULRP)</t>
  </si>
  <si>
    <t>RISER LIFT ANALYSIS REPORT FOR 10" WATER INJECTION P/L FROM ULRP TO WHT-5 (@WHT-5)</t>
  </si>
  <si>
    <t>RISER LIFT ANALYSIS REPORT FOR 10" WATER INJECTION P/L FROM WHT-5 TO WHT-2 (@WHT-5)</t>
  </si>
  <si>
    <t>RISER LIFT ANALYSIS REPORT FOR 10" WATER INJECTION P/L FROM WHT-5 TO WHT-2 (@WHT-2)</t>
  </si>
  <si>
    <t>RISER LIFT ANALYSIS REPORT FOR 6" GAS LIFT P/L FROM WHT-5 TO WHT-2 (@WHT-5)</t>
  </si>
  <si>
    <t>RISER LIFT ANALYSIS REPORT FOR 6" GAS LIFT P/L FROM WHT-5 TO WHT-2 (@WHT-2)</t>
  </si>
  <si>
    <t>RISER LIFT ANALYSIS REPORT FOR 18" WELL FLUID P/L FROM WHT-6 TO ULRP (@WHT-6)</t>
  </si>
  <si>
    <t>RISER LIFT ANALYSIS REPORT FOR 18" WELL FLUID P/L FROM WHT-6 TO ULRP (@ULRP)</t>
  </si>
  <si>
    <t>RISER LIFT ANALYSIS REPORT FOR 16" WELL FLUID P/L FROM ULRP TO WHT-7 (@ULRP)</t>
  </si>
  <si>
    <t>RISER LIFT ANALYSIS REPORT FOR 16" WELL FLUID P/L FROM ULRP TO WHT-7 (@WHT-7)</t>
  </si>
  <si>
    <t>RISER LIFT ANALYSIS REPORT FOR 16" WELL FLUID P/L FROM WHT-7 TO WHT-8 (@WHT-7)</t>
  </si>
  <si>
    <t>RISER LIFT ANALYSIS REPORT FOR 16" WELL FLUID P/L FROM WHT-7 TO WHT-8 (@WHT-8)</t>
  </si>
  <si>
    <t>RISER LIFT ANALYSIS REPORT FOR 10" WATER INJECTION P/L FROM WHT-8 TO WHT-7 (@WHT-8)</t>
  </si>
  <si>
    <t>RISER LIFT ANALYSIS REPORT FOR 10" WATER INJECTION P/L FROM WHT-8 TO WHT-7 (@WHT-7)</t>
  </si>
  <si>
    <t>RISER LIFT ANALYSIS REPORT FOR 6" GAS LIFT P/L FROM WHT-7 TO WHT-8 (@ WHT-7)</t>
  </si>
  <si>
    <t>RISER LIFT ANALYSIS REPORT FOR 6" GAS LIFT P/L FROM WHT-7 TO WHT-8 (@ WHT-8)</t>
  </si>
  <si>
    <t>RISER LIFT ANALYSIS REPORT FOR 6" GAS LIFT P/L FROM ULRP TO WHT-7 (@ULRP)</t>
  </si>
  <si>
    <t>RISER LIFT ANALYSIS REPORT FOR 6" GAS LIFT P/L FROM ULRP TO WHT-7 (@WHT-7)</t>
  </si>
  <si>
    <t>RISER LIFT ANALYSIS REPORT FOR 10" WATER INJECTION P/L FROM WHT-7 TO ULRP (@WHT-7)</t>
  </si>
  <si>
    <t>RISER LIFT ANALYSIS REPORT FOR 10" WATER INJECTION P/L FROM WHT-7 TO ULRP (@ULRP)</t>
  </si>
  <si>
    <t>RISER LIFT ANALYSIS REPORT FOR 10" WATER INJECTION P/L FROM ULRP TO WHT-6 (@ULRP)</t>
  </si>
  <si>
    <t>RISER LIFT ANALYSIS REPORT FOR 10" WATER INJECTION P/L FROM ULRP TO WHT-6 (@WHT-6)</t>
  </si>
  <si>
    <t>RISER LIFT ANALYSIS REPORT FOR 8" GAS INJECTION P/L FROM WHT-6 TO ULRP (@WHT-6)</t>
  </si>
  <si>
    <t>RISER LIFT ANALYSIS REPORT FOR 8" GAS INJECTION P/L FROM WHT-6 TO ULRP (@ULRP)</t>
  </si>
  <si>
    <t>RISER LIFT ANALYSIS REPORT FOR 6" GAS LIFT P/L FROM WHT-6 TO ULRP (@WHT-6)</t>
  </si>
  <si>
    <t>RISER LIFT ANALYSIS REPORT FOR 6" GAS LIFT P/L FROM WHT-6 TO ULRP (@ULRP)</t>
  </si>
  <si>
    <t>RISER LIFT ANALYSIS REPORT FOR 10" WATER INJECTION P/L FROM WHT-6 TO WHT-4 (@WHT-6)</t>
  </si>
  <si>
    <t>RISER LIFT ANALYSIS REPORT FOR 10" WATER INJECTION P/L FROM WHT-6 TO WHT-4 (@WHT-4)</t>
  </si>
  <si>
    <t>RISER LIFT ANALYSIS REPORT FOR 6" GAS LIFT P/L FROM WHT-4 TO WHT-6 (@WHT-4)</t>
  </si>
  <si>
    <t>RISER LIFT ANALYSIS REPORT FOR 6" GAS LIFT P/L FROM WHT-4 TO WHT-6 (@WHT-6)</t>
  </si>
  <si>
    <t>RISER LIFT ANALYSIS REPORT FOR 20" MOL FROM ULRP TO KP34.83 (@ULRP)</t>
  </si>
  <si>
    <t>SEAFASTENING DESIGN REPORT FOR CC PIPES -1 (Campaign-2)</t>
  </si>
  <si>
    <t>SEAFASTENING DESIGN REPORT FOR RISERS &amp; SPOOLS -1 (Campaign-1)</t>
  </si>
  <si>
    <t>SEAFASTENING DESIGN REPORT FOR RISERS &amp; SPOOLS -2 (Campaign-1)</t>
  </si>
  <si>
    <t>SEAFASTENING DESIGN REPORT FOR RISERS &amp; SPOOLS -1 (Campaign-2)</t>
  </si>
  <si>
    <t>SEAFASTENING DESIGN REPORT FOR RISERS &amp; SPOOLS -2 (Campaign-2)</t>
  </si>
  <si>
    <t>STACKING ANALYSIS FOR 20” MOL OF SARB-3 SECTION (Campaign-1)</t>
  </si>
  <si>
    <t>2207-NN-RP-001</t>
  </si>
  <si>
    <t>2207-NN-RP-100</t>
  </si>
  <si>
    <t>2207-NN-RP-002</t>
  </si>
  <si>
    <t>2207-NN-RP-003</t>
  </si>
  <si>
    <t>2207-NN-RP-004</t>
  </si>
  <si>
    <t>2207-NN-RP-005</t>
  </si>
  <si>
    <t>2207-NN-RP-006</t>
  </si>
  <si>
    <t>2207-NN-RP-007</t>
  </si>
  <si>
    <t>2207-NN-RP-008</t>
  </si>
  <si>
    <t>2207-NN-RP-009</t>
  </si>
  <si>
    <t>2207-NN-RP-010</t>
  </si>
  <si>
    <t>2207-NN-RP-011</t>
  </si>
  <si>
    <t>2207-NN-RP-012</t>
  </si>
  <si>
    <t>2207-NN-RP-013</t>
  </si>
  <si>
    <t>2207-NN-RP-014</t>
  </si>
  <si>
    <t>2207-NN-RP-101</t>
  </si>
  <si>
    <t>2207-NN-RP-102</t>
  </si>
  <si>
    <t>2207-NN-RP-103</t>
  </si>
  <si>
    <t>2207-NN-RP-104</t>
  </si>
  <si>
    <t>2207-NN-RP-105</t>
  </si>
  <si>
    <t>2207-NN-RP-106</t>
  </si>
  <si>
    <t>2207-NN-RP-107</t>
  </si>
  <si>
    <t>2207-NN-RP-108</t>
  </si>
  <si>
    <t>2207-NN-RP-109</t>
  </si>
  <si>
    <t>2207-NN-RP-110</t>
  </si>
  <si>
    <t>2207-NN-RP-111</t>
  </si>
  <si>
    <t>2207-NN-RP-112</t>
  </si>
  <si>
    <t>2207-NN-RP-113</t>
  </si>
  <si>
    <t>2207-NN-RP-114</t>
  </si>
  <si>
    <t>2207-NN-RP-015</t>
  </si>
  <si>
    <t>2207-NN-RP-016</t>
  </si>
  <si>
    <t>2207-NN-RP-017</t>
  </si>
  <si>
    <t>2207-NN-RP-018</t>
  </si>
  <si>
    <t>2207-NN-RP-019</t>
  </si>
  <si>
    <t>2207-NN-RP-020</t>
  </si>
  <si>
    <t>2207-NN-RP-021</t>
  </si>
  <si>
    <t>2207-NN-RP-022</t>
  </si>
  <si>
    <t>2207-NN-RP-023</t>
  </si>
  <si>
    <t>2207-NN-RP-024</t>
  </si>
  <si>
    <t>2207-NN-RP-025</t>
  </si>
  <si>
    <t>2207-NN-RP-026</t>
  </si>
  <si>
    <t>2207-NN-RP-027</t>
  </si>
  <si>
    <t>2207-NN-RP-115</t>
  </si>
  <si>
    <t>2207-NN-RP-116</t>
  </si>
  <si>
    <t>2207-NN-RP-117</t>
  </si>
  <si>
    <t>2207-NN-RP-118</t>
  </si>
  <si>
    <t>2207-NN-RP-119</t>
  </si>
  <si>
    <t>2207-NN-RP-120</t>
  </si>
  <si>
    <t>2207-NN-RP-121</t>
  </si>
  <si>
    <t>2207-NN-RP-122</t>
  </si>
  <si>
    <t>2207-NN-RP-123</t>
  </si>
  <si>
    <t>2207-NN-RP-124</t>
  </si>
  <si>
    <t>2207-NN-RP-125</t>
  </si>
  <si>
    <t>2207-NN-RP-126</t>
  </si>
  <si>
    <t>2207-NN-RP-127</t>
  </si>
  <si>
    <t>2207-NN-RP-028</t>
  </si>
  <si>
    <t>2207-NN-RP-029</t>
  </si>
  <si>
    <t>2207-NN-RP-030</t>
  </si>
  <si>
    <t>2207-NN-RP-031</t>
  </si>
  <si>
    <t>2207-NN-RP-032</t>
  </si>
  <si>
    <t>2207-NN-RP-033</t>
  </si>
  <si>
    <t>2207-NN-RP-034</t>
  </si>
  <si>
    <t>2207-NN-RP-035</t>
  </si>
  <si>
    <t>2207-NN-RP-036</t>
  </si>
  <si>
    <t>2207-NN-RP-037</t>
  </si>
  <si>
    <t>2207-NN-RP-038</t>
  </si>
  <si>
    <t>2207-NN-RP-039</t>
  </si>
  <si>
    <t>2207-NN-RP-040</t>
  </si>
  <si>
    <t>2207-NN-RP-041</t>
  </si>
  <si>
    <t>2207-NN-RP-042</t>
  </si>
  <si>
    <t>2207-NN-RP-043</t>
  </si>
  <si>
    <t>2207-NN-RP-044</t>
  </si>
  <si>
    <t>2207-NN-RP-045</t>
  </si>
  <si>
    <t>2207-NN-RP-046</t>
  </si>
  <si>
    <t>2207-NN-RP-047</t>
  </si>
  <si>
    <t>2207-NN-RP-048</t>
  </si>
  <si>
    <t>2207-NN-RP-049</t>
  </si>
  <si>
    <t>2207-NN-RP-050</t>
  </si>
  <si>
    <t>2207-NN-RP-051</t>
  </si>
  <si>
    <t>2207-NN-RP-052</t>
  </si>
  <si>
    <t>2207-NN-RP-053</t>
  </si>
  <si>
    <t>2207-NN-RP-128</t>
  </si>
  <si>
    <t>2207-NN-RP-129</t>
  </si>
  <si>
    <t>2207-NN-RP-130</t>
  </si>
  <si>
    <t>2207-NN-RP-131</t>
  </si>
  <si>
    <t>2207-NN-RP-132</t>
  </si>
  <si>
    <t>2207-NN-RP-133</t>
  </si>
  <si>
    <t>2207-NN-RP-134</t>
  </si>
  <si>
    <t>2207-NN-RP-135</t>
  </si>
  <si>
    <t>2207-NN-RP-136</t>
  </si>
  <si>
    <t>2207-NN-RP-137</t>
  </si>
  <si>
    <t>2207-NN-RP-138</t>
  </si>
  <si>
    <t>2207-NN-RP-139</t>
  </si>
  <si>
    <t>2207-NN-RP-140</t>
  </si>
  <si>
    <t>2207-NN-RP-141</t>
  </si>
  <si>
    <t>2207-NN-RP-142</t>
  </si>
  <si>
    <t>2207-NN-RP-143</t>
  </si>
  <si>
    <t>2207-NN-RP-144</t>
  </si>
  <si>
    <t>2207-NN-RP-145</t>
  </si>
  <si>
    <t>2207-NN-RP-146</t>
  </si>
  <si>
    <t>2207-NN-RP-147</t>
  </si>
  <si>
    <t>2207-NN-RP-148</t>
  </si>
  <si>
    <t>2207-NN-RP-149</t>
  </si>
  <si>
    <t>2207-NN-RP-150</t>
  </si>
  <si>
    <t>2207-NN-RP-151</t>
  </si>
  <si>
    <t>2207-NN-RP-152</t>
  </si>
  <si>
    <t>2207-NN-RP-054</t>
  </si>
  <si>
    <t>2207-NN-RP-055</t>
  </si>
  <si>
    <t>2207-NN-RP-056</t>
  </si>
  <si>
    <t>2207-NN-RP-153</t>
  </si>
  <si>
    <t>2207-NN-RP-154</t>
  </si>
  <si>
    <t>2207-NN-RP-155</t>
  </si>
  <si>
    <t>2207-NN-RP-057</t>
  </si>
  <si>
    <t>2207-NN-RP-058</t>
  </si>
  <si>
    <t>2207-NN-RP-156</t>
  </si>
  <si>
    <t>2207-NN-RP-157</t>
  </si>
  <si>
    <t>2207-NN-RP-158</t>
  </si>
  <si>
    <t>2207-NN-RP-059</t>
  </si>
  <si>
    <t>AD162-562-G-06200</t>
  </si>
  <si>
    <t>AD197-473-G-06201</t>
  </si>
  <si>
    <t>AD162-573/480-G-06202</t>
  </si>
  <si>
    <t>AD162-480/475-G-06203</t>
  </si>
  <si>
    <t>AD162-476/573-G-06204</t>
  </si>
  <si>
    <t>AD162-474/476-G-06205</t>
  </si>
  <si>
    <t>AD162-474/476-G-06206</t>
  </si>
  <si>
    <t>AD162-474/476-G-06207</t>
  </si>
  <si>
    <t>AD162-476/573-G-06208</t>
  </si>
  <si>
    <t>AD162-476/573-G-06209</t>
  </si>
  <si>
    <t>AD162-476/573-G-06210</t>
  </si>
  <si>
    <t>AD162-573/480-G-06211</t>
  </si>
  <si>
    <t>AD162-573/480-G-06212</t>
  </si>
  <si>
    <t>AD162-480/475-G-06213</t>
  </si>
  <si>
    <t>AD162-480/475-G-06214</t>
  </si>
  <si>
    <t>AD197-481/477-G-06215</t>
  </si>
  <si>
    <t>AD197-573/482-G-06216</t>
  </si>
  <si>
    <t>AD197-482/483-G-06217</t>
  </si>
  <si>
    <t>AD197-483/482-G-06218</t>
  </si>
  <si>
    <t>AD197-482/483-G-06219</t>
  </si>
  <si>
    <t>AD197-573/482-G-06220</t>
  </si>
  <si>
    <t>AD197-482/573-G-06221</t>
  </si>
  <si>
    <t>AD197-573/481-G-06222</t>
  </si>
  <si>
    <t>AD197-481/573-G-06223</t>
  </si>
  <si>
    <t>AD197-481/573-G-06224</t>
  </si>
  <si>
    <t>AD197-481/477-G-06225</t>
  </si>
  <si>
    <t>AD197-477/481-G-06226</t>
  </si>
  <si>
    <t>AD197-573/602-G-06227</t>
  </si>
  <si>
    <t>AD162-573/480-G-06229</t>
  </si>
  <si>
    <t>AD162-480/475-G-06230</t>
  </si>
  <si>
    <t>AD162-476/573-G-06231</t>
  </si>
  <si>
    <t>AD162-474/476-G-06232</t>
  </si>
  <si>
    <t>AD162-474/476-G-06233</t>
  </si>
  <si>
    <t>AD162-474/476-G-06234</t>
  </si>
  <si>
    <t>AD162-476/573-G-06235</t>
  </si>
  <si>
    <t>AD162-476/573-G-06236</t>
  </si>
  <si>
    <t>AD162-476/573-G-06237</t>
  </si>
  <si>
    <t>AD162-573/480-G-06238</t>
  </si>
  <si>
    <t>AD162-573/480-G-06239</t>
  </si>
  <si>
    <t>AD162-480/475-G-06240</t>
  </si>
  <si>
    <t>AD162-480/475-G-06241</t>
  </si>
  <si>
    <t>AD197-481/477-G-06242</t>
  </si>
  <si>
    <t>AD197-573/482-G-06243</t>
  </si>
  <si>
    <t>AD197-482/483-G-06244</t>
  </si>
  <si>
    <t>AD197-483/482-G-06245</t>
  </si>
  <si>
    <t>AD197-482/483-G-06246</t>
  </si>
  <si>
    <t>AD197-573/482-G-06247</t>
  </si>
  <si>
    <t>AD197-482/573-G-06248</t>
  </si>
  <si>
    <t>AD197-573/481-G-06249</t>
  </si>
  <si>
    <t>AD197-481/573-G-06250</t>
  </si>
  <si>
    <t>AD197-481/573-G-06251</t>
  </si>
  <si>
    <t>AD197-481/477-G-06252</t>
  </si>
  <si>
    <t>AD197-477/481-G-06253</t>
  </si>
  <si>
    <t>AD197-573/602-G-06254</t>
  </si>
  <si>
    <t>AD162-573-G-06255</t>
  </si>
  <si>
    <t>AD162-480-G-06256</t>
  </si>
  <si>
    <t>AD162-480-G-06257</t>
  </si>
  <si>
    <t>AD162-475-G-06258</t>
  </si>
  <si>
    <t>AD162-476-G-06259</t>
  </si>
  <si>
    <t>AD162-573-G-06260</t>
  </si>
  <si>
    <t>AD162-474-G-06261</t>
  </si>
  <si>
    <t>AD162-476-G-06262</t>
  </si>
  <si>
    <t>AD162-474-G-06263</t>
  </si>
  <si>
    <t>AD162-476-G-06264</t>
  </si>
  <si>
    <t>AD162-474-G-06265</t>
  </si>
  <si>
    <t>AD162-476-G-06266</t>
  </si>
  <si>
    <t>AD162-476-G-06267</t>
  </si>
  <si>
    <t>AD162-573-G-06268</t>
  </si>
  <si>
    <t>AD162-476-G-06269</t>
  </si>
  <si>
    <t>AD162-573-G-06270</t>
  </si>
  <si>
    <t>AD162-476-G-06271</t>
  </si>
  <si>
    <t>AD162-573-G-06272</t>
  </si>
  <si>
    <t>AD162-573-G-06273</t>
  </si>
  <si>
    <t>AD162-480-G-06274</t>
  </si>
  <si>
    <t>AD162-573-G-06275</t>
  </si>
  <si>
    <t>AD162-480-G-06276</t>
  </si>
  <si>
    <t>AD162-480-G-06277</t>
  </si>
  <si>
    <t>AD162-475-G-06278</t>
  </si>
  <si>
    <t>AD162-480-G-06279</t>
  </si>
  <si>
    <t>AD162-475-G-06280</t>
  </si>
  <si>
    <t>AD197-481-G-06281</t>
  </si>
  <si>
    <t>AD197-573-G-06282</t>
  </si>
  <si>
    <t>AD197-573-G-06283</t>
  </si>
  <si>
    <t>AD197-482-G-06284</t>
  </si>
  <si>
    <t>AD197-482-G-06285</t>
  </si>
  <si>
    <t>AD197-483-G-06286</t>
  </si>
  <si>
    <t>AD197-483-G-06287</t>
  </si>
  <si>
    <t>AD197-482-G-06288</t>
  </si>
  <si>
    <t>AD197-482-G-06289</t>
  </si>
  <si>
    <t>AD197-483-G-06290</t>
  </si>
  <si>
    <t>AD197-573-G-06291</t>
  </si>
  <si>
    <t>AD197-482-G-06292</t>
  </si>
  <si>
    <t>AD197-482-G-06293</t>
  </si>
  <si>
    <t>AD197-573-G-06294</t>
  </si>
  <si>
    <t>AD197-573-G-06295</t>
  </si>
  <si>
    <t>AD197-481-G-06296</t>
  </si>
  <si>
    <t>AD197-481-G-06297</t>
  </si>
  <si>
    <t>AD197-573-G-06298</t>
  </si>
  <si>
    <t>AD197-481-G-06299</t>
  </si>
  <si>
    <t>AD197-573-G-06300</t>
  </si>
  <si>
    <t>AD197-481-G-06301</t>
  </si>
  <si>
    <t>AD197-477-G-06302</t>
  </si>
  <si>
    <t>AD197-477-G-06303</t>
  </si>
  <si>
    <t>AD197-481-G-06304</t>
  </si>
  <si>
    <t>AD197-573-G-06305</t>
  </si>
  <si>
    <t>AD162-562-G-06306</t>
  </si>
  <si>
    <t>AD162-562-G-06307</t>
  </si>
  <si>
    <t>AD162-562-G-06308</t>
  </si>
  <si>
    <t>AD197-473-G-06309</t>
  </si>
  <si>
    <t>AD197-473-G-06310</t>
  </si>
  <si>
    <t>AD197-473-G-06311</t>
  </si>
  <si>
    <t>AD162-562-G-06312</t>
  </si>
  <si>
    <t>AD162-562-G-06313</t>
  </si>
  <si>
    <t>AD197-473-G-06314</t>
  </si>
  <si>
    <t>AD197-473-G-06315</t>
  </si>
  <si>
    <t>AD197-573/602-G-06316</t>
  </si>
  <si>
    <t>AD162-562-G-06317</t>
  </si>
  <si>
    <t>MOORING ANALYSIS DURING STARTUP, PIPELAYING &amp; LAYDOWN FOR 10" WATER INJECTION P/L FROM WHT-1 TO WHT-3</t>
  </si>
  <si>
    <t>MOORING ANALYSIS DURING STARTUP, PIPELAYING &amp; LAYDOWN FOR 6" GAS LIFT P/L FROM WHT-1 TO WHT-3</t>
  </si>
  <si>
    <t>MOORING ANALYSIS DURING STARTUP, PIPELAYING &amp; LAYDOWN FOR 8" GAS INJECTION P/L FROM WHT-3 TO ULRP</t>
  </si>
  <si>
    <t>MOORING ANALYSIS DURING STARTUP, PIPELAYING &amp; LAYDOWN FOR 10" WATER INJECTION P/L FROM WHT-3 TO ULRP</t>
  </si>
  <si>
    <t>MOORING ANALYSIS DURING STARTUP, PIPELAYING &amp; LAYDOWN FOR 6" GAS LIFT P/L FROM WHT-3 TO ULRP</t>
  </si>
  <si>
    <t>MOORING ANALYSIS DURING STARTUP, PIPELAYING &amp; LAYDOWN FOR 6" GAS LIFT P/L FROM ULRP TO WHT-5</t>
  </si>
  <si>
    <t>MOORING ANALYSIS DURING STARTUP, PIPELAYING &amp; LAYDOWN FOR 10" WATER INJECTION P/L FROM ULRP TO WHT-5</t>
  </si>
  <si>
    <t>MOORING ANALYSIS DURING STARTUP, PIPELAYING &amp; LAYDOWN FOR 10" WATER INJECTION P/L FROM WHT-5 TO WHT-2</t>
  </si>
  <si>
    <t>MOORING ANALYSIS DURING STARTUP, PIPELAYING &amp; LAYDOWN FOR 6" GAS LIFT P/L FROM WHT-5 TO WHT-2</t>
  </si>
  <si>
    <t>MOORING ANALYSIS DURING STARTUP, PIPELAYING &amp; LAYDOWN FOR 18" WELL FLUID P/L FROM WHT-6 TO ULRP</t>
  </si>
  <si>
    <t>MOORING ANALYSIS DURING STARTUP, PIPELAYING &amp; LAYDOWN FOR 10" WATER INJECTION P/L FROM WHT-7 TO ULRP</t>
  </si>
  <si>
    <t>MOORING ANALYSIS DURING STARTUP, PIPELAYING &amp; LAYDOWN FOR 10" WATER INJECTION P/L FROM ULRP TO WHT-6</t>
  </si>
  <si>
    <t>MOORING ANALYSIS DURING STARTUP, PIPELAYING &amp; LAYDOWN FOR 8" GAS INJECTION P/L FROM WHT-6 TO ULRP</t>
  </si>
  <si>
    <t>MOORING ANALYSIS DURING STARTUP, PIPELAYING &amp; LAYDOWN FOR 6" GAS LIFT P/L FROM WHT-4 TO WHT-6</t>
  </si>
  <si>
    <t>MOORING ANALYSIS DURING RISER INSTALLATION AT ULRP (SET-UP#1)</t>
  </si>
  <si>
    <t>MOORING ANALYSIS DURING RISER INSTALLATION AT WHT-1 (SET-UP#1)</t>
  </si>
  <si>
    <t>MOORING ANALYSIS DURING RISER INSTALLATION AT WHT-2 (SET-UP#1)</t>
  </si>
  <si>
    <t>MOORING ANALYSIS DURING RISER INSTALLATION AT WHT-3 (SET-UP#1)</t>
  </si>
  <si>
    <t>MOORING ANALYSIS DURING RISER INSTALLATION AT WHT-4 (SET-UP#1)</t>
  </si>
  <si>
    <t>MOORING ANALYSIS DURING RISER INSTALLATION AT WHT-5 (SET-UP#1)</t>
  </si>
  <si>
    <t>MOORING ANALYSIS DURING RISER INSTALLATION AT WHT-7 (SET-UP#1)</t>
  </si>
  <si>
    <t>MOORING ANALYSIS DURING RISER INSTALLATION AT WHT-8 (SET-UP#1)</t>
  </si>
  <si>
    <t>MOORING ANALYSIS DURING RISER INSTALLATION AT ULRP  (SET-UP#2)</t>
  </si>
  <si>
    <t>MOORING ANALYSIS DURING RISER INSTALLATION AT WHT-1 (SET-UP#2)</t>
  </si>
  <si>
    <t>MOORING ANALYSIS DURING RISER INSTALLATION AT WHT-2  (SET-UP#2)</t>
  </si>
  <si>
    <t>MOORING ANALYSIS DURING RISER INSTALLATION AT WHT-3  (SET-UP#2)</t>
  </si>
  <si>
    <t>MOORING ANALYSIS DURING RISER INSTALLATION AT WHT-4 (SET-UP#2)</t>
  </si>
  <si>
    <t>MOORING ANALYSIS DURING RISER INSTALLATION AT WHT-5  (SET-UP#2)</t>
  </si>
  <si>
    <t>MOORING ANALYSIS DURING RISER INSTALLATION AT WHT-7 (SET-UP#2)</t>
  </si>
  <si>
    <t>MOORING ANALYSIS DURING RISER INSTALLATION AT WHT-8  (SET-UP#2)</t>
  </si>
  <si>
    <t>MOORING ANALYSIS DURING MID LINE TIE-IN AT KP34.83</t>
  </si>
  <si>
    <t>STABILITY ANALYSIS DURING TRANSPORTATION OF CC PIPES TRIP-1 (Campaign-2)</t>
  </si>
  <si>
    <t>STABILITY ANALYSIS DURING TRANSPORTATION OF CC PIPES TRIP-2 (Campaign-2)</t>
  </si>
  <si>
    <t>BALLAST PLAN DURING TRANSPORTATION OF CC PIPES TRIP-4 (Campaign-2)</t>
  </si>
  <si>
    <t>BALLAST PLAN DURING TRANSPORTATION OF CC PIPES TRIP-5 (Campaign-2)</t>
  </si>
  <si>
    <t>BALLAST PLAN DURING TRANSPORTATION OF CC PIPES TRIP-6 (Campaign-2)</t>
  </si>
  <si>
    <t>BALLAST PLAN DURING TRANSPORTATION OF CC PIPES TRIP-10 (Campaign-2)</t>
  </si>
  <si>
    <t>BALLAST PLAN DURING TRANSPORTATION OF CC PIPES TRIP-11 (Campaign-2)</t>
  </si>
  <si>
    <t>BALLAST PLAN DURING TRANSPORTATION OF CC PIPES TRIP-12 (Campaign-2)</t>
  </si>
  <si>
    <t>BALLAST PLAN DURING TRANSPORTATION OF CC PIPES TRIP-13 (Campaign-2)</t>
  </si>
  <si>
    <t>BALLAST PLAN DURING TRANSPORTATION OF CC PIPES TRIP-14 (Campaign-2)</t>
  </si>
  <si>
    <t>BALLAST PLAN DURING TRANSPORTATION OF CC PIPES TRIP-15 (Campaign-2)</t>
  </si>
  <si>
    <t>BALLAST PLAN DURING TRANSPORTATION OF CC PIPES TRIP-16 (Campaign-2)</t>
  </si>
  <si>
    <t>BALLAST PLAN DURING TRANSPORTATION OF CC PIPES TRIP-17 (Campaign-2)</t>
  </si>
  <si>
    <t>BALLAST PLAN DURING TRANSPORTATION OF CC PIPES TRIP-18 (Campaign-2)</t>
  </si>
  <si>
    <t>BALLAST PLAN DURING TRANSPORTATION OF CC PIPES TRIP-19 (Campaign-2)</t>
  </si>
  <si>
    <t>BALLAST PLAN DURING TRANSPORTATION OF CC PIPES TRIP-20 (Campaign-2)</t>
  </si>
  <si>
    <t>BALLAST PLAN DURING TRANSPORTATION OF CC PIPES TRIP-21 (Campaign-2)</t>
  </si>
  <si>
    <t>BALLAST PLAN DURING TRANSPORTATION OF CC PIPES TRIP-22 (Campaign-2)</t>
  </si>
  <si>
    <t>BALLAST PLAN DURING TRANSPORTATION OF CC PIPES TRIP-23 (Campaign-2)</t>
  </si>
  <si>
    <t>STABILITY ANALYSIS DURING TRANSPORTATION OF RISERS AND SPOOLS (TRIP-1) (Campaign-1)</t>
  </si>
  <si>
    <t>STABILITY ANALYSIS DURING TRANSPORTATION OF RISERS AND SPOOLS (TRIP-2) (Campaign-1)</t>
  </si>
  <si>
    <t>STABILITY ANALYSIS DURING TRANSPORTATION OF RISERS AND SPOOLS (TRIP-1) (Campaign-2)</t>
  </si>
  <si>
    <t>STABILITY ANALYSIS DURING TRANSPORTATION OF RISERS AND SPOOLS (TRIP-2) (Campaign-2)</t>
  </si>
  <si>
    <t>STABILITY ANALYSIS DURING TRANSPORTATION OF CABLE DRUMS (TRIP-1) (Campaign-2)</t>
  </si>
  <si>
    <t>2207-ZZ-CL-001</t>
  </si>
  <si>
    <t>2207-ZZ-CL-002</t>
  </si>
  <si>
    <t>2207-ZZ-CL-003</t>
  </si>
  <si>
    <t>2207-ZZ-CL-004</t>
  </si>
  <si>
    <t>2207-ZZ-CL-005</t>
  </si>
  <si>
    <t>2207-ZZ-CL-006</t>
  </si>
  <si>
    <t>2207-ZZ-CL-007</t>
  </si>
  <si>
    <t>2207-ZZ-CL-008</t>
  </si>
  <si>
    <t>2207-ZZ-CL-009</t>
  </si>
  <si>
    <t>2207-ZZ-CL-010</t>
  </si>
  <si>
    <t>2207-ZZ-CL-011</t>
  </si>
  <si>
    <t>2207-ZZ-CL-012</t>
  </si>
  <si>
    <t>2207-ZZ-CL-013</t>
  </si>
  <si>
    <t>2207-ZZ-CL-100</t>
  </si>
  <si>
    <t>2207-ZZ-CL-101</t>
  </si>
  <si>
    <t>2207-ZZ-CL-102</t>
  </si>
  <si>
    <t>2207-ZZ-CL-103</t>
  </si>
  <si>
    <t>2207-ZZ-CL-104</t>
  </si>
  <si>
    <t>2207-ZZ-CL-105</t>
  </si>
  <si>
    <t>2207-ZZ-CL-106</t>
  </si>
  <si>
    <t>2207-ZZ-CL-107</t>
  </si>
  <si>
    <t>2207-ZZ-CL-108</t>
  </si>
  <si>
    <t>2207-ZZ-CL-109</t>
  </si>
  <si>
    <t>2207-ZZ-CL-110</t>
  </si>
  <si>
    <t>2207-ZZ-CL-111</t>
  </si>
  <si>
    <t>2207-ZZ-CL-112</t>
  </si>
  <si>
    <t>2207-ZZ-CL-014</t>
  </si>
  <si>
    <t>2207-ZZ-CL-015</t>
  </si>
  <si>
    <t>2207-ZZ-CL-016</t>
  </si>
  <si>
    <t>2207-ZZ-CL-017</t>
  </si>
  <si>
    <t>2207-ZZ-CL-018</t>
  </si>
  <si>
    <t>2207-ZZ-CL-019</t>
  </si>
  <si>
    <t>2207-ZZ-CL-020</t>
  </si>
  <si>
    <t>2207-ZZ-CL-021</t>
  </si>
  <si>
    <t>2207-ZZ-CL-022</t>
  </si>
  <si>
    <t>2207-ZZ-CL-113</t>
  </si>
  <si>
    <t>2207-ZZ-CL-114</t>
  </si>
  <si>
    <t>2207-ZZ-CL-115</t>
  </si>
  <si>
    <t>2207-ZZ-CL-116</t>
  </si>
  <si>
    <t>2207-ZZ-CL-117</t>
  </si>
  <si>
    <t>2207-ZZ-CL-118</t>
  </si>
  <si>
    <t>2207-ZZ-CL-119</t>
  </si>
  <si>
    <t>2207-ZZ-CL-120</t>
  </si>
  <si>
    <t>2207-ZZ-CL-121</t>
  </si>
  <si>
    <t>2207-ZZ-CL-122</t>
  </si>
  <si>
    <t>2207-ZZ-CL-023</t>
  </si>
  <si>
    <t>2207-ZZ-CL-024</t>
  </si>
  <si>
    <t>2207-ZZ-CL-025</t>
  </si>
  <si>
    <t>2207-ZZ-CL-026</t>
  </si>
  <si>
    <t>2207-ZZ-CL-027</t>
  </si>
  <si>
    <t>2207-ZZ-CL-028</t>
  </si>
  <si>
    <t>2207-ZZ-CL-029</t>
  </si>
  <si>
    <t>2207-ZZ-CL-123</t>
  </si>
  <si>
    <t>2207-ZZ-CL-124</t>
  </si>
  <si>
    <t>2207-ZZ-CL-125</t>
  </si>
  <si>
    <t>2207-ZZ-CL-126</t>
  </si>
  <si>
    <t>2207-ZZ-CL-127</t>
  </si>
  <si>
    <t>2207-ZZ-CL-128</t>
  </si>
  <si>
    <t>2207-ZZ-CL-129</t>
  </si>
  <si>
    <t>2207-ZZ-CL-130</t>
  </si>
  <si>
    <t>2207-ZZ-CL-131</t>
  </si>
  <si>
    <t>2207-ZZ-CL-132</t>
  </si>
  <si>
    <t>2207-ZZ-CL-133</t>
  </si>
  <si>
    <t>2207-ZZ-CL-134</t>
  </si>
  <si>
    <t>2207-ZZ-CL-135</t>
  </si>
  <si>
    <t>2207-ZZ-CL-136</t>
  </si>
  <si>
    <t>2207-ZZ-CL-137</t>
  </si>
  <si>
    <t>2207-ZZ-CL-138</t>
  </si>
  <si>
    <t>2207-ZZ-CL-139</t>
  </si>
  <si>
    <t>2207-ZZ-CL-140</t>
  </si>
  <si>
    <t>2207-ZZ-CL-141</t>
  </si>
  <si>
    <t>2207-ZZ-CL-142</t>
  </si>
  <si>
    <t>2207-ZZ-CL-143</t>
  </si>
  <si>
    <t>2207-ZZ-CL-144</t>
  </si>
  <si>
    <t>2207-ZZ-CL-145</t>
  </si>
  <si>
    <t>2207-ZZ-CL-146</t>
  </si>
  <si>
    <t>2207-ZZ-CL-147</t>
  </si>
  <si>
    <t>2207-ZZ-CL-148</t>
  </si>
  <si>
    <t>AD162-573/480-G-03901</t>
  </si>
  <si>
    <t>AD162-480/475-G-03902</t>
  </si>
  <si>
    <t>AD162-476/573-G-03903</t>
  </si>
  <si>
    <t>AD162-474/476-G-03904</t>
  </si>
  <si>
    <t>AD162-474/476-G-03905</t>
  </si>
  <si>
    <t>AD162-474/476-G-03906</t>
  </si>
  <si>
    <t>AD162-476/573-G-03907</t>
  </si>
  <si>
    <t>AD162-476/573-G-03908</t>
  </si>
  <si>
    <t>AD162-476/573-G-03909</t>
  </si>
  <si>
    <t>AD162-573/480-G-03910</t>
  </si>
  <si>
    <t>AD162-573/480-G-03911</t>
  </si>
  <si>
    <t>AD162-480/475-G-03912</t>
  </si>
  <si>
    <t>AD162-480/475-G-03913</t>
  </si>
  <si>
    <t>AD197-481/477-G-03914</t>
  </si>
  <si>
    <t>AD197-573/482-G-03915</t>
  </si>
  <si>
    <t>AD197-482/483-G-03916</t>
  </si>
  <si>
    <t>AD197-482/573-G-03920</t>
  </si>
  <si>
    <t>AD197-573/481-G-03921</t>
  </si>
  <si>
    <t>AD197-481/573-G-03922</t>
  </si>
  <si>
    <t>AD197-481/477-G-03924</t>
  </si>
  <si>
    <t>AD197-477/481-G-03925</t>
  </si>
  <si>
    <t>AD197-573/602-G-03926</t>
  </si>
  <si>
    <t>AD162-573-G-03927</t>
  </si>
  <si>
    <t>AD162-474-G-03928</t>
  </si>
  <si>
    <t>AD162-475-G-03929</t>
  </si>
  <si>
    <t>AD162-476-G-03930</t>
  </si>
  <si>
    <t>AD162-480-G-03932</t>
  </si>
  <si>
    <t>AD197-476-G-03939</t>
  </si>
  <si>
    <t>AD197-480-G-03941</t>
  </si>
  <si>
    <t>AD197-481-G-03942</t>
  </si>
  <si>
    <t>AD197-482-G-03943</t>
  </si>
  <si>
    <t>AD197-483-G-03944</t>
  </si>
  <si>
    <t>AD197-602-G-03945</t>
  </si>
  <si>
    <t>AD197-473-G-03968</t>
  </si>
  <si>
    <t>AD197-473-G-03969</t>
  </si>
  <si>
    <t>AD197-473-G-03970</t>
  </si>
  <si>
    <t>AD197-473-G-03971</t>
  </si>
  <si>
    <t>AD197-473-G-03972</t>
  </si>
  <si>
    <t>AD197-473-G-03973</t>
  </si>
  <si>
    <t>AD197-473-G-03974</t>
  </si>
  <si>
    <t>AD197-473-G-03975</t>
  </si>
  <si>
    <t>AD197-473-G-03976</t>
  </si>
  <si>
    <t>AD197-473-G-03977</t>
  </si>
  <si>
    <t>AD197-473-G-03980</t>
  </si>
  <si>
    <t>AD197-473-G-03981</t>
  </si>
  <si>
    <t>AD197-473-G-03982</t>
  </si>
  <si>
    <t>BUCKLE DETECTOR DETAILS  FOR 16" WELL FLUID P/L FROM ULRP TO WHT-5</t>
  </si>
  <si>
    <t>START UP HEAD DETAILS FOR 16" WELL FLUID P/L FROM ULRP TO WHT-5</t>
  </si>
  <si>
    <t>EMERGENCY LAYDOWN HEAD DETAILS FOR 16" WELL FLUID P/L FROM ULRP TO WHT-5</t>
  </si>
  <si>
    <t>LAYDOWN HEAD DETAILS FOR 16" WELL FLUID P/L FROM ULRP TO WHT-5</t>
  </si>
  <si>
    <t>X-RAY STOPPER DETAILS FOR 16" WELL FLUID P/L FROM ULRP TO WHT-5</t>
  </si>
  <si>
    <t>BUCKLE DETECTOR DETAILS FOR 16" WELL FLUID P/L FROM WHT-5 TO WHT-2</t>
  </si>
  <si>
    <t>START UP HEAD DETAILS FOR 16" WELL FLUID P/L FROM WHT-5 TO WHT-2</t>
  </si>
  <si>
    <t>EMERGENCY LAYDOWN HEAD DETAILS FOR 16" WELL FLUID P/L FROM WHT-5 TO WHT-2</t>
  </si>
  <si>
    <t>LAYDOWN HEAD DETAILS FOR 16" WELL FLUID P/L FROM WHT-5 TO WHT-2</t>
  </si>
  <si>
    <t>X-RAY STOPPER DETAILS FOR 16" WELL FLUID P/L FROM WHT-5 TO WHT-2</t>
  </si>
  <si>
    <t>BUCKLE DETECTOR DETAILS FOR 16" WELL FLUID P/L FROM WHT-3 TO ULRP</t>
  </si>
  <si>
    <t>START UP HEAD DETAILS FOR 16" WELL FLUID P/L FROM WHT-3 TO ULRP</t>
  </si>
  <si>
    <t>EMERGENCY LAYDOWN HEAD DETAILS  FOR 16" WELL FLUID P/L FROM WHT-3 TO ULRP</t>
  </si>
  <si>
    <t>LAYDOWN HEAD DETAILS  FOR 16" WELL FLUID P/L FROM WHT-3 TO ULRP</t>
  </si>
  <si>
    <t>X-RAY STOPPER DETAILS FOR 16" WELL FLUID P/L FROM WHT-3 TO ULRP</t>
  </si>
  <si>
    <t>BUCKLE DETECTOR DETAILS FOR 16" WELL FLUID P/L FROM WHT-1 TO WHT-3</t>
  </si>
  <si>
    <t>START UP HEAD DETAILS FOR 16" WELL FLUID P/L FROM WHT-1 TO WHT-3</t>
  </si>
  <si>
    <t>EMERGENCY LAYDOWN HEAD DETAILS FOR 16" WELL FLUID P/L FROM WHT-1 TO WHT-3</t>
  </si>
  <si>
    <t>LAYDOWN HEAD DETAILS FOR 16" WELL FLUID P/L FROM WHT-1 TO WHT-3</t>
  </si>
  <si>
    <t>X-RAY STOPPER DETAILS FOR 16" WELL FLUID P/L FROM WHT-1 TO WHT-3</t>
  </si>
  <si>
    <t>BUCKLE DETECTOR DETAILS FOR 10" WATER INJECTION P/L FROM WHT-1 TO WHT-3</t>
  </si>
  <si>
    <t>START UP HEAD DETAILS FOR 10" WATER INJECTION P/L FROM WHT-1 TO WHT-3</t>
  </si>
  <si>
    <t>EMERGENCY LAYDOWN HEAD DETAILS  FOR 10" WATER INJECTION P/L FROM WHT-1 TO WHT-3</t>
  </si>
  <si>
    <t>LAYDOWN HEAD DETAILS FOR 10" WATER INJECTION P/L FROM WHT-1 TO WHT-3</t>
  </si>
  <si>
    <t>X-RAY STOPPER DETAILS FOR 10" WATER INJECTION P/L FROM WHT-1 TO WHT-3</t>
  </si>
  <si>
    <t>BUCKLE DETECTOR DETAILS FOR 6" GAS LIFT P/L FROM WHT-1 TO WHT-3</t>
  </si>
  <si>
    <t>START UP HEAD DETAILS FOR 6" GAS LIFT P/L FROM WHT-1 TO WHT-3</t>
  </si>
  <si>
    <t>EMERGENCY LAYDOWN HEAD DETAILS FOR 6" GAS LIFT P/L FROM WHT-1 TO WHT-3</t>
  </si>
  <si>
    <t>LAYDOWN HEAD DETAILS FOR 6" GAS LIFT P/L FROM WHT-1 TO WHT-3</t>
  </si>
  <si>
    <t>X-RAY STOPPER DETAILS FOR 6" GAS LIFT P/L FROM WHT-1 TO WHT-3</t>
  </si>
  <si>
    <t>BUCKLE DETECTOR DETAILS FOR 8" GAS INJECTION P/L FROM WHT-3 TO ULRP</t>
  </si>
  <si>
    <t>START UP HEAD DETAILS FOR 8" GAS INJECTION P/L FROM WHT-3 TO ULRP</t>
  </si>
  <si>
    <t>EMERGENCY LAYDOWN HEAD DETAILS FOR 8" GAS INJECTION P/L FROM WHT-3 TO ULRP</t>
  </si>
  <si>
    <t>LAYDOWN HEAD DETAILS FOR 8" GAS INJECTION P/L FROM WHT-3 TO ULRP</t>
  </si>
  <si>
    <t>X-RAY STOPPER DETAILS  FOR 8" GAS INJECTION P/L FROM WHT-3 TO ULRP</t>
  </si>
  <si>
    <t>BUCKLE DETECTOR DETAILS FOR 10" WATER INJECTION P/L FROM WHT-3 TO ULRP</t>
  </si>
  <si>
    <t>START UP HEAD DETAILS  FOR 10" WATER INJECTION P/L FROM WHT-3 TO ULRP</t>
  </si>
  <si>
    <t>EMERGENCY LAYDOWN HEAD DETAILS FOR 10" WATER INJECTION P/L FROM WHT-3 TO ULRP</t>
  </si>
  <si>
    <t>LAYDOWN HEAD DETAILS FOR 10" WATER INJECTION P/L FROM WHT-3 TO ULRP</t>
  </si>
  <si>
    <t>X-RAY STOPPER DETAILS  FOR 10" WATER INJECTION P/L FROM WHT-3 TO ULRP</t>
  </si>
  <si>
    <t>BUCKLE DETECTOR DETAILS FOR 6" GAS LIFT P/L FROM WHT-3 TO ULRP</t>
  </si>
  <si>
    <t>START UP HEAD DETAILS FOR 6" GAS LIFT P/L FROM WHT-3 TO ULRP</t>
  </si>
  <si>
    <t>EMERGENCY LAYDOWN HEAD DETAILS FOR 6" GAS LIFT P/L FROM WHT-3 TO ULRP</t>
  </si>
  <si>
    <t>LAYDOWN HEAD DETAILS FOR 6" GAS LIFT P/L FROM WHT-3 TO ULRP</t>
  </si>
  <si>
    <t>X-RAY STOPPER DETAILS FOR 6" GAS LIFT P/L FROM WHT-3 TO ULRP</t>
  </si>
  <si>
    <t>BUCKLE DETECTOR DETAILS FOR 6" GAS LIFT P/L FROM ULRP TO WHT-5</t>
  </si>
  <si>
    <t>START UP HEAD DETAILS FOR 6" GAS LIFT P/L FROM ULRP TO WHT-5</t>
  </si>
  <si>
    <t>EMERGENCY LAYDOWN HEAD DETAILS FOR 6" GAS LIFT P/L FROM ULRP TO WHT-5</t>
  </si>
  <si>
    <t>LAYDOWN HEAD DETAILS FOR 6" GAS LIFT P/L FROM ULRP TO WHT-5</t>
  </si>
  <si>
    <t>X-RAY STOPPER DETAILS FOR 6" GAS LIFT P/L FROM ULRP TO WHT-5</t>
  </si>
  <si>
    <t>BUCKLE DETECTOR DETAILS FOR 10" WATER INJECTION P/L FROM ULRP TO WHT-5</t>
  </si>
  <si>
    <t>START UP HEAD DETAILS FOR 10" WATER INJECTION P/L FROM ULRP TO WHT-5</t>
  </si>
  <si>
    <t>EMERGENCY LAYDOWN HEAD DETAILS FOR 10" WATER INJECTION P/L FROM ULRP TO WHT-5</t>
  </si>
  <si>
    <t>LAYDOWN HEAD DETAILS FOR 10" WATER INJECTION P/L FROM ULRP TO WHT-5</t>
  </si>
  <si>
    <t>X-RAY STOPPER DETAILS FOR 10" WATER INJECTION P/L FROM ULRP TO WHT-5</t>
  </si>
  <si>
    <t>BUCKLE DETECTOR DETAILS FOR 10" WATER INJECTION P/L FROM WHT-5 TO WHT-2</t>
  </si>
  <si>
    <t>START UP HEAD DETAILS  FOR 10" WATER INJECTION P/L FROM WHT-5 TO WHT-2</t>
  </si>
  <si>
    <t>EMERGENCY LAYDOWN HEAD DETAILS FOR 10" WATER INJECTION P/L FROM WHT-5 TO WHT-2</t>
  </si>
  <si>
    <t>LAYDOWN HEAD DETAILS FOR 10" WATER INJECTION P/L FROM WHT-5 TO WHT-2</t>
  </si>
  <si>
    <t>X-RAY STOPPER DETAILS FOR 10" WATER INJECTION P/L FROM WHT-5 TO WHT-2</t>
  </si>
  <si>
    <t>BUCKLE DETECTOR DETAILS FOR 6" GAS LIFT P/L FROM WHT-5 TO WHT-2</t>
  </si>
  <si>
    <t>START UP HEAD DETAILS FOR 6" GAS LIFT P/L FROM WHT-5 TO WHT-2</t>
  </si>
  <si>
    <t>EMERGENCY LAYDOWN HEAD DETAILS FOR 6" GAS LIFT P/L FROM WHT-5 TO WHT-2</t>
  </si>
  <si>
    <t>LAYDOWN HEAD DETAILS FOR 6" GAS LIFT P/L FROM WHT-5 TO WHT-2</t>
  </si>
  <si>
    <t>X-RAY STOPPER DETAILS FOR 6" GAS LIFT P/L FROM WHT-5 TO WHT-2</t>
  </si>
  <si>
    <t>BUCKLE DETECTOR DETAILS FOR 18" WELL FLUID P/L FROM WHT-6 TO ULRP</t>
  </si>
  <si>
    <t>START UP HEAD DETAILS FOR 18" WELL FLUID P/L FROM WHT-6 TO ULRP</t>
  </si>
  <si>
    <t>LAYDOWN HEAD DETAILS FOR 18" WELL FLUID P/L FROM WHT-6 TO ULRP</t>
  </si>
  <si>
    <t>X-RAY STOPPER DETAILS FOR 18" WELL FLUID P/L FROM WHT-6 TO ULRP</t>
  </si>
  <si>
    <t>BUCKLE DETECTOR DETAILS FOR 16" WELL FLUID P/L FROM ULRP TO WHT-7</t>
  </si>
  <si>
    <t>START UP HEAD DETAILS FOR 16" WELL FLUID P/L FROM ULRP TO WHT-7</t>
  </si>
  <si>
    <t>EMERGENCY LAYDOWN HEAD DETAILS FOR 16" WELL FLUID P/L FROM ULRP TO WHT-7</t>
  </si>
  <si>
    <t>LAYDOWN HEAD DETAILS FOR 16" WELL FLUID P/L FROM ULRP TO WHT-7</t>
  </si>
  <si>
    <t>X-RAY STOPPER DETAILS FOR 16" WELL FLUID P/L FROM ULRP TO WHT-7</t>
  </si>
  <si>
    <t>BUCKLE DETECTOR DETAILS FOR 16" WELL FLUID P/L FROM WHT-7 TO WHT-8</t>
  </si>
  <si>
    <t>START UP HEAD DETAILS FOR 16" WELL FLUID P/L FROM WHT-7 TO WHT-8</t>
  </si>
  <si>
    <t>EMERGENCY LAYDOWN HEAD DETAILS FOR 16" WELL FLUID P/L FROM WHT-7 TO WHT-8</t>
  </si>
  <si>
    <t>LAYDOWN HEAD DETAILS FOR 16" WELL FLUID P/L FROM WHT-7 TO WHT-8</t>
  </si>
  <si>
    <t>X-RAY STOPPER DETAILS FOR 16" WELL FLUID P/L FROM WHT-7 TO WHT-8</t>
  </si>
  <si>
    <t>BUCKLE DETECTOR DETAILS FOR 10" WATER INJECTION P/L FROM WHT-8 TO WHT-7</t>
  </si>
  <si>
    <t>START UP HEAD DETAILS FOR 10" WATER INJECTION P/L FROM WHT-8 TO WHT-7</t>
  </si>
  <si>
    <t>EMERGENCY LAYDOWN HEAD DETAILS FOR 10" WATER INJECTION P/L FROM WHT-8 TO WHT-7</t>
  </si>
  <si>
    <t>LAYDOWN HEAD DETAILS  FOR 10" WATER INJECTION P/L FROM WHT-8 TO WHT-7</t>
  </si>
  <si>
    <t>X-RAY STOPPER DETAILS FOR 10" WATER INJECTION P/L FROM WHT-8 TO WHT-7</t>
  </si>
  <si>
    <t>BUCKLE DETECTOR DETAILS FOR 6" GAS LIFT P/L FROM WHT-7 TO WHT-8</t>
  </si>
  <si>
    <t>START UP HEAD DETAILS FOR 6" GAS LIFT P/L FROM WHT-7 TO WHT-8</t>
  </si>
  <si>
    <t>EMERGENCY LAYDOWN HEAD DETAILS FOR 6" GAS LIFT P/L FROM WHT-7 TO WHT-8</t>
  </si>
  <si>
    <t>LAYDOWN HEAD DETAILS FOR 6" GAS LIFT P/L FROM WHT-7 TO WHT-8</t>
  </si>
  <si>
    <t>X-RAY STOPPER DETAILS FOR 6" GAS LIFT P/L FROM WHT-7 TO WHT-8</t>
  </si>
  <si>
    <t>BUCKLE DETECTOR DETAILS FOR 6" GAS LIFT P/L FROM ULRP TO WHT-7</t>
  </si>
  <si>
    <t>START UP HEAD DETAILS  FOR 6" GAS LIFT P/L FROM ULRP TO WHT-7</t>
  </si>
  <si>
    <t>EMERGENCY LAYDOWN HEAD DETAILS FOR 6" GAS LIFT P/L FROM ULRP TO WHT-7</t>
  </si>
  <si>
    <t>LAYDOWN HEAD DETAILS FOR 6" GAS LIFT P/L FROM ULRP TO WHT-7</t>
  </si>
  <si>
    <t>X-RAY STOPPER DETAILS FOR 6" GAS LIFT P/L FROM ULRP TO WHT-7</t>
  </si>
  <si>
    <t>BUCKLE DETECTOR DETAILS  FOR 10" WATER INJECTION P/L FROM WHT-7 TO ULRP</t>
  </si>
  <si>
    <t>START UP HEAD DETAILS  FOR 10" WATER INJECTION P/L FROM WHT-7 TO ULRP</t>
  </si>
  <si>
    <t>EMERGENCY LAYDOWN HEAD DETAILS FOR 10" WATER INJECTION P/L FROM WHT-7 TO ULRP</t>
  </si>
  <si>
    <t>LAYDOWN HEAD DETAILS FOR 10" WATER INJECTION P/L FROM WHT-7 TO ULRP</t>
  </si>
  <si>
    <t>X-RAY STOPPER DETAILS FOR 10" WATER INJECTION P/L FROM WHT-7 TO ULRP</t>
  </si>
  <si>
    <t>BUCKLE DETECTOR DETAILS FOR 10" WATER INJECTION P/L FROM ULRP TO WHT-6</t>
  </si>
  <si>
    <t>START UP HEAD DETAILS  FOR 10" WATER INJECTION P/L FROM ULRP TO WHT-6</t>
  </si>
  <si>
    <t>LAYDOWN HEAD DETAILS FOR 10" WATER INJECTION P/L FROM ULRP TO WHT-6</t>
  </si>
  <si>
    <t>X-RAY STOPPER DETAILS FOR 10" WATER INJECTION P/L FROM ULRP TO WHT-6</t>
  </si>
  <si>
    <t>BUCKLE DETECTOR DETAILS FOR 8" GAS INJECTION P/L FROM WHT-6 TO ULRP</t>
  </si>
  <si>
    <t>START UP HEAD DETAILS FOR 8" GAS INJECTION P/L FROM WHT-6 TO ULRP</t>
  </si>
  <si>
    <t>EMERGENCY LAYDOWN HEAD DETAILS  FOR 8" GAS INJECTION P/L FROM WHT-6 TO ULRP</t>
  </si>
  <si>
    <t>LAYDOWN HEAD DETAILS  FOR 8" GAS INJECTION P/L FROM WHT-6 TO ULRP</t>
  </si>
  <si>
    <t>X-RAY STOPPER DETAILS FOR 8" GAS INJECTION P/L FROM WHT-6 TO ULRP</t>
  </si>
  <si>
    <t>BUCKLE DETECTOR DETAILS FOR 6" GAS LIFT P/L FROM WHT-6 TO ULRP</t>
  </si>
  <si>
    <t>START UP HEAD DETAILS  FOR 6" GAS LIFT P/L FROM WHT-6 TO ULRP</t>
  </si>
  <si>
    <t>EMERGENCY LAYDOWN HEAD DETAILS FOR 6" GAS LIFT P/L FROM WHT-6 TO ULRP</t>
  </si>
  <si>
    <t>LAYDOWN HEAD DETAILS FOR 6" GAS LIFT P/L FROM WHT-6 TO ULRP</t>
  </si>
  <si>
    <t>X-RAY STOPPER DETAILS  FOR 6" GAS LIFT P/L FROM WHT-6 TO ULRP</t>
  </si>
  <si>
    <t>BUCKLE DETECTOR DETAILS FOR 10" WATER INJECTION P/L FROM WHT-6 TO WHT-4</t>
  </si>
  <si>
    <t>START UP HEAD DETAILS FOR 10" WATER INJECTION P/L FROM WHT-6 TO WHT-4</t>
  </si>
  <si>
    <t>EMERGENCY LAYDOWN HEAD DETAILS FOR 10" WATER INJECTION P/L FROM WHT-6 TO WHT-4</t>
  </si>
  <si>
    <t>LAYDOWN HEAD DETAILS  FOR 10" WATER INJECTION P/L FROM WHT-6 TO WHT-4</t>
  </si>
  <si>
    <t>X-RAY STOPPER DETAILS FOR 10" WATER INJECTION P/L FROM WHT-6 TO WHT-4</t>
  </si>
  <si>
    <t>BUCKLE DETECTOR DETAILS FOR 6" GAS LIFT P/L FROM WHT-4 TO WHT-6</t>
  </si>
  <si>
    <t>START UP HEAD DETAILS  FOR 6" GAS LIFT P/L FROM WHT-4 TO WHT-6</t>
  </si>
  <si>
    <t>EMERGENCY LAYDOWN HEAD DETAILS FOR 6" GAS LIFT P/L FROM WHT-4 TO WHT-6</t>
  </si>
  <si>
    <t>LAYDOWN HEAD DETAILS FOR 6" GAS LIFT P/L FROM WHT-4 TO WHT-6</t>
  </si>
  <si>
    <t>X-RAY STOPPER DETAILS  FOR 6" GAS LIFT P/L FROM WHT-4 TO WHT-6</t>
  </si>
  <si>
    <t>BUCKLE DETECTOR DETAILS FOR 20" MAIN OIL LINE FROM ULRP TO KP 34.38</t>
  </si>
  <si>
    <t>START UP HEAD DETAILS  FOR 20" MAIN OIL LINE FROM ULRP TO KP 34.38</t>
  </si>
  <si>
    <t>EMERGENCY LAYDOWN HEAD DETAILS FOR 20" MAIN OIL LINE FROM ULRP TO KP 34.38</t>
  </si>
  <si>
    <t>LAYDOWN HEAD DETAILS FOR 20" MAIN OIL LINE FROM ULRP TO KP 34.38</t>
  </si>
  <si>
    <t>X-RAY STOPPER DETAILS  FOR 20" MAIN OIL LINE FROM ULRP TO KP 34.38</t>
  </si>
  <si>
    <t>LOADING ARRANGEMENT AND SEAFASTENING  OF CC PIPES (TRIP-4) (Campaign-1)</t>
  </si>
  <si>
    <t>LOADING ARRANGEMENT AND SEAFASTENING  OF CC PIPES (TRIP-5) (Campaign-1)</t>
  </si>
  <si>
    <t>LOADING ARRANGEMENT AND SEAFASTENING  OF CC PIPES (TRIP-6) (Campaign-1)</t>
  </si>
  <si>
    <t>LOADING ARRANGEMENT AND SEAFASTENING  OF CC PIPES (TRIP-7) (Campaign-1)</t>
  </si>
  <si>
    <t>LOADING ARRANGEMENT AND SEAFASTENING  OF CC PIPES (TRIP-8) (Campaign-1)</t>
  </si>
  <si>
    <t>LOADING ARRANGEMENT AND SEAFASTENING  OF CC PIPES (TRIP-9) (Campaign-1)</t>
  </si>
  <si>
    <t>LOADING ARRANGEMENT AND SEAFASTENING OF CC PIPES (TRIP-1) (Campaign-2)</t>
  </si>
  <si>
    <t>LOADING ARRANGEMENT AND SEAFASTENING  OF CC PIPES (TRIP-2) (Campaign-2)</t>
  </si>
  <si>
    <t>LOADING ARRANGEMENT AND SEAFASTENING  OF CC PIPES (TRIP-3) (Campaign-2)</t>
  </si>
  <si>
    <t>LOADING ARRANGEMENT AND SEAFASTENING  OF CC PIPES (TRIP-4) (Campaign-2)</t>
  </si>
  <si>
    <t>LOADING ARRANGEMENT AND SEAFASTENING  OF CC PIPES (TRIP-6) (Campaign-2)</t>
  </si>
  <si>
    <t>LOADING ARRANGEMENT AND SEAFASTENING  OF CC PIPES (TRIP-7) (Campaign-2)</t>
  </si>
  <si>
    <t>LOADING ARRANGEMENT AND SEAFASTENING  OF CC PIPES (TRIP-8) (Campaign-2)</t>
  </si>
  <si>
    <t>LOADING ARRANGEMENT AND SEAFASTENING  OF CC PIPES (TRIP-9) (Campaign-2)</t>
  </si>
  <si>
    <t>LOADING ARRANGEMENT AND SEAFASTENING  OF CC PIPES (TRIP-10) (Campaign-2)</t>
  </si>
  <si>
    <t>LOADING ARRANGEMENT AND SEAFASTENING  OF CC PIPES (TRIP-13) (Campaign-2)</t>
  </si>
  <si>
    <t>LOADING ARRANGEMENT AND SEAFASTENING  OF CC PIPES (TRIP-14) (Campaign-2)</t>
  </si>
  <si>
    <t>LOADING ARRANGEMENT AND SEAFASTENING  OF CC PIPES (TRIP-15) (Campaign-2)</t>
  </si>
  <si>
    <t>LOADING ARRANGEMENT AND SEAFASTENING  OF CC PIPES (TRIP-16) (Campaign-2)</t>
  </si>
  <si>
    <t>LOADING ARRANGEMENT AND SEAFASTENING  OF CC PIPES (TRIP-17) (Campaign-2)</t>
  </si>
  <si>
    <t>LOADING ARRANGEMENT AND SEAFASTENING  OF CC PIPES (TRIP-18) (Campaign-2)</t>
  </si>
  <si>
    <t>LOADING ARRANGEMENT AND SEAFASTENING  OF CC PIPES (TRIP-19) (Campaign-2)</t>
  </si>
  <si>
    <t>LOADING ARRANGEMENT AND SEAFASTENING  OF CC PIPES (TRIP-20) (Campaign-2)</t>
  </si>
  <si>
    <t>LOADING ARRANGEMENT AND SEAFASTENING  OF CC PIPES (TRIP-21) (Campaign-2)</t>
  </si>
  <si>
    <t>LOADING ARRANGEMENT AND SEAFASTENING  OF CC PIPES (TRIP-22) (Campaign-2)</t>
  </si>
  <si>
    <t>LOADING ARRANGEMENT AND SEAFASTENING  OF CC PIPES (TRIP-23) (Campaign-2)</t>
  </si>
  <si>
    <t>LOADING ARRANGEMENT AND SEAFASTENING  OF RISERS AND SPOOLS (TRIP-1) (Campaign-1)</t>
  </si>
  <si>
    <t>LOADING ARRANGEMENT AND SEAFASTENING  OF RISERS AND SPOOLS (TRIP-2) (Campaign-1)</t>
  </si>
  <si>
    <t>LOADING ARRANGEMENT AND SEAFASTENING  OF RISERS AND SPOOLS (TRIP-1) (Campaign-2)</t>
  </si>
  <si>
    <t>LOADING ARRANGEMENT AND SEAFASTENING  OF RISERS AND SPOOLS (TRIP-2) (Campaign-2)</t>
  </si>
  <si>
    <t>LOADING ARRANGEMENT AND SEAFASTENING  OF CABLE DRUM (TRIP-1) (Campaign-2)</t>
  </si>
  <si>
    <t>TEMPORARY KNEE BRACE DETAILS FOR 16" WELL FLUID RISER FROM ULRP TO WHT-5</t>
  </si>
  <si>
    <t>TEMPORARY KNEE BRACE DETAILS FOR 16" WELL FLUID RISER  FROM WHT-5 TO WHT-2</t>
  </si>
  <si>
    <t>TEMPORARY KNEE BRACE DETAILS FOR 16" WELL FLUID RISER FROM WHT-3 TO ULRP</t>
  </si>
  <si>
    <t>TEMPORARY KNEE BRACE DETAILS FOR 16" WELL FLUID RISER FROM WHT-1 TO WHT-3</t>
  </si>
  <si>
    <t>TEMPORARY KNEE BRACE DETAILS FOR 10" WATER INJECTION RISER FROM WHT-1 TO WHT-3</t>
  </si>
  <si>
    <t>TEMPORARY KNEE BRACE DETAILS FOR 6" GAS LIFT RISER FROM WHT-1 TO WHT-3</t>
  </si>
  <si>
    <t>TEMPORARY KNEE BRACE DETAILS FOR 8" GAS INJECTION RISER FROM WHT-3 TO ULRP</t>
  </si>
  <si>
    <t>TEMPORARY KNEE BRACE DETAILS FOR 10" WATER INJECTION RISER FROM WHT-3 TO ULRP</t>
  </si>
  <si>
    <t>TEMPORARY KNEE BRACE DETAILS FOR 6" GAS LIFT RISER FROM WHT-3 TO ULRP</t>
  </si>
  <si>
    <t>TEMPORARY KNEE BRACE DETAILS FOR 6" GAS LIFT RISER FROM ULRP TO WHT-5</t>
  </si>
  <si>
    <t>TEMPORARY KNEE BRACE DETAILS FOR 10" WATER INJECTION RISER FROM ULRP TO WHT-5</t>
  </si>
  <si>
    <t>TEMPORARY KNEE BRACE DETAILS FOR 10" WATER INJECTION RISER FROM WHT-5 TO WHT-2</t>
  </si>
  <si>
    <t>TEMPORARY KNEE BRACE DETAILS FOR 6" GAS LIFT RISER FROM WHT-5 TO WHT-2</t>
  </si>
  <si>
    <t>TEMPORARY KNEE BRACE DETAILS FOR 18" WELL FLUID RISER FROM WHT-6 TO ULRP</t>
  </si>
  <si>
    <t>TEMPORARY KNEE BRACE DETAILS FOR 16" WELL FLUID RISER FROM ULRP TO WHT-7</t>
  </si>
  <si>
    <t>TEMPORARY KNEE BRACE DETAILS FOR 16" WELL FLUID RISER FROM WHT-7 TO WHT-8</t>
  </si>
  <si>
    <t>TEMPORARY KNEE BRACE DETAILS FOR 10" WATER INJECTION RISER FROM WHT-8 TO WHT-7</t>
  </si>
  <si>
    <t>TEMPORARY KNEE BRACE DETAILS FOR 6" GAS LIFT RISER FROM WHT-7 TO WHT-8</t>
  </si>
  <si>
    <t>TEMPORARY KNEE BRACE DETAILS FOR 6" GAS LIFT RISER FROM ULRP TO WHT-7</t>
  </si>
  <si>
    <t>TEMPORARY KNEE BRACE DETAILS FOR 10" WATER INJECTION RISER FROM WHT-7 TO ULRP</t>
  </si>
  <si>
    <t>TEMPORARY KNEE BRACE DETAILS FOR 10" WATER INJECTION RISER FROM ULRP TO WHT-6</t>
  </si>
  <si>
    <t>TEMPORARY KNEE BRACE DETAILS FOR 8" GAS INJECTION RISER FROM WHT-6 TO ULRP</t>
  </si>
  <si>
    <t>TEMPORARY KNEE BRACE DETAILS FOR 6" GAS LIFT RISER FROM WHT-6 TO ULRP</t>
  </si>
  <si>
    <t>TEMPORARY KNEE BRACE DETAILS FOR 10" WATER INJECTION RISER FROM WHT-6 TO WHT-4</t>
  </si>
  <si>
    <t>TEMPORARY KNEE BRACE DETAILS FOR 6" GAS LIFT RISER FROM WHT-4 TO WHT-6</t>
  </si>
  <si>
    <t>RISER/SPOOL LIFTING AND INSTALLATION FOR 16" WELL FLUID P/L FROM ULRP TO WHT-5 (@ULRP)</t>
  </si>
  <si>
    <t>RISER/SPOOL LIFTING AND INSTALLATION  FOR 16" WELL FLUID P/L FROM ULRP TO WHT-5 (@WHT-5)</t>
  </si>
  <si>
    <t>RISER/SPOOL LIFTING AND INSTALLATION  FOR 16" WELL FLUID P/L FROM WHT-5 TO WHT-2(@WHT-5)</t>
  </si>
  <si>
    <t>RISER/SPOOL LIFTING AND INSTALLATION  FOR 16" WELL FLUID P/L FROM WHT-3 TO ULRP (@WHT-3)</t>
  </si>
  <si>
    <t>RISER/SPOOL LIFTING AND INSTALLATION  FOR 16" WELL FLUID P/L FROM WHT-3 TO ULRP (@ULRP)</t>
  </si>
  <si>
    <t>RISER/SPOOL LIFTING AND INSTALLATION  FOR 16" WELL FLUID P/L FROM WHT-1 TO WHT-3 (@WHT-1)</t>
  </si>
  <si>
    <t>RISER/SPOOL LIFTING AND INSTALLATION  FOR 16" WELL FLUID P/L FROM WHT-1 TO WHT-3 (@WHT-3)</t>
  </si>
  <si>
    <t>RISER/SPOOL LIFTING AND INSTALLATION  FOR 10" WATER INJECTION P/L FROM WHT-1 TO WHT-3 (@WHT-1)</t>
  </si>
  <si>
    <t>RISER/SPOOL LIFTING AND INSTALLATION  FOR 10" WATER INJECTION P/L FROM WHT-1 TO WHT-3 (@WHT-3)</t>
  </si>
  <si>
    <t>RISER/SPOOL LIFTING AND INSTALLATION  FOR 6" GAS LIFT P/L FROM WHT-1 TO WHT-3 (@WHT-1)</t>
  </si>
  <si>
    <t>RISER/SPOOL LIFTING AND INSTALLATION  FOR 6" GAS LIFT P/L FROM WHT-1 TO WHT-3 (@WHT-3)</t>
  </si>
  <si>
    <t>RISER/SPOOL LIFTING AND INSTALLATION  FOR 8" GAS INJECTION P/L FROM WHT-3 TO ULRP (@WHT-3)</t>
  </si>
  <si>
    <t>RISER/SPOOL LIFTING AND INSTALLATION  FOR 8" GAS INJECTION P/L FROM WHT-3 TO ULRP (@ULRP)</t>
  </si>
  <si>
    <t>RISER/SPOOL LIFTING AND INSTALLATION  FOR 10" WATER INJECTION P/L FROM WHT-3 TO ULRP (@WHT-3)</t>
  </si>
  <si>
    <t>RISER/SPOOL LIFTING AND INSTALLATION  FOR 10" WATER INJECTION P/L FROM WHT-3 TO ULRP (@ULRP)</t>
  </si>
  <si>
    <t>RISER/SPOOL LIFTING AND INSTALLATION  FOR 6" GAS LIFT P/L FROM WHT-3 TO ULRP (@WHT-3)</t>
  </si>
  <si>
    <t>RISER/SPOOL LIFTING AND INSTALLATION FOR 6" GAS LIFT P/L FROM WHT-3 TO ULRP (@ULRP)</t>
  </si>
  <si>
    <t>RISER/SPOOL LIFTING AND INSTALLATION  FOR 6" GAS LIFT P/L FROM ULRP TO WHT-5 (@ULRP)</t>
  </si>
  <si>
    <t>RISER/SPOOL LIFTING AND INSTALLATION  FOR 6" GAS LIFT P/L FROM ULRP TO WHT-5 (@WHT-5)</t>
  </si>
  <si>
    <t>RISER/SPOOL LIFTING AND INSTALLATION  FOR 10" WATER INJECTION P/L FROM ULRP TO WHT-5(@ULRP)</t>
  </si>
  <si>
    <t>RISER/SPOOL LIFTING AND INSTALLATION  FOR 10" WATER INJECTION P/L FROM ULRP TO WHT-5 (@WHT-5)</t>
  </si>
  <si>
    <t>RISER/SPOOL LIFTING AND INSTALLATION  FOR 10" WATER INJECTION P/L FROM WHT-5 TO WHT-2 (@WHT-5)</t>
  </si>
  <si>
    <t>RISER/SPOOL LIFTING AND INSTALLATION  FOR 10" WATER INJECTION P/L FROM WHT-5 TO WHT-2 (@WHT-2)</t>
  </si>
  <si>
    <t>RISER/SPOOL LIFTING AND INSTALLATION  FOR 6" GAS LIFT P/L FROM WHT-5 TO WHT-2 (@WHT-5)</t>
  </si>
  <si>
    <t>RISER/SPOOL LIFTING AND INSTALLATION  FOR 6" GAS LIFT P/L FROM WHT-5 TO WHT-2 (@WHT-2)</t>
  </si>
  <si>
    <t>RISER/SPOOL LIFTING AND INSTALLATION  FOR 18" WELL FLUID P/L FROM WHT-6 TO ULRP (@WHT-6)</t>
  </si>
  <si>
    <t>RISER/SPOOL LIFTING AND INSTALLATION FOR 18" WELL FLUID P/L FROM WHT-6 TO ULRP (@ULRP)</t>
  </si>
  <si>
    <t>RISER/SPOOL LIFTING AND INSTALLATION  FOR 16" WELL FLUID P/L FROM ULRP TO WHT-7 (@ULRP)</t>
  </si>
  <si>
    <t>RISER/SPOOL LIFTING AND INSTALLATION  FOR 16" WELL FLUID P/L FROM ULRP TO WHT-7 (@WHT-7)</t>
  </si>
  <si>
    <t>RISER/SPOOL LIFTING AND INSTALLATION  FOR 16" WELL FLUID P/L FROM WHT-7 TO WHT-8 (@WHT-7)</t>
  </si>
  <si>
    <t>RISER/SPOOL LIFTING AND INSTALLATION  FOR 16" WELL FLUID P/L FROM WHT-7 TO WHT-8 (@WHT-8)</t>
  </si>
  <si>
    <t>RISER/SPOOL LIFTING AND INSTALLATION  FOR 10" WATER INJECTION P/L FROM WHT-8 TO WHT-7 (@WHT-8)</t>
  </si>
  <si>
    <t>RISER/SPOOL LIFTING AND INSTALLATION  FOR 10" WATER INJECTION P/L FROM WHT-8 TO WHT-7 (@WHT-7)</t>
  </si>
  <si>
    <t>RISER/SPOOL LIFTING AND INSTALLATION  FOR 6" GAS LIFT P/L FROM WHT-7 TO WHT-8 (@ WHT-7)</t>
  </si>
  <si>
    <t>RISER/SPOOL LIFTING AND INSTALLATION  FOR 6" GAS LIFT P/L FROM WHT-7 TO WHT-8 (@ WHT-8)</t>
  </si>
  <si>
    <t>RISER/SPOOL LIFTING AND INSTALLATION  FOR 6" GAS LIFT P/L FROM ULRP TO WHT-7 (@ULRP)</t>
  </si>
  <si>
    <t>RISER/SPOOL LIFTING AND INSTALLATION  FOR 6" GAS LIFT P/L FROM ULRP TO WHT-7 (@WHT-7)</t>
  </si>
  <si>
    <t>RISER/SPOOL LIFTING AND INSTALLATION  FOR 10" WATER INJECTION P/L FROM WHT-7 TO ULRP (@WHT-7)</t>
  </si>
  <si>
    <t>RISER/SPOOL LIFTING AND INSTALLATION  FOR 10" WATER INJECTION P/L FROM WHT-7 TO ULRP (@ULRP)</t>
  </si>
  <si>
    <t>RISER/SPOOL LIFTING AND INSTALLATION  FOR 10" WATER INJECTION P/L FROM ULRP TO WHT-6 (@ULRP)</t>
  </si>
  <si>
    <t>RISER/SPOOL LIFTING AND INSTALLATION  FOR 10" WATER INJECTION P/L FROM ULRP TO WHT-6 (@WHT-6)</t>
  </si>
  <si>
    <t>RISER/SPOOL LIFTING AND INSTALLATION  FOR 8" GAS INJECTION P/L FROM WHT-6 TO ULRP (@WHT-6)</t>
  </si>
  <si>
    <t>RISER/SPOOL LIFTING AND INSTALLATION  FOR 8" GAS INJECTION P/L FROM WHT-6 TO ULRP (@ULRP)</t>
  </si>
  <si>
    <t>RISER/SPOOL LIFTING AND INSTALLATION  FOR 6" GAS LIFT P/L FROM WHT-6 TO ULRP (@WHT-6)</t>
  </si>
  <si>
    <t>RISER/SPOOL LIFTING AND INSTALLATION  FOR 6" GAS LIFT P/L FROM WHT-6 TO ULRP (@ULRP)</t>
  </si>
  <si>
    <t>RISER/SPOOL LIFTING AND INSTALLATION  FOR 10" WATER INJECTION P/L FROM WHT-6 TO WHT-4 (@WHT-6)</t>
  </si>
  <si>
    <t>RISER/SPOOL LIFTING AND INSTALLATION  FOR 10" WATER INJECTION P/L FROM WHT-6 TO WHT-4 (@WHT-4)</t>
  </si>
  <si>
    <t>RISER/SPOOL LIFTING AND INSTALLATION  FOR 6" GAS LIFT P/L FROM WHT-4 TO WHT-6 (@WHT-4)</t>
  </si>
  <si>
    <t>RISER/SPOOL LIFTING AND INSTALLATION  FOR 6" GAS LIFT P/L FROM WHT-4 TO WHT-6 (@WHT-6)</t>
  </si>
  <si>
    <t xml:space="preserve"> INSTALLATION OF RISER PROTECTORS AT ULRP </t>
  </si>
  <si>
    <t xml:space="preserve"> INSTALLATION OF RISER PROTECTORS AT WHT-1</t>
  </si>
  <si>
    <t xml:space="preserve"> INSTALLATION OF RISER PROTECTORS AT WHT-2 </t>
  </si>
  <si>
    <t xml:space="preserve"> INSTALLATION OF RISER PROTECTORS AT WHT-3</t>
  </si>
  <si>
    <t xml:space="preserve"> INSTALLATION OF RISER PROTECTORS AT WHT-5 </t>
  </si>
  <si>
    <t xml:space="preserve"> INSTALLATION OF RISER PROTECTORS AT WHT-7 </t>
  </si>
  <si>
    <t xml:space="preserve"> INSTALLATION OF RISER PROTECTORS AT WHT-8 </t>
  </si>
  <si>
    <t>HYDROTEST DIAGRAM FOR 16" WELL FLUID P/L FROM ULRP TO WHT-5</t>
  </si>
  <si>
    <t>HYDROTEST DIAGRAM FOR 16" WELL FLUID P/L FROM WHT-5 TO WHT-2</t>
  </si>
  <si>
    <t>HYDROTEST DIAGRAM FOR 16" WELL FLUID P/L FROM WHT-3 TO ULRP</t>
  </si>
  <si>
    <t>HYDROTEST DIAGRAM FOR 16" WELL FLUID P/L FROM WHT-1 TO WHT-3</t>
  </si>
  <si>
    <t>HYDROTEST DIAGRAM FOR 10" WATER INJECTION P/L FROM WHT-1 TO WHT-3</t>
  </si>
  <si>
    <t>HYDROTEST DIAGRAM FOR 6" GAS LIFT P/L FROM WHT-1 TO WHT-3</t>
  </si>
  <si>
    <t>HYDROTEST DIAGRAM FOR 8" GAS INJECTION P/L FROM WHT-3 TO ULRP</t>
  </si>
  <si>
    <t>HYDROTEST DIAGRAM FOR 10" WATER INJECTION P/L FROM WHT-3 TO ULRP</t>
  </si>
  <si>
    <t>HYDROTEST DIAGRAM FOR 6" GAS LIFT P/L FROM WHT-3 TO ULRP</t>
  </si>
  <si>
    <t>HYDROTEST DIAGRAM FOR 6" GAS LIFT P/L FROM ULRP TO WHT-5</t>
  </si>
  <si>
    <t>HYDROTEST DIAGRAM FOR 10" WATER INJECTION P/L FROM ULRP TO WHT-5</t>
  </si>
  <si>
    <t>HYDROTEST DIAGRAM FOR 10" WATER INJECTION P/L FROM WHT-5 TO WHT-2</t>
  </si>
  <si>
    <t>HYDROTEST DIAGRAM FOR 6" GAS LIFT P/L FROM WHT-5 TO WHT-2</t>
  </si>
  <si>
    <t>HYDROTEST DIAGRAM FOR 18" WELL FLUID P/L FROM WHT-6 TO ULRP</t>
  </si>
  <si>
    <t>HYDROTEST DIAGRAM FOR 16" WELL FLUID P/L FROM ULRP TO WHT-7</t>
  </si>
  <si>
    <t>HYDROTEST DIAGRAM FOR 16" WELL FLUID P/L FROM WHT-7 TO WHT-8</t>
  </si>
  <si>
    <t>HYDROTEST DIAGRAM FOR 10" WATER INJECTION P/L FROM WHT-8 TO WHT-7</t>
  </si>
  <si>
    <t>HYDROTEST DIAGRAM FOR 6" GAS LIFT P/L FROM WHT-7 TO WHT-8</t>
  </si>
  <si>
    <t>HYDROTEST DIAGRAM FOR 6" GAS LIFT P/L FROM ULRP TO WHT-7</t>
  </si>
  <si>
    <t>HYDROTEST DIAGRAM FOR 10" WATER INJECTION P/L FROM WHT-7 TO ULRP</t>
  </si>
  <si>
    <t>HYDROTEST DIAGRAM FOR 10" WATER INJECTION P/L FROM ULRP TO WHT-6</t>
  </si>
  <si>
    <t>HYDROTEST DIAGRAM FOR 8" GAS INJECTION P/L FROM WHT-6 TO ULRP</t>
  </si>
  <si>
    <t>HYDROTEST DIAGRAM FOR 6" GAS LIFT P/L FROM WHT-6 TO ULRP</t>
  </si>
  <si>
    <t>HYDROTEST DIAGRAM FOR 10" WATER INJECTION P/L FROM WHT-6 TO WHT-4</t>
  </si>
  <si>
    <t>HYDROTEST DIAGRAM FOR 6" GAS LIFT P/L FROM WHT-4 TO WHT-6</t>
  </si>
  <si>
    <t>HYDROTEST DIAGRAM FOR 20" MAIN OIL LINE FROM ULRP TO KP 34.38</t>
  </si>
  <si>
    <t>LIFTING AND INSTALLATION OF MATTRESSES(TYPICAL)</t>
  </si>
  <si>
    <t>2207-NN-0001</t>
  </si>
  <si>
    <t>2207-NN-0002</t>
  </si>
  <si>
    <t>2207-NN-0003</t>
  </si>
  <si>
    <t>2207-NN-0004</t>
  </si>
  <si>
    <t>2207-NN-0005</t>
  </si>
  <si>
    <t>2207-NN-0006</t>
  </si>
  <si>
    <t>2207-NN-0007</t>
  </si>
  <si>
    <t>2207-NN-0008</t>
  </si>
  <si>
    <t>2207-NN-0009</t>
  </si>
  <si>
    <t>2207-NN-0010</t>
  </si>
  <si>
    <t>2207-NN-0011</t>
  </si>
  <si>
    <t>2207-NN-0012</t>
  </si>
  <si>
    <t>2207-NN-0013</t>
  </si>
  <si>
    <t>2207-NN-0014</t>
  </si>
  <si>
    <t>2207-NN-0015</t>
  </si>
  <si>
    <t>2207-NN-0016</t>
  </si>
  <si>
    <t>2207-NN-0017</t>
  </si>
  <si>
    <t>2207-NN-0018</t>
  </si>
  <si>
    <t>2207-NN-0019</t>
  </si>
  <si>
    <t>2207-NN-0020</t>
  </si>
  <si>
    <t>2207-NN-0021</t>
  </si>
  <si>
    <t>2207-NN-0022</t>
  </si>
  <si>
    <t>2207-NN-0023</t>
  </si>
  <si>
    <t>2207-NN-0024</t>
  </si>
  <si>
    <t>2207-NN-0025</t>
  </si>
  <si>
    <t>2207-NN-0026</t>
  </si>
  <si>
    <t>2207-NN-0027</t>
  </si>
  <si>
    <t>2207-NN-0028</t>
  </si>
  <si>
    <t>2207-NN-0029</t>
  </si>
  <si>
    <t>2207-NN-0030</t>
  </si>
  <si>
    <t>2207-NN-0031</t>
  </si>
  <si>
    <t>2207-NN-0032</t>
  </si>
  <si>
    <t>2207-NN-0033</t>
  </si>
  <si>
    <t>2207-NN-0034</t>
  </si>
  <si>
    <t>2207-NN-0035</t>
  </si>
  <si>
    <t>2207-NN-0036</t>
  </si>
  <si>
    <t>2207-NN-0037</t>
  </si>
  <si>
    <t>2207-NN-0038</t>
  </si>
  <si>
    <t>2207-NN-0039</t>
  </si>
  <si>
    <t>2207-NN-0040</t>
  </si>
  <si>
    <t>2207-NN-0041</t>
  </si>
  <si>
    <t>2207-NN-0042</t>
  </si>
  <si>
    <t>2207-NN-0043</t>
  </si>
  <si>
    <t>2207-NN-0044</t>
  </si>
  <si>
    <t>2207-NN-0045</t>
  </si>
  <si>
    <t>2207-NN-0046</t>
  </si>
  <si>
    <t>2207-NN-0047</t>
  </si>
  <si>
    <t>2207-NN-0048</t>
  </si>
  <si>
    <t>2207-NN-0049</t>
  </si>
  <si>
    <t>2207-NN-0050</t>
  </si>
  <si>
    <t>2207-NN-0051</t>
  </si>
  <si>
    <t>2207-NN-0052</t>
  </si>
  <si>
    <t>2207-NN-0053</t>
  </si>
  <si>
    <t>2207-NN-0054</t>
  </si>
  <si>
    <t>2207-NN-0055</t>
  </si>
  <si>
    <t>2207-NN-0056</t>
  </si>
  <si>
    <t>2207-NN-0057</t>
  </si>
  <si>
    <t>2207-NN-0058</t>
  </si>
  <si>
    <t>2207-NN-0059</t>
  </si>
  <si>
    <t>2207-NN-0060</t>
  </si>
  <si>
    <t>2207-NN-0061</t>
  </si>
  <si>
    <t>2207-NN-0062</t>
  </si>
  <si>
    <t>2207-NN-0063</t>
  </si>
  <si>
    <t>2207-NN-0064</t>
  </si>
  <si>
    <t>2207-NN-0065</t>
  </si>
  <si>
    <t>2207-NN-1000</t>
  </si>
  <si>
    <t>2207-NN-1001</t>
  </si>
  <si>
    <t>2207-NN-1003</t>
  </si>
  <si>
    <t>2207-NN-1004</t>
  </si>
  <si>
    <t>2207-NN-1005</t>
  </si>
  <si>
    <t>2207-NN-1006</t>
  </si>
  <si>
    <t>2207-NN-1007</t>
  </si>
  <si>
    <t>2207-NN-1008</t>
  </si>
  <si>
    <t>2207-NN-1009</t>
  </si>
  <si>
    <t>2207-NN-1010</t>
  </si>
  <si>
    <t>2207-NN-1011</t>
  </si>
  <si>
    <t>2207-NN-1012</t>
  </si>
  <si>
    <t>2207-NN-1013</t>
  </si>
  <si>
    <t>2207-NN-1014</t>
  </si>
  <si>
    <t>2207-NN-1015</t>
  </si>
  <si>
    <t>2207-NN-1016</t>
  </si>
  <si>
    <t>2207-NN-1017</t>
  </si>
  <si>
    <t>2207-NN-1018</t>
  </si>
  <si>
    <t>2207-NN-1019</t>
  </si>
  <si>
    <t>2207-NN-1020</t>
  </si>
  <si>
    <t>2207-NN-1021</t>
  </si>
  <si>
    <t>2207-NN-1022</t>
  </si>
  <si>
    <t>2207-NN-1023</t>
  </si>
  <si>
    <t>2207-NN-1024</t>
  </si>
  <si>
    <t>2207-NN-1025</t>
  </si>
  <si>
    <t>2207-NN-1026</t>
  </si>
  <si>
    <t>2207-NN-1027</t>
  </si>
  <si>
    <t>2207-NN-1028</t>
  </si>
  <si>
    <t>2207-NN-1029</t>
  </si>
  <si>
    <t>2207-NN-1030</t>
  </si>
  <si>
    <t>2207-NN-1031</t>
  </si>
  <si>
    <t>2207-NN-1032</t>
  </si>
  <si>
    <t>2207-NN-1033</t>
  </si>
  <si>
    <t>2207-NN-1034</t>
  </si>
  <si>
    <t>2207-NN-1035</t>
  </si>
  <si>
    <t>2207-NN-1036</t>
  </si>
  <si>
    <t>2207-NN-1038</t>
  </si>
  <si>
    <t>2207-NN-1039</t>
  </si>
  <si>
    <t>2207-NN-1040</t>
  </si>
  <si>
    <t>2207-NN-1041</t>
  </si>
  <si>
    <t>2207-NN-1042</t>
  </si>
  <si>
    <t>2207-NN-1043</t>
  </si>
  <si>
    <t>2207-NN-1044</t>
  </si>
  <si>
    <t>2207-NN-1045</t>
  </si>
  <si>
    <t>2207-NN-1046</t>
  </si>
  <si>
    <t>2207-NN-1047</t>
  </si>
  <si>
    <t>2207-NN-1048</t>
  </si>
  <si>
    <t>2207-NN-1049</t>
  </si>
  <si>
    <t>2207-NN-1050</t>
  </si>
  <si>
    <t>2207-NN-1051</t>
  </si>
  <si>
    <t>2207-NN-1052</t>
  </si>
  <si>
    <t>2207-NN-1053</t>
  </si>
  <si>
    <t>2207-NN-1054</t>
  </si>
  <si>
    <t>2207-NN-1055</t>
  </si>
  <si>
    <t>2207-NN-1056</t>
  </si>
  <si>
    <t>2207-NN-1057</t>
  </si>
  <si>
    <t>2207-NN-1058</t>
  </si>
  <si>
    <t>2207-NN-1059</t>
  </si>
  <si>
    <t>2207-NN-1060</t>
  </si>
  <si>
    <t>2207-NN-1061</t>
  </si>
  <si>
    <t>2207-NN-1062</t>
  </si>
  <si>
    <t>2207-NN-1063</t>
  </si>
  <si>
    <t>2207-NN-1064</t>
  </si>
  <si>
    <t>2207-NN-0066</t>
  </si>
  <si>
    <t>2207-NN-0067</t>
  </si>
  <si>
    <t>2207-NN-0068</t>
  </si>
  <si>
    <t>2207-NN-0069</t>
  </si>
  <si>
    <t>2207-NN-0070</t>
  </si>
  <si>
    <t>2207-NN-0071</t>
  </si>
  <si>
    <t>2207-NN-0072</t>
  </si>
  <si>
    <t>2207-NN-0073</t>
  </si>
  <si>
    <t>2207-NN-0074</t>
  </si>
  <si>
    <t>2207-NN-1065</t>
  </si>
  <si>
    <t>2207-NN-1066</t>
  </si>
  <si>
    <t>2207-NN-1067</t>
  </si>
  <si>
    <t>2207-NN-1068</t>
  </si>
  <si>
    <t>2207-NN-1069</t>
  </si>
  <si>
    <t>2207-NN-1070</t>
  </si>
  <si>
    <t>2207-NN-1071</t>
  </si>
  <si>
    <t>2207-NN-1072</t>
  </si>
  <si>
    <t>2207-NN-1073</t>
  </si>
  <si>
    <t>2207-NN-1074</t>
  </si>
  <si>
    <t>2207-NN-1075</t>
  </si>
  <si>
    <t>2207-NN-1076</t>
  </si>
  <si>
    <t>2207-NN-1077</t>
  </si>
  <si>
    <t>2207-NN-1078</t>
  </si>
  <si>
    <t>2207-NN-1079</t>
  </si>
  <si>
    <t>2207-NN-1080</t>
  </si>
  <si>
    <t>2207-NN-1081</t>
  </si>
  <si>
    <t>2207-NN-1082</t>
  </si>
  <si>
    <t>2207-NN-1083</t>
  </si>
  <si>
    <t>2207-NN-1084</t>
  </si>
  <si>
    <t>2207-NN-1085</t>
  </si>
  <si>
    <t>2207-NN-1086</t>
  </si>
  <si>
    <t>2207-NN-1087</t>
  </si>
  <si>
    <t>2207-NN-0075</t>
  </si>
  <si>
    <t>2207-NN-0076</t>
  </si>
  <si>
    <t>2207-NN-1088</t>
  </si>
  <si>
    <t>2207-NN-1089</t>
  </si>
  <si>
    <t>2207-NN-1090</t>
  </si>
  <si>
    <t>2207-NN-0077</t>
  </si>
  <si>
    <t>2207-NN-0078</t>
  </si>
  <si>
    <t>2207-NN-0079</t>
  </si>
  <si>
    <t>2207-NN-0080</t>
  </si>
  <si>
    <t>2207-NN-0081</t>
  </si>
  <si>
    <t>2207-NN-0082</t>
  </si>
  <si>
    <t>2207-NN-0083</t>
  </si>
  <si>
    <t>2207-NN-0084</t>
  </si>
  <si>
    <t>2207-NN-0085</t>
  </si>
  <si>
    <t>2207-NN-0086</t>
  </si>
  <si>
    <t>2207-NN-0087</t>
  </si>
  <si>
    <t>2207-NN-0088</t>
  </si>
  <si>
    <t>2207-NN-0089</t>
  </si>
  <si>
    <t>2207-NN-1091</t>
  </si>
  <si>
    <t>2207-NN-1092</t>
  </si>
  <si>
    <t>2207-NN-1093</t>
  </si>
  <si>
    <t>2207-NN-1094</t>
  </si>
  <si>
    <t>2207-NN-1095</t>
  </si>
  <si>
    <t>2207-NN-1096</t>
  </si>
  <si>
    <t>2207-NN-1097</t>
  </si>
  <si>
    <t>2207-NN-1098</t>
  </si>
  <si>
    <t>2207-NN-1099</t>
  </si>
  <si>
    <t>2207-NN-1100</t>
  </si>
  <si>
    <t>2207-NN-1101</t>
  </si>
  <si>
    <t>2207-NN-1102</t>
  </si>
  <si>
    <t>2207-NN-1103</t>
  </si>
  <si>
    <t>2207-NN-0090</t>
  </si>
  <si>
    <t>2207-NN-0091</t>
  </si>
  <si>
    <t>2207-NN-0092</t>
  </si>
  <si>
    <t>2207-NN-0093</t>
  </si>
  <si>
    <t>2207-NN-0094</t>
  </si>
  <si>
    <t>2207-NN-0095</t>
  </si>
  <si>
    <t>2207-NN-0096</t>
  </si>
  <si>
    <t>2207-NN-0097</t>
  </si>
  <si>
    <t>2207-NN-0098</t>
  </si>
  <si>
    <t>2207-NN-0099</t>
  </si>
  <si>
    <t>2207-NN-0100</t>
  </si>
  <si>
    <t>2207-NN-0101</t>
  </si>
  <si>
    <t>2207-NN-0102</t>
  </si>
  <si>
    <t>2207-NN-0103</t>
  </si>
  <si>
    <t>2207-NN-0104</t>
  </si>
  <si>
    <t>2207-NN-0105</t>
  </si>
  <si>
    <t>2207-NN-0106</t>
  </si>
  <si>
    <t>2207-NN-0107</t>
  </si>
  <si>
    <t>2207-NN-0108</t>
  </si>
  <si>
    <t>2207-NN-0109</t>
  </si>
  <si>
    <t>2207-NN-0110</t>
  </si>
  <si>
    <t>2207-NN-0111</t>
  </si>
  <si>
    <t>2207-NN-0112</t>
  </si>
  <si>
    <t>2207-NN-0113</t>
  </si>
  <si>
    <t>2207-NN-0114</t>
  </si>
  <si>
    <t>2207-NN-0115</t>
  </si>
  <si>
    <t>2207-NN-1104</t>
  </si>
  <si>
    <t>2207-NN-1105</t>
  </si>
  <si>
    <t>2207-NN-1106</t>
  </si>
  <si>
    <t>2207-NN-1107</t>
  </si>
  <si>
    <t>2207-NN-1108</t>
  </si>
  <si>
    <t>2207-NN-1109</t>
  </si>
  <si>
    <t>2207-NN-1110</t>
  </si>
  <si>
    <t>2207-NN-1111</t>
  </si>
  <si>
    <t>2207-NN-1112</t>
  </si>
  <si>
    <t>2207-NN-1113</t>
  </si>
  <si>
    <t>2207-NN-1114</t>
  </si>
  <si>
    <t>2207-NN-1115</t>
  </si>
  <si>
    <t>2207-NN-1116</t>
  </si>
  <si>
    <t>2207-NN-1117</t>
  </si>
  <si>
    <t>2207-NN-1118</t>
  </si>
  <si>
    <t>2207-NN-1119</t>
  </si>
  <si>
    <t>2207-NN-1120</t>
  </si>
  <si>
    <t>2207-NN-1121</t>
  </si>
  <si>
    <t>2207-NN-1122</t>
  </si>
  <si>
    <t>2207-NN-1123</t>
  </si>
  <si>
    <t>2207-NN-1124</t>
  </si>
  <si>
    <t>2207-NN-1125</t>
  </si>
  <si>
    <t>2207-NN-1126</t>
  </si>
  <si>
    <t>2207-NN-1127</t>
  </si>
  <si>
    <t>2207-NN-1128</t>
  </si>
  <si>
    <t>2207-NN-0116</t>
  </si>
  <si>
    <t>2207-NN-0117</t>
  </si>
  <si>
    <t>2207-NN-0118</t>
  </si>
  <si>
    <t>2207-NN-0119</t>
  </si>
  <si>
    <t>2207-NN-0120</t>
  </si>
  <si>
    <t>2207-NN-0121</t>
  </si>
  <si>
    <t>2207-NN-0122</t>
  </si>
  <si>
    <t>2207-NN-0123</t>
  </si>
  <si>
    <t>2207-NN-0124</t>
  </si>
  <si>
    <t>2207-NN-0125</t>
  </si>
  <si>
    <t>2207-NN-0126</t>
  </si>
  <si>
    <t>2207-NN-0127</t>
  </si>
  <si>
    <t>2207-NN-0128</t>
  </si>
  <si>
    <t>2207-NN-0129</t>
  </si>
  <si>
    <t>2207-NN-0130</t>
  </si>
  <si>
    <t>2207-NN-0131</t>
  </si>
  <si>
    <t>2207-NN-0132</t>
  </si>
  <si>
    <t>2207-NN-0133</t>
  </si>
  <si>
    <t>2207-NN-0134</t>
  </si>
  <si>
    <t>2207-NN-0135</t>
  </si>
  <si>
    <t>2207-NN-0136</t>
  </si>
  <si>
    <t>2207-NN-0137</t>
  </si>
  <si>
    <t>2207-NN-1129</t>
  </si>
  <si>
    <t>2207-NN-1130</t>
  </si>
  <si>
    <t>2207-NN-1131</t>
  </si>
  <si>
    <t>2207-NN-1132</t>
  </si>
  <si>
    <t>2207-NN-1133</t>
  </si>
  <si>
    <t>2207-NN-1134</t>
  </si>
  <si>
    <t>2207-NN-1135</t>
  </si>
  <si>
    <t>2207-NN-1136</t>
  </si>
  <si>
    <t>2207-NN-1137</t>
  </si>
  <si>
    <t>2207-NN-1138</t>
  </si>
  <si>
    <t>2207-NN-1139</t>
  </si>
  <si>
    <t>2207-NN-1140</t>
  </si>
  <si>
    <t>2207-NN-1141</t>
  </si>
  <si>
    <t>2207-NN-0138</t>
  </si>
  <si>
    <t>2207-NN-0139</t>
  </si>
  <si>
    <t>AD162-573/480-PL-62000</t>
  </si>
  <si>
    <t>AD162-573/480-PL-62001</t>
  </si>
  <si>
    <t>AD162-573/480-PL-62002</t>
  </si>
  <si>
    <t>AD162-573/480-PL-62003</t>
  </si>
  <si>
    <t>AD162-573/480-PL-62004</t>
  </si>
  <si>
    <t>AD162-480/475-PL-62005</t>
  </si>
  <si>
    <t>AD162-480/475-PL-62006</t>
  </si>
  <si>
    <t>AD162-480/475-PL-62007</t>
  </si>
  <si>
    <t>AD162-480/475-PL-62008</t>
  </si>
  <si>
    <t>AD162-480/475-PL-62009</t>
  </si>
  <si>
    <t>AD162-476/573-PL-62010</t>
  </si>
  <si>
    <t>AD162-476/573-PL-62011</t>
  </si>
  <si>
    <t>AD162-476/573-PL-62012</t>
  </si>
  <si>
    <t>AD162-476/573-PL-62013</t>
  </si>
  <si>
    <t>AD162-476/573-PL-62014</t>
  </si>
  <si>
    <t>AD162-474/476-PL-62015</t>
  </si>
  <si>
    <t>AD162-474/476-PL-62016</t>
  </si>
  <si>
    <t>AD162-474/476-PL-62017</t>
  </si>
  <si>
    <t>AD162-474/476-PL-62018</t>
  </si>
  <si>
    <t>AD162-474/476-PL-62019</t>
  </si>
  <si>
    <t>AD162-474/476-PL-62020</t>
  </si>
  <si>
    <t>AD162-474/476-PL-62021</t>
  </si>
  <si>
    <t>AD162-474/476-PL-62022</t>
  </si>
  <si>
    <t>AD162-474/476-PL-62023</t>
  </si>
  <si>
    <t>AD162-474/476-PL-62024</t>
  </si>
  <si>
    <t>AD162-474/476-PL-62025</t>
  </si>
  <si>
    <t>AD162-474/476-PL-62026</t>
  </si>
  <si>
    <t>AD162-474/476-PL-62027</t>
  </si>
  <si>
    <t>AD162-474/476-PL-62028</t>
  </si>
  <si>
    <t>AD162-474/476-PL-62029</t>
  </si>
  <si>
    <t>AD162-476/573-PL-62030</t>
  </si>
  <si>
    <t>AD162-476/573-PL-62031</t>
  </si>
  <si>
    <t>AD162-476/573-PL-62032</t>
  </si>
  <si>
    <t>AD162-476/573-PL-62033</t>
  </si>
  <si>
    <t>AD162-476/573-PL-62034</t>
  </si>
  <si>
    <t>AD162-476/573-PL-62035</t>
  </si>
  <si>
    <t>AD162-476/573-PL-62036</t>
  </si>
  <si>
    <t>AD162-476/573-PL-62037</t>
  </si>
  <si>
    <t>AD162-476/573-PL-62038</t>
  </si>
  <si>
    <t>AD162-476/573-PL-62039</t>
  </si>
  <si>
    <t>AD162-476/573-PL-62040</t>
  </si>
  <si>
    <t>AD162-476/573-PL-62041</t>
  </si>
  <si>
    <t>AD162-476/573-PL-62042</t>
  </si>
  <si>
    <t>AD162-476/573-PL-62043</t>
  </si>
  <si>
    <t>AD162-476/573-PL-62044</t>
  </si>
  <si>
    <t>AD162-573/480-PL-62045</t>
  </si>
  <si>
    <t>AD162-573/480-PL-62046</t>
  </si>
  <si>
    <t>AD162-573/480-PL-62047</t>
  </si>
  <si>
    <t>AD162-573/480-PL-62048</t>
  </si>
  <si>
    <t>AD162-573/480-PL-62049</t>
  </si>
  <si>
    <t>AD162-573/480-PL-62050</t>
  </si>
  <si>
    <t>AD162-573/480-PL-62051</t>
  </si>
  <si>
    <t>AD162-573/480-PL-62052</t>
  </si>
  <si>
    <t>AD162-573/480-PL-62053</t>
  </si>
  <si>
    <t>AD162-573/480-PL-62054</t>
  </si>
  <si>
    <t>AD162-480/475-PL-62055</t>
  </si>
  <si>
    <t>AD162-480/475-PL-62056</t>
  </si>
  <si>
    <t>AD162-480/475-PL-62057</t>
  </si>
  <si>
    <t>AD162-480/475-PL-62058</t>
  </si>
  <si>
    <t>AD162-480/475-PL-62059</t>
  </si>
  <si>
    <t>AD162-480/475-PL-62060</t>
  </si>
  <si>
    <t>AD162-480/475-PL-62061</t>
  </si>
  <si>
    <t>AD162-480/475-PL-62062</t>
  </si>
  <si>
    <t>AD162-480/475-PL-62063</t>
  </si>
  <si>
    <t>AD162-480/475-PL-62064</t>
  </si>
  <si>
    <t>AD197-481/477-PL-62065</t>
  </si>
  <si>
    <t>AD197-481/477-PL-62066</t>
  </si>
  <si>
    <t>AD197-481/477-PL-62068</t>
  </si>
  <si>
    <t>AD197-481/477-PL-62069</t>
  </si>
  <si>
    <t>AD197-573/482-PL-62070</t>
  </si>
  <si>
    <t>AD197-573/482-PL-62071</t>
  </si>
  <si>
    <t>AD197-573/482-PL-62072</t>
  </si>
  <si>
    <t>AD197-573/482-PL-62073</t>
  </si>
  <si>
    <t>AD197-573/482-PL-62074</t>
  </si>
  <si>
    <t>AD197-482/483-PL-62075</t>
  </si>
  <si>
    <t>AD197-482/483-PL-62076</t>
  </si>
  <si>
    <t>AD197-482/483-PL-62077</t>
  </si>
  <si>
    <t>AD197-482/483-PL-62078</t>
  </si>
  <si>
    <t>AD197-482/483-PL-62079</t>
  </si>
  <si>
    <t>AD197-483/482-PL-62080</t>
  </si>
  <si>
    <t>AD197-483/482-PL-62081</t>
  </si>
  <si>
    <t>AD197-483/482-PL-62082</t>
  </si>
  <si>
    <t>AD197-483/482-PL-62083</t>
  </si>
  <si>
    <t>AD197-483/482-PL-62084</t>
  </si>
  <si>
    <t>AD197-482/483-PL-62085</t>
  </si>
  <si>
    <t>AD197-482/483-PL-62086</t>
  </si>
  <si>
    <t>AD197-482/483-PL-62087</t>
  </si>
  <si>
    <t>AD197-482/483-PL-62088</t>
  </si>
  <si>
    <t>AD197-482/483-PL-62089</t>
  </si>
  <si>
    <t>AD197-573/482-PL-62090</t>
  </si>
  <si>
    <t>AD197-573/482-PL-62091</t>
  </si>
  <si>
    <t>AD197-573/482-PL-62092</t>
  </si>
  <si>
    <t>AD197-573/482-PL-62093</t>
  </si>
  <si>
    <t>AD197-573/482-PL-62094</t>
  </si>
  <si>
    <t>AD197-482/573-PL-62095</t>
  </si>
  <si>
    <t>AD197-482/573-PL-62096</t>
  </si>
  <si>
    <t>AD197-482/573-PL-62097</t>
  </si>
  <si>
    <t>AD197-482/573-PL-62098</t>
  </si>
  <si>
    <t>AD197-482/573-PL-62099</t>
  </si>
  <si>
    <t>AD197-573/481-PL-62100</t>
  </si>
  <si>
    <t>AD197-573/481-PL-62101</t>
  </si>
  <si>
    <t>AD197-573/481-PL-62103</t>
  </si>
  <si>
    <t>AD197-573/481-PL-62104</t>
  </si>
  <si>
    <t>AD197-481/573-PL-62105</t>
  </si>
  <si>
    <t>AD197-481/573-PL-62106</t>
  </si>
  <si>
    <t>AD197-481/573-PL-62107</t>
  </si>
  <si>
    <t>AD197-481/573-PL-62108</t>
  </si>
  <si>
    <t>AD197-481/573-PL-62109</t>
  </si>
  <si>
    <t>AD197-481/573-PL-62110</t>
  </si>
  <si>
    <t>AD197-481/573-PL-62111</t>
  </si>
  <si>
    <t>AD197-481/573-PL-62112</t>
  </si>
  <si>
    <t>AD197-481/573-PL-62113</t>
  </si>
  <si>
    <t>AD197-481/573-PL-62114</t>
  </si>
  <si>
    <t>AD197-481/477-PL-62115</t>
  </si>
  <si>
    <t>AD197-481/477-PL-62116</t>
  </si>
  <si>
    <t>AD197-481/477-PL-62117</t>
  </si>
  <si>
    <t>AD197-481/477-PL-62118</t>
  </si>
  <si>
    <t>AD197-481/477-PL-62119</t>
  </si>
  <si>
    <t>AD197-477/481-PL-62120</t>
  </si>
  <si>
    <t>AD197-477/481-PL-62121</t>
  </si>
  <si>
    <t>AD197-477/481-PL-62122</t>
  </si>
  <si>
    <t>AD197-477/481-PL-62123</t>
  </si>
  <si>
    <t>AD197-477/481-PL-62124</t>
  </si>
  <si>
    <t>AD197-573/602-PL-62125</t>
  </si>
  <si>
    <t>AD197-573/602-PL-62126</t>
  </si>
  <si>
    <t>AD197-573/602-PL-62127</t>
  </si>
  <si>
    <t>AD197-573/602-PL-62128</t>
  </si>
  <si>
    <t>AD197-573/602-PL-62129</t>
  </si>
  <si>
    <t>AD162-562-PL-62130</t>
  </si>
  <si>
    <t>AD162-562-PL-62131</t>
  </si>
  <si>
    <t>AD162-562-PL-62132</t>
  </si>
  <si>
    <t>AD162-562-PL-62133</t>
  </si>
  <si>
    <t>AD162-562-PL-62134</t>
  </si>
  <si>
    <t>AD162-562-PL-62135</t>
  </si>
  <si>
    <t>AD162-562-PL-62136</t>
  </si>
  <si>
    <t>AD162-562-PL-62137</t>
  </si>
  <si>
    <t>AD162-562-PL-62138</t>
  </si>
  <si>
    <t>AD197-473-PL-62139</t>
  </si>
  <si>
    <t>AD197-473-PL-62140</t>
  </si>
  <si>
    <t>AD197-473-PL-62141</t>
  </si>
  <si>
    <t>AD197-473-PL-62142</t>
  </si>
  <si>
    <t>AD197-473-PL-62143</t>
  </si>
  <si>
    <t>AD197-473-PL-62144</t>
  </si>
  <si>
    <t>AD197-473-PL-62145</t>
  </si>
  <si>
    <t>AD197-473-PL-62146</t>
  </si>
  <si>
    <t>AD197-473-PL-62147</t>
  </si>
  <si>
    <t>AD197-473-PL-62148</t>
  </si>
  <si>
    <t>AD197-473-PL-62149</t>
  </si>
  <si>
    <t>AD197-473-PL-62150</t>
  </si>
  <si>
    <t>AD197-473-PL-62151</t>
  </si>
  <si>
    <t>AD197-473-PL-62152</t>
  </si>
  <si>
    <t>AD197-473-PL-62153</t>
  </si>
  <si>
    <t>AD197-473-PL-62154</t>
  </si>
  <si>
    <t>AD197-473-PL-62155</t>
  </si>
  <si>
    <t>AD197-473-PL-62156</t>
  </si>
  <si>
    <t>AD197-473-PL-62157</t>
  </si>
  <si>
    <t>AD197-473-PL-62158</t>
  </si>
  <si>
    <t>AD197-473-PL-62159</t>
  </si>
  <si>
    <t>AD197-473-PL-62160</t>
  </si>
  <si>
    <t>AD197-473-PL-62161</t>
  </si>
  <si>
    <t>AD162-562-PL-62162</t>
  </si>
  <si>
    <t>AD162-562-PL-62163</t>
  </si>
  <si>
    <t>AD197-473-PL-62164</t>
  </si>
  <si>
    <t>AD197-473-PL-62165</t>
  </si>
  <si>
    <t>AD197-473-PL-62166</t>
  </si>
  <si>
    <t>AD162-573/480-PL-62167</t>
  </si>
  <si>
    <t>AD162-480/475-PL-62168</t>
  </si>
  <si>
    <t>AD162-476/573-PL-62169</t>
  </si>
  <si>
    <t>AD162-474/476-PL-62170</t>
  </si>
  <si>
    <t>AD162-474/476-PL-62171</t>
  </si>
  <si>
    <t>AD162-474/476-PL-62172</t>
  </si>
  <si>
    <t>AD162-476/573-PL-62173</t>
  </si>
  <si>
    <t>AD162-476/573-PL-62174</t>
  </si>
  <si>
    <t>AD162-476/573-PL-62175</t>
  </si>
  <si>
    <t>AD162-573/480-PL-62176</t>
  </si>
  <si>
    <t>AD162-573/480-PL-62177</t>
  </si>
  <si>
    <t>AD162-480/475-PL-62178</t>
  </si>
  <si>
    <t>AD162-480/475-PL-62179</t>
  </si>
  <si>
    <t>AD197-481/477-PL-62180</t>
  </si>
  <si>
    <t>AD197-573/482-PL-62181</t>
  </si>
  <si>
    <t>AD197-482/483-PL-62182</t>
  </si>
  <si>
    <t>AD197-483/482-PL-62183</t>
  </si>
  <si>
    <t>AD197-482/483-PL-62184</t>
  </si>
  <si>
    <t>AD197-573/482-PL-62185</t>
  </si>
  <si>
    <t>AD197-482/573-PL-62186</t>
  </si>
  <si>
    <t>AD197-573/481-PL-62187</t>
  </si>
  <si>
    <t>AD197-481/573-PL-62188</t>
  </si>
  <si>
    <t>AD197-481/573-PL-62189</t>
  </si>
  <si>
    <t>AD197-481/477-PL-62190</t>
  </si>
  <si>
    <t>AD197-477/481-PL-62191</t>
  </si>
  <si>
    <t>AD197-573/602-PL-62192</t>
  </si>
  <si>
    <t>AD162-573-PL-62193</t>
  </si>
  <si>
    <t>AD162-480-PL-62194</t>
  </si>
  <si>
    <t>AD162-480-PL-62195</t>
  </si>
  <si>
    <t>AD162-475-PL-62196</t>
  </si>
  <si>
    <t>AD162-476-PL-62197</t>
  </si>
  <si>
    <t>AD162-573-PL-62198</t>
  </si>
  <si>
    <t>AD162-474-PL-62199</t>
  </si>
  <si>
    <t>AD162-476-PL-62200</t>
  </si>
  <si>
    <t>AD162-474-PL-62201</t>
  </si>
  <si>
    <t>AD162-476-PL-62202</t>
  </si>
  <si>
    <t>AD162-474-PL-62203</t>
  </si>
  <si>
    <t>AD162-476-PL-62204</t>
  </si>
  <si>
    <t>AD162-476-PL-62205</t>
  </si>
  <si>
    <t>AD162-573-PL-62206</t>
  </si>
  <si>
    <t>AD162-476-PL-62207</t>
  </si>
  <si>
    <t>AD162-573-PL-62208</t>
  </si>
  <si>
    <t>AD162-476-PL-62209</t>
  </si>
  <si>
    <t>AD162-573-PL-62210</t>
  </si>
  <si>
    <t>AD162-573-PL-62211</t>
  </si>
  <si>
    <t>AD162-480-PL-62212</t>
  </si>
  <si>
    <t>AD162-573-PL-62213</t>
  </si>
  <si>
    <t>AD162-480-PL-62214</t>
  </si>
  <si>
    <t>AD162-480-PL-62215</t>
  </si>
  <si>
    <t>AD162-475-PL-62216</t>
  </si>
  <si>
    <t>AD162-480-PL-62217</t>
  </si>
  <si>
    <t>AD162-475-PL-62218</t>
  </si>
  <si>
    <t>AD197-481-PL-62219</t>
  </si>
  <si>
    <t>AD197-573-PL-62220</t>
  </si>
  <si>
    <t>AD197-573-PL-62221</t>
  </si>
  <si>
    <t>AD197-482-PL-62222</t>
  </si>
  <si>
    <t>AD197-482-PL-62223</t>
  </si>
  <si>
    <t>AD197-483-PL-62224</t>
  </si>
  <si>
    <t>AD197-483-PL-62225</t>
  </si>
  <si>
    <t>AD197-482-PL-62226</t>
  </si>
  <si>
    <t>AD197-482-PL-62227</t>
  </si>
  <si>
    <t>AD197-483-PL-62228</t>
  </si>
  <si>
    <t>AD197-573-PL-62229</t>
  </si>
  <si>
    <t>AD197-482-PL-62230</t>
  </si>
  <si>
    <t>AD197-482-PL-62231</t>
  </si>
  <si>
    <t>AD197-573-PL-62232</t>
  </si>
  <si>
    <t>AD197-573-PL-62234</t>
  </si>
  <si>
    <t>AD197-481-PL-62235</t>
  </si>
  <si>
    <t>AD197-481-PL-62236</t>
  </si>
  <si>
    <t>AD197-573-PL-62237</t>
  </si>
  <si>
    <t>AD197-481-PL-62238</t>
  </si>
  <si>
    <t>AD197-573-PL-62239</t>
  </si>
  <si>
    <t>AD197-481-PL-62240</t>
  </si>
  <si>
    <t>AD197-477-PL-62241</t>
  </si>
  <si>
    <t>AD197-477-PL-62242</t>
  </si>
  <si>
    <t>AD197-481-PL-62243</t>
  </si>
  <si>
    <t>AD197-573-PL-62244</t>
  </si>
  <si>
    <t>AD162-573-PL-62245</t>
  </si>
  <si>
    <t>AD162-474-PL-62246</t>
  </si>
  <si>
    <t>AD162-475-PL-62247</t>
  </si>
  <si>
    <t>AD162-476-PL-62248</t>
  </si>
  <si>
    <t>AD162-480-PL-62250</t>
  </si>
  <si>
    <t>AD162-573/480-PL-62254</t>
  </si>
  <si>
    <t>AD162-480/475-PL-62255</t>
  </si>
  <si>
    <t>AD162-476/573-PL-62256</t>
  </si>
  <si>
    <t>AD162-474/476-PL-62257</t>
  </si>
  <si>
    <t>AD162-474/476-PL-62258</t>
  </si>
  <si>
    <t>AD162-474/476-PL-62259</t>
  </si>
  <si>
    <t>AD162-476/573-PL-62260</t>
  </si>
  <si>
    <t>AD162-476/573-PL-62261</t>
  </si>
  <si>
    <t>AD162-476/573-PL-62262</t>
  </si>
  <si>
    <t>AD162-573/480-PL-62263</t>
  </si>
  <si>
    <t>AD162-573/480-PL-62264</t>
  </si>
  <si>
    <t>AD162-480/475-PL-62265</t>
  </si>
  <si>
    <t>AD162-480/475-PL-62266</t>
  </si>
  <si>
    <t>AD197-481/477-PL-62267</t>
  </si>
  <si>
    <t>AD197-573/482-PL-62268</t>
  </si>
  <si>
    <t>AD197-482/483-PL-62269</t>
  </si>
  <si>
    <t>AD197-483/482-PL-62270</t>
  </si>
  <si>
    <t>AD197-482/483-PL-62271</t>
  </si>
  <si>
    <t>AD197-573/482-PL-62272</t>
  </si>
  <si>
    <t>AD197-482/573-PL-62273</t>
  </si>
  <si>
    <t>AD197-573/481-PL-62274</t>
  </si>
  <si>
    <t>AD197-481/573-PL-62275</t>
  </si>
  <si>
    <t>AD197-481/573-PL-62276</t>
  </si>
  <si>
    <t>AD197-481/477-PL-62277</t>
  </si>
  <si>
    <t>AD197-477/481-PL-62278</t>
  </si>
  <si>
    <t>AD197-573/602-PL-62279</t>
  </si>
  <si>
    <t>AD162-562-PL-62280</t>
  </si>
  <si>
    <t>AD162-562-PL-62281</t>
  </si>
  <si>
    <t>GM/60295/042</t>
  </si>
  <si>
    <t>A</t>
  </si>
  <si>
    <t>2207-NPCC-AO-T-00574</t>
  </si>
  <si>
    <t>GMC</t>
  </si>
  <si>
    <t>MOORING ANALYSIS DURING INSTALLATION OF WHT-2 JACKET</t>
  </si>
  <si>
    <t>MOORING ANALYSIS DURING INSTALLATION OF WHT-5 JACKET</t>
  </si>
  <si>
    <t>MOORING ANALYSIS DURING INSTALLATION OF WHT-3 JACKET</t>
  </si>
  <si>
    <t>MOORING ANALYSIS DURING INSTALLATION OF WHT-1 JACKET</t>
  </si>
  <si>
    <t>MOORING ANALYSIS DURING INSTALLATION OF WHT-8 JACKET</t>
  </si>
  <si>
    <t>MOORING ANALYSIS DURING LIFTING &amp; INSTALLATION OF WHT-3 TOPSIDES</t>
  </si>
  <si>
    <t>MOORING ANALYSIS DURING LIFTING &amp; INSTALLATION OF WHT-2 TOPSIDES</t>
  </si>
  <si>
    <t>MOORING ANALYSIS DURING LIFTING &amp; INSTALLATION OF WHT-5 TOPSIDES</t>
  </si>
  <si>
    <t>MOORING ANALYSIS DURING LIFTING &amp; INSTALLATION OF WHT-8 TOPSIDES</t>
  </si>
  <si>
    <t>MOORING ANALYSIS DURING LIFTING &amp; INSTALLATION OF WHT-7 TOPSIDES</t>
  </si>
  <si>
    <t>2207-ZZ-CL-039</t>
  </si>
  <si>
    <t>2207-ZZ-CL-040</t>
  </si>
  <si>
    <t>2207-ZZ-CL-149</t>
  </si>
  <si>
    <t>2207-ZZ-CL-150</t>
  </si>
  <si>
    <t>2207-ZZ-CL-151</t>
  </si>
  <si>
    <t>2207-ZZ-CL-152</t>
  </si>
  <si>
    <t>2207-ZZ-CL-153</t>
  </si>
  <si>
    <t>AD197-473-G-03978</t>
  </si>
  <si>
    <t>AD197-473-G-03979</t>
  </si>
  <si>
    <t>AD197-473-G-03983</t>
  </si>
  <si>
    <t>AD197-473-G-03984</t>
  </si>
  <si>
    <t>AD197-473-G-03987</t>
  </si>
  <si>
    <t>AD197-473-G-03988</t>
  </si>
  <si>
    <t>AD197-473-G-03989</t>
  </si>
  <si>
    <t>AD162-475-G-03946</t>
  </si>
  <si>
    <t>AD162-480-G-03947</t>
  </si>
  <si>
    <t>AD162-573-G-03948</t>
  </si>
  <si>
    <t>AD162-476-G-03949</t>
  </si>
  <si>
    <t>AD162-474-G-03950</t>
  </si>
  <si>
    <t>AD162-482-G-03951</t>
  </si>
  <si>
    <t>AD162-483-G-03952</t>
  </si>
  <si>
    <t>AD197-474-G-03953</t>
  </si>
  <si>
    <t>AD197-476-G-03954</t>
  </si>
  <si>
    <t>AD197-475-G-03955</t>
  </si>
  <si>
    <t>AD197-480-G-03956</t>
  </si>
  <si>
    <t>AD197-483-G-03957</t>
  </si>
  <si>
    <t>AD197-482-G-03958</t>
  </si>
  <si>
    <t>AD197-473-G-03985</t>
  </si>
  <si>
    <t>AD197-473-G-03986</t>
  </si>
  <si>
    <t>AD197-473-G-03990</t>
  </si>
  <si>
    <t>AD162-562-G-03991</t>
  </si>
  <si>
    <t>AD162-562-G-03992</t>
  </si>
  <si>
    <t>AD197-473-G-03993</t>
  </si>
  <si>
    <t>AD197-473-G-03994</t>
  </si>
  <si>
    <t>AD197-473-G-03995</t>
  </si>
  <si>
    <t>AD197-477-G-03931</t>
  </si>
  <si>
    <t>AD197-481-G-03933</t>
  </si>
  <si>
    <t>AD197-482-G-03934</t>
  </si>
  <si>
    <t>AD197-483-G-03935</t>
  </si>
  <si>
    <t>AD197-477-PL-62249</t>
  </si>
  <si>
    <t>AD197-481-PL-62251</t>
  </si>
  <si>
    <t>AD197-482-PL-62252</t>
  </si>
  <si>
    <t>AD197-483-PL-62253</t>
  </si>
  <si>
    <t>AD162-573-G-03936</t>
  </si>
  <si>
    <t>AD162-474-G-03937</t>
  </si>
  <si>
    <t>AD162-475-G-03938</t>
  </si>
  <si>
    <t>AD162-477-G-03940</t>
  </si>
  <si>
    <t>OFFSHORE CONSTRUCTION ENGINEERING REGISTER (PIPELINES &amp; CABLES)</t>
  </si>
  <si>
    <t>2207-NN-RP-060</t>
  </si>
  <si>
    <t>AD162-562-G-06318</t>
  </si>
  <si>
    <t>B</t>
  </si>
  <si>
    <t>CSE TO PMT</t>
  </si>
  <si>
    <t>PMT TO ADMA-OPCO</t>
  </si>
  <si>
    <t>FROM CLIENT</t>
  </si>
  <si>
    <t>2207-NPCC-AO-T-00829</t>
  </si>
  <si>
    <t>PMT TO GMC</t>
  </si>
  <si>
    <t>STATUS FROM GMC</t>
  </si>
  <si>
    <t>2207-NPCC-AO-T-00797</t>
  </si>
  <si>
    <t>Sent by DC through Del boy</t>
  </si>
  <si>
    <t>Cancelled</t>
  </si>
  <si>
    <t>-</t>
  </si>
  <si>
    <t>2207-NPCC-AO-T-00888</t>
  </si>
  <si>
    <t>2207-NPCC-MWS-T-00034</t>
  </si>
  <si>
    <t>A (Accepted without comment)</t>
  </si>
  <si>
    <t>2207-NPCC-MWS-T-00076</t>
  </si>
  <si>
    <t>2207-NPCC-MWS-T-00079</t>
  </si>
  <si>
    <t>GM/60295/099</t>
  </si>
  <si>
    <t xml:space="preserve"> </t>
  </si>
  <si>
    <t>CSE-OF-2207-003</t>
  </si>
  <si>
    <t>2207-NPCC-AO-T-01008</t>
  </si>
  <si>
    <t>2207-NPCC-AO-T-01036</t>
  </si>
  <si>
    <t>E/60295/152</t>
  </si>
  <si>
    <t>ACCEPTED WITH COMMENTS</t>
  </si>
  <si>
    <t>2207-NPCC-MWS-T-00123</t>
  </si>
  <si>
    <t>CSE-OF-2207-001</t>
  </si>
  <si>
    <t>CSE-OF-2207-004</t>
  </si>
  <si>
    <t>CSE-OF-2207-002</t>
  </si>
  <si>
    <t>C</t>
  </si>
  <si>
    <t>CSE-OF-2207-005</t>
  </si>
  <si>
    <t>2207-NPCC-AO-T-01056</t>
  </si>
  <si>
    <t>2207-NPCC-MWS-T-00130</t>
  </si>
  <si>
    <t>2207-NPCC-MWS-T-00137</t>
  </si>
  <si>
    <t>E/60295/160</t>
  </si>
  <si>
    <t>ACCEPTED</t>
  </si>
  <si>
    <t>CSE-OF-2207-006</t>
  </si>
  <si>
    <t>2207-NPCC-AO-T-01069</t>
  </si>
  <si>
    <t>2207-NPCC-AO-T-01070</t>
  </si>
  <si>
    <t>CSE-OF-2207-008</t>
  </si>
  <si>
    <t>2207-NPCC-AO-T-01075</t>
  </si>
  <si>
    <t>LOADING ARRANGEMENT AND SEAFASTENING OF CC PIPES @ AWALCO-I (TRIP-1) (Campaign-1) WITH BALLAST PLAN</t>
  </si>
  <si>
    <t>2207-NPCC-MWS-T-00143</t>
  </si>
  <si>
    <t>2207-NPCC-MWS-T-00146</t>
  </si>
  <si>
    <t>SEAFASTENING DESIGN REPORT FOR CC PIPES FOR AWALCO-1 (TRIP-1) (Campaign-1)</t>
  </si>
  <si>
    <t>CSE-OF-2207-009</t>
  </si>
  <si>
    <t>2207-NPCC-AO-T-01085</t>
  </si>
  <si>
    <t>TR-UFFDP1-13-02698</t>
  </si>
  <si>
    <t>CSE-OF-2207-010</t>
  </si>
  <si>
    <t>2207-NPCC-AO-T-01094</t>
  </si>
  <si>
    <t>TR-UFFDP1-13-02987</t>
  </si>
  <si>
    <t>Accepted</t>
  </si>
  <si>
    <t>Rev C accepted by client</t>
  </si>
  <si>
    <t>SEAFASTENING DESIGN REPORT FOR CC PIPES FOR GOGAS-252 (TRIP-2) (Campaign-1)</t>
  </si>
  <si>
    <t>CSE-OF-2207-011</t>
  </si>
  <si>
    <t>2207-NPCC-AO-T-01097</t>
  </si>
  <si>
    <t>2207-NPCC-MWS-T-00147</t>
  </si>
  <si>
    <t>GM/60295/0203</t>
  </si>
  <si>
    <t>GM/60295/0204</t>
  </si>
  <si>
    <t>GM/60295/0187</t>
  </si>
  <si>
    <t>GM/60295/0188</t>
  </si>
  <si>
    <t>GM/60295/0189</t>
  </si>
  <si>
    <t>GM/60295/0193</t>
  </si>
  <si>
    <t>GM/60295/0190</t>
  </si>
  <si>
    <t>GM/60295/0194</t>
  </si>
  <si>
    <t>GM/60295/0178</t>
  </si>
  <si>
    <t>GM/60295/0195</t>
  </si>
  <si>
    <t>GM/60295/0179</t>
  </si>
  <si>
    <t>GM/60295/0196</t>
  </si>
  <si>
    <t>GM/60295/0180</t>
  </si>
  <si>
    <t>GM/60295/0197</t>
  </si>
  <si>
    <t>GM/60295/0181</t>
  </si>
  <si>
    <t>GM/60295/0198</t>
  </si>
  <si>
    <t>GM/60295/0182</t>
  </si>
  <si>
    <t>GM/60295/0199</t>
  </si>
  <si>
    <t>GM60295/0183</t>
  </si>
  <si>
    <t>GM/60295/0200</t>
  </si>
  <si>
    <t>GM/60295/0184</t>
  </si>
  <si>
    <t>GM/60295/0201</t>
  </si>
  <si>
    <t>GM/60295/0185</t>
  </si>
  <si>
    <t>GM/60295/0202</t>
  </si>
  <si>
    <t>GM/60295/0186</t>
  </si>
  <si>
    <t>GM/60295/0205</t>
  </si>
  <si>
    <t>GM/60295/0206</t>
  </si>
  <si>
    <t>GM/60295/0207</t>
  </si>
  <si>
    <t>GM/60295/0208</t>
  </si>
  <si>
    <t>GM/60295/0209</t>
  </si>
  <si>
    <t>GM/60295/0210</t>
  </si>
  <si>
    <t>GM/60295/0211</t>
  </si>
  <si>
    <t>GM/60295/0212</t>
  </si>
  <si>
    <t>GM/60295/0213</t>
  </si>
  <si>
    <t>GM/60295/0214</t>
  </si>
  <si>
    <t>GM/60295/0215</t>
  </si>
  <si>
    <t>GM/60295/0216</t>
  </si>
  <si>
    <t>GM/60295/0217</t>
  </si>
  <si>
    <t>GM/60295/0218</t>
  </si>
  <si>
    <t>2207-NPCC-MWS-T-00155</t>
  </si>
  <si>
    <t>2207-NPCC-MWS-T-00156</t>
  </si>
  <si>
    <t>GM/60295/0234</t>
  </si>
  <si>
    <t>B (Accepted with comments)</t>
  </si>
  <si>
    <t>Client</t>
  </si>
  <si>
    <t>2207-NPCC-MWS-T-00160</t>
  </si>
  <si>
    <t>2207-NPCC-AO-T-01112</t>
  </si>
  <si>
    <t>GM/60295/0239</t>
  </si>
  <si>
    <t>2207-NPCC-MWS-T-00167</t>
  </si>
  <si>
    <t>LOADING ARRANGEMENT AND SEAFASTENING OF CC PIPES @ GOGAS-252 (TRIP-2) (Campaign-1)</t>
  </si>
  <si>
    <t>2207-NPCC-AO-T-01122</t>
  </si>
  <si>
    <t>CSE-OF-2207-013</t>
  </si>
  <si>
    <t>2207-NPCC-MWS-T-00170</t>
  </si>
  <si>
    <t>GM/60295/0254</t>
  </si>
  <si>
    <t>REMAINING DAYS</t>
  </si>
  <si>
    <t>2207-NPCC-AO-T-01148</t>
  </si>
  <si>
    <t>GM/60295/0262</t>
  </si>
  <si>
    <t>2207-NPCC-MWS-T-00182</t>
  </si>
  <si>
    <t>GM/60295/0267</t>
  </si>
  <si>
    <t>2207-NPCC-MWS-T-00191</t>
  </si>
  <si>
    <t>See Remarks</t>
  </si>
  <si>
    <t>MOORING ANALYSIS DURING STARTUP, PIPELAYING &amp; LAYDOWN FOR 6", 8", 10" AND 16" WELL FLUID P/L FROM WHT-3 TO ULRP</t>
  </si>
  <si>
    <t>CSE-OF-2207-015</t>
  </si>
  <si>
    <t>2207-NPCC-AO-T-01172</t>
  </si>
  <si>
    <t>Merged into 2207-ZZ-CL-003</t>
  </si>
  <si>
    <t>Merged into 003</t>
  </si>
  <si>
    <t>MWS</t>
  </si>
  <si>
    <t>TR-UFFDP1-13-03223</t>
  </si>
  <si>
    <t>TR-UFFDP1-13-03222</t>
  </si>
  <si>
    <t>TR-UFFDP1-13-03221</t>
  </si>
  <si>
    <t>GM-60295-0277</t>
  </si>
  <si>
    <t>GM-60295-0278</t>
  </si>
  <si>
    <t>GM-60295-0279</t>
  </si>
  <si>
    <t>GM-60295-0280</t>
  </si>
  <si>
    <t>2207-NPCC-MWS-T-00197</t>
  </si>
  <si>
    <t>Merged into 001</t>
  </si>
  <si>
    <t>MOORING ANALYSIS DURING STARTUP, PIPELAYING &amp; LAYDOWN FOR 6", 10" AND 16" WELL FLUID P/L FROM ULRP TO WHT-5</t>
  </si>
  <si>
    <t>2207-NPCC-AO-T-01193</t>
  </si>
  <si>
    <t>CSE-OF-2207-016</t>
  </si>
  <si>
    <t>Merged into 2207-ZZ-CL-001</t>
  </si>
  <si>
    <t>TOWAGE ANALYSIS DURING TRANSPORTATION OF CC PIPES (TRIP-1)</t>
  </si>
  <si>
    <t>TOWAGE ANALYSIS DURING TRANSPORTATION OF CC PIPES (TRIP-2)</t>
  </si>
  <si>
    <t>2207-ZZ-CL-154</t>
  </si>
  <si>
    <t>2207-ZZ-CL-155</t>
  </si>
  <si>
    <t>CSE-OF-2207-017</t>
  </si>
  <si>
    <t>TR-UFFDP1-13-03254</t>
  </si>
  <si>
    <t>TR-UFFDP1-13-03255</t>
  </si>
  <si>
    <t>2207-NPCC-AO-T-01200</t>
  </si>
  <si>
    <t>TR-UFFDP1-13-03256</t>
  </si>
  <si>
    <t>TR-UFFDP1-13-03257</t>
  </si>
  <si>
    <t>TR-UFFDP1-13-03258</t>
  </si>
  <si>
    <t>AD162-562-G-03996</t>
  </si>
  <si>
    <t>AD162-562-G-03997</t>
  </si>
  <si>
    <t>2207-NPCC-AO-T-01207</t>
  </si>
  <si>
    <t>2207-NPCC-AO-T-01209</t>
  </si>
  <si>
    <t>CSE-OF-2207-018</t>
  </si>
  <si>
    <t>2207-NPCC-MWS-T-00205</t>
  </si>
  <si>
    <t>2207-NPCC-MWS-T-00207</t>
  </si>
  <si>
    <t>2207-NPCC-MWS-T-00213</t>
  </si>
  <si>
    <t>2207-NPCC-MWS-T-00214</t>
  </si>
  <si>
    <t>GM-60295-0292</t>
  </si>
  <si>
    <t>2207-NPCC-AO-T-01216</t>
  </si>
  <si>
    <t>CSE-OF-2207-019</t>
  </si>
  <si>
    <t>CSE-OF-2207-020</t>
  </si>
  <si>
    <t>2207-NPCC-AO-T-01217</t>
  </si>
  <si>
    <t>GM/60295/0296</t>
  </si>
  <si>
    <t>NOT ACCEPTED</t>
  </si>
  <si>
    <r>
      <t xml:space="preserve">Merged into single report with SR.NO 10,11,
</t>
    </r>
    <r>
      <rPr>
        <sz val="8"/>
        <rFont val="Tahoma"/>
        <family val="2"/>
      </rPr>
      <t>CLIENT</t>
    </r>
  </si>
  <si>
    <t>CSE-OF-2207-021</t>
  </si>
  <si>
    <t>LOADING ARRANGEMENT AND SEAFASTENING  OF CC PIPES @ AWALCO-I  (TRIP-3) (Campaign-1)</t>
  </si>
  <si>
    <t>2207-NPCC-AO-T-01222</t>
  </si>
  <si>
    <t>TR-UFFDP1-13-03337</t>
  </si>
  <si>
    <t>GM/60295/0300</t>
  </si>
  <si>
    <t>2207-NPCC-MWS-T-00216</t>
  </si>
  <si>
    <t>CSE-OF-2207-023</t>
  </si>
  <si>
    <t>CSE-OF-2207-022</t>
  </si>
  <si>
    <t>2207-NPCC-AO-T-01227</t>
  </si>
  <si>
    <t>2207-NPCC-AO-T-01233</t>
  </si>
  <si>
    <t>2207-NPCC-AO-T-01226</t>
  </si>
  <si>
    <t>GM/60295/0301</t>
  </si>
  <si>
    <t>Client/MWS
Resent on 14-07-14</t>
  </si>
  <si>
    <t>TR-UFFDP1-13-03367</t>
  </si>
  <si>
    <t>GM-60295-0303</t>
  </si>
  <si>
    <t>CSE-OF-2207-024</t>
  </si>
  <si>
    <t>2207-NPCC-AO-T-01241</t>
  </si>
  <si>
    <t>2207-NPCC-AO-T-01242</t>
  </si>
  <si>
    <t>2207-NPCC-MWS-T-00219</t>
  </si>
  <si>
    <t>2207-NPCC-MWS-T-00220</t>
  </si>
  <si>
    <t>MOORING ANALYSIS DURING INSTALLATION OF WHT-3, WHT-1 &amp;  ULRP JACKET</t>
  </si>
  <si>
    <t>CSE-OF-2207-025</t>
  </si>
  <si>
    <t>2207-NPCC-AO-T-01249</t>
  </si>
  <si>
    <t>2207-NPCC-MWS-T-00221</t>
  </si>
  <si>
    <t>2207-NPCC-MWS-T-00222</t>
  </si>
  <si>
    <t>TR-UFFDP1-13-03393</t>
  </si>
  <si>
    <t xml:space="preserve">GM/60295/0286
</t>
  </si>
  <si>
    <t>CLIENT</t>
  </si>
  <si>
    <t>TR-UFFDP1-13-03408</t>
  </si>
  <si>
    <t>GM/60295/0312</t>
  </si>
  <si>
    <t>GM/60295/0313</t>
  </si>
  <si>
    <t>Resent on 14-07-14</t>
  </si>
  <si>
    <t>2207-NPCC-MWS-T-00223</t>
  </si>
  <si>
    <t>2207-NPCC-MWS-T-00224</t>
  </si>
  <si>
    <t>CSE-OF-2207-026</t>
  </si>
  <si>
    <t>2207-NPCC-AO-T-01232</t>
  </si>
  <si>
    <t>CSE-OF-2207-027</t>
  </si>
  <si>
    <t>2207-NPCC-AO-T-01272</t>
  </si>
  <si>
    <t>2207-NPCC-AO-T-01271</t>
  </si>
  <si>
    <t>2207-NPCC-MWS-T-00236</t>
  </si>
  <si>
    <t>2207-NPCC-MWS-T-00237</t>
  </si>
  <si>
    <t>Merged into 002</t>
  </si>
  <si>
    <t>Merged into 2207-ZZ-CL-002</t>
  </si>
  <si>
    <t>MOORING ANALYSIS DURING STARTUP, PIPELAYING &amp; LAYDOWN FOR 16",  10" AND 6" WELL FLUID P/L FROM WHT-5 TO WHT-2</t>
  </si>
  <si>
    <t>CSE-OF-2207-028</t>
  </si>
  <si>
    <t>2207-NPCC-AO-T-01275</t>
  </si>
  <si>
    <t>GM/60295/0315</t>
  </si>
  <si>
    <t>GM-60295-0317</t>
  </si>
  <si>
    <t>CSE-OF-2207-029</t>
  </si>
  <si>
    <t>2207-NPCC-AO-T-01277</t>
  </si>
  <si>
    <t>TR-UFFDP1-13-03449</t>
  </si>
  <si>
    <t>TR-UFFDP1-13-03450</t>
  </si>
  <si>
    <t>GM/60295/0327</t>
  </si>
  <si>
    <t>CSE-OF-2207-030</t>
  </si>
  <si>
    <t>2207-NPCC-AO-T-01280</t>
  </si>
  <si>
    <t>2207-NPCC-AO-T-01281</t>
  </si>
  <si>
    <t>GM-60295-0334</t>
  </si>
  <si>
    <t>TR-UFFDP1-13-03455</t>
  </si>
  <si>
    <t>CSE-OF-2207-031</t>
  </si>
  <si>
    <t>2207-NPCC-AO-T-01286</t>
  </si>
  <si>
    <t>TR-UFFDP1-13-03465</t>
  </si>
  <si>
    <t>GM/60295/0341</t>
  </si>
  <si>
    <t>MWS
Resent on 14-07-14</t>
  </si>
  <si>
    <t>2207-NPCC-MWS-T-00260</t>
  </si>
  <si>
    <t>2207-NPCC-MWS-T-00261</t>
  </si>
  <si>
    <t>2207-NPCC-MWS-T-00263</t>
  </si>
  <si>
    <t>2207-NPCC-MWS-T-00264</t>
  </si>
  <si>
    <t>CSE-OF-2207-032</t>
  </si>
  <si>
    <t>2207-NPCC-AO-T-01304</t>
  </si>
  <si>
    <t>2207-NPCC-MWS-T-00265</t>
  </si>
  <si>
    <t>2207-NPCC-MWS-T-00266</t>
  </si>
  <si>
    <t>2207-NPCC-MWS-T-00268</t>
  </si>
  <si>
    <t>GM/60295/0345</t>
  </si>
  <si>
    <t>CSE-OF-2207-033</t>
  </si>
  <si>
    <t>2207-NPCC-AO-T-01314</t>
  </si>
  <si>
    <t>GM/60295/0349</t>
  </si>
  <si>
    <t>TR-UFFDP1-13-03491</t>
  </si>
  <si>
    <t>TR-UFFDP1-13-03492</t>
  </si>
  <si>
    <t>TR-UFFDP1-13-03493</t>
  </si>
  <si>
    <t>TR-UFFDP1-13-03499</t>
  </si>
  <si>
    <t>CSE-OF-2207-034</t>
  </si>
  <si>
    <t>2207-NPCC-AO-T-01321</t>
  </si>
  <si>
    <t>TR-UFFDP1-13-03506</t>
  </si>
  <si>
    <t>TR-UFFDP1-13-03507</t>
  </si>
  <si>
    <t>MOORING ANALYSIS DURING STARTUP, PIPELAYING &amp; LAYDOWN FOR 16",  10" AND 6"  WELL FLUID P/L FROM WHT-1 TO WHT-3</t>
  </si>
  <si>
    <t>Merged into 004</t>
  </si>
  <si>
    <t>Merged into 2207-ZZ-CL-004</t>
  </si>
  <si>
    <t>Merged into single report with SR.NO 7,8,9</t>
  </si>
  <si>
    <t>CSE-OF-2207-035</t>
  </si>
  <si>
    <t>2207-NPCC-AO-T-01326</t>
  </si>
  <si>
    <t>2207-NPCC-MWS-T-00269</t>
  </si>
  <si>
    <t>2207-NPCC-MWS-T-00270</t>
  </si>
  <si>
    <t>CSE-OF-2207-036</t>
  </si>
  <si>
    <t>2207-NPCC-AO-T-01330</t>
  </si>
  <si>
    <t>CSE-OF-2207-037</t>
  </si>
  <si>
    <t>2207-NPCC-AO-T-01331</t>
  </si>
  <si>
    <t>2207-NPCC-MWS-T-00273</t>
  </si>
  <si>
    <t>2207-NPCC-MWS-T-00274</t>
  </si>
  <si>
    <t>TR-UFFDP1-13-03537</t>
  </si>
  <si>
    <t>TR-UFFDP1-13-03540</t>
  </si>
  <si>
    <t>TR-UFFDP1-13-03541</t>
  </si>
  <si>
    <t>TR-UFFDP1-13-03542</t>
  </si>
  <si>
    <t>TR-UFFDP1-13-03543</t>
  </si>
  <si>
    <t>2207-NPCC-MWS-T-00275</t>
  </si>
  <si>
    <t>2207-NPCC-MWS-T-00276</t>
  </si>
  <si>
    <t>CSE-OF-2207-038</t>
  </si>
  <si>
    <t>2207-NPCC-AO-T-01342</t>
  </si>
  <si>
    <t>GM/60295/0353</t>
  </si>
  <si>
    <t>GM/60295/0354</t>
  </si>
  <si>
    <t>GM/60295/0355</t>
  </si>
  <si>
    <t>TR-UFFDP1-13-03556</t>
  </si>
  <si>
    <t>TR-UFFDP1-13-03557</t>
  </si>
  <si>
    <t>2207-NPCC-MWS-T-00282</t>
  </si>
  <si>
    <t>TR-UFFDP1-13-03558</t>
  </si>
  <si>
    <t>TR-UFFDP1-13-03566</t>
  </si>
  <si>
    <t>CSE-OF-2207-039</t>
  </si>
  <si>
    <t>2207-NPCC-AO-T-01351</t>
  </si>
  <si>
    <t>CSE-OF-2207-040</t>
  </si>
  <si>
    <t>2207-NPCC-AO-T-01356</t>
  </si>
  <si>
    <t>GM/60295/0365</t>
  </si>
  <si>
    <t>TR-UFFDP1-13-03580</t>
  </si>
  <si>
    <t>GM-60295-0368</t>
  </si>
  <si>
    <t>GM/60295/0370</t>
  </si>
  <si>
    <t>GM-60295-0371</t>
  </si>
  <si>
    <t>GM/60295/0372</t>
  </si>
  <si>
    <t>Merged into single report with SR.NO 5,6
-</t>
  </si>
  <si>
    <t>GM/60295/0373</t>
  </si>
  <si>
    <t>Merged into single report with SR.NO 12,13,
-</t>
  </si>
  <si>
    <t>GM/60295/0375</t>
  </si>
  <si>
    <t>GM-60295-0376</t>
  </si>
  <si>
    <t>2207-NPCC-MWS-T-00291</t>
  </si>
  <si>
    <t>2207-NPCC-MWS-T-00292</t>
  </si>
  <si>
    <t>GM/60295/0366
GM/60295/0377 CRS</t>
  </si>
  <si>
    <t>TR-UFFDP1-13-03641</t>
  </si>
  <si>
    <t>TR-UFFDP1-13-03653</t>
  </si>
  <si>
    <t>GM-60295-0387</t>
  </si>
  <si>
    <t>GM-60295-0388</t>
  </si>
  <si>
    <t>TR-UFFDP1-13-03664</t>
  </si>
  <si>
    <t>TR-UFFDP1-13-03684</t>
  </si>
  <si>
    <t>GM-60295-0394</t>
  </si>
  <si>
    <t>TR-UFFDP1-13-03710</t>
  </si>
  <si>
    <t>TR-UFFDP1-13-03712</t>
  </si>
  <si>
    <t>CSE-OF-2207-041</t>
  </si>
  <si>
    <t>2207-NPCC-AO-T-01401</t>
  </si>
  <si>
    <t>CSE-OF-2207-042</t>
  </si>
  <si>
    <t>2207-NPCC-AO-T-01404</t>
  </si>
  <si>
    <t>CSE-OF-2207-043</t>
  </si>
  <si>
    <t>2207-NPCC-AO-T-01417</t>
  </si>
  <si>
    <t>2207-NPCC-MWS-T-00311</t>
  </si>
  <si>
    <t>2207-NPCC-MWS-T-00312</t>
  </si>
  <si>
    <t>GM/60295/0415</t>
  </si>
  <si>
    <t>TR-UFFDP1-13-03752</t>
  </si>
  <si>
    <t>TR-UFFDP1-13-03751</t>
  </si>
  <si>
    <t>2207-NPCC-AO-T-01423</t>
  </si>
  <si>
    <t>CSE-OF-2207-045</t>
  </si>
  <si>
    <t>GM-60295-0419</t>
  </si>
  <si>
    <t>2207-NPCC-AO-T-01426</t>
  </si>
  <si>
    <t>2207-NPCC-AO-T-01425</t>
  </si>
  <si>
    <t>2207-NN-0140</t>
  </si>
  <si>
    <t>2207-NN-0141</t>
  </si>
  <si>
    <t>2207-NN-0142</t>
  </si>
  <si>
    <t>2207-NN-0143</t>
  </si>
  <si>
    <t>2207-NN-0144</t>
  </si>
  <si>
    <t>2207-NN-0145</t>
  </si>
  <si>
    <t>2207-NN-0146</t>
  </si>
  <si>
    <t>2207-NN-0147</t>
  </si>
  <si>
    <t>2207-NN-0148</t>
  </si>
  <si>
    <t>2207-NN-0149</t>
  </si>
  <si>
    <t>2207-NN-0150</t>
  </si>
  <si>
    <t>2207-NN-0151</t>
  </si>
  <si>
    <t>2207-NN-0152</t>
  </si>
  <si>
    <t>AD162-476/573-PL-62282</t>
  </si>
  <si>
    <t>DETAIL OF 16" TEMPORARY PIG LAUNCHER &amp; RECEIVER 16" WELL FLUID PIPELINE FROM ULRP TO WHT-3</t>
  </si>
  <si>
    <t>AD162-476/573-PL-62283</t>
  </si>
  <si>
    <t>CSE-OF-2207-046</t>
  </si>
  <si>
    <t>2207-NPCC-AO-T-01432</t>
  </si>
  <si>
    <t>2207-NPCC-MWS-T-00314</t>
  </si>
  <si>
    <t>2207-NPCC-MWS-T-00315</t>
  </si>
  <si>
    <t>DETAIL OF 8" TEMPORARY PIG LAUNCHER &amp; RECEIVER 8" GAS INJECTION PIPELINE FROM ULRP TO WHT-3</t>
  </si>
  <si>
    <t>AD162-476/573-PL-62284</t>
  </si>
  <si>
    <t>DETAIL OF 10" TEMPORARY PIG LAUNCHER &amp; RECEIVER 10" WATER INJECTION PIPELINE FROM ULRP TO WHT-3</t>
  </si>
  <si>
    <t>CSE-OF-2207-047</t>
  </si>
  <si>
    <t>2207-NPCC-AO-T-01438</t>
  </si>
  <si>
    <t>2207-NPCC-AO-T-01440</t>
  </si>
  <si>
    <t>GM-60295-0422</t>
  </si>
  <si>
    <t>DETAIL OF 6" TEMPORARY PIG LAUNCHER &amp; RECEIVER 6" GAS LIFT PIPELINE FROM ULRP TO WHT-3</t>
  </si>
  <si>
    <t>AD162-476/573-PL-62285</t>
  </si>
  <si>
    <t>GM-60295-0423</t>
  </si>
  <si>
    <t>GM-60295-0424</t>
  </si>
  <si>
    <t>2207-NPCC-MWS-T-00313</t>
  </si>
  <si>
    <t>CSE-OF-2207-048</t>
  </si>
  <si>
    <t>2207-NPCC-AO-T-01448</t>
  </si>
  <si>
    <t>DETAIL OF 6" TEMPORARY PIG LAUNCHER &amp; RECEIVER 6" GAS LIFT PIPELINE FROM WHT-3 TO WHT-1</t>
  </si>
  <si>
    <t>DETAIL OF 10" TEMPORARY PIG LAUNCHER &amp; RECEIVER 10" WATER INJECTION PIPELINE FROM WHT-3 TO WHT-1</t>
  </si>
  <si>
    <t>AD162-474/476-PL-62286</t>
  </si>
  <si>
    <t>AD162-474/476-PL-62287</t>
  </si>
  <si>
    <t>AD162-474/476-PL-62288</t>
  </si>
  <si>
    <t>DETAIL OF 16" TEMPORARY PIG LAUNCHER &amp; RECEIVER 16" WELL FLUID PIPELINE FROM WHT-3 TO WHT-1</t>
  </si>
  <si>
    <t>CSE-OF-2207-044
'CSE-OF-2207-049 Revised</t>
  </si>
  <si>
    <t>CSE-OF-2207-050</t>
  </si>
  <si>
    <t>2207-NPCC-AO-T-01449</t>
  </si>
  <si>
    <t>2207-NPCC-AO-T-01451</t>
  </si>
  <si>
    <t>CSE-OF-2207-051</t>
  </si>
  <si>
    <t>2207-NPCC-AO-T-01450</t>
  </si>
  <si>
    <t>CSE-OF-2207-052</t>
  </si>
  <si>
    <t>2207-NPCC-AO-T-01452</t>
  </si>
  <si>
    <t>CSE-OF-2207-047 Discarded</t>
  </si>
  <si>
    <t>AD162-573/480-PL-62289</t>
  </si>
  <si>
    <t>AD162-573/480-PL-62290</t>
  </si>
  <si>
    <t>AD162-573/480-PL-62291</t>
  </si>
  <si>
    <t>AD162-480/475-PL-62292</t>
  </si>
  <si>
    <t>AD162-480/475-PL-62293</t>
  </si>
  <si>
    <t>AD162-480/475-PL-62294</t>
  </si>
  <si>
    <t>DETAIL OF 6" TEMPORARY PIG LAUNCHER &amp; RECEIVER 6" GAS LIFT PIPELINE FROM ULRP TO WHT-5</t>
  </si>
  <si>
    <t>DETAIL OF 10" TEMPORARY PIG LAUNCHER &amp; RECEIVER 10" WATER INJECTION PIPELINE FROM ULRP TO WHT-5</t>
  </si>
  <si>
    <t>DETAIL OF 16" TEMPORARY PIG LAUNCHER &amp; RECEIVER 16" WELL FLUID PIPELINE FROM ULRP TO WHT-5</t>
  </si>
  <si>
    <t>DETAIL OF 6" TEMPORARY PIG LAUNCHER &amp; RECEIVER 6" GAS LIFT PIPELINE FROM WHT-5 TO WHT-2</t>
  </si>
  <si>
    <t>DETAIL OF 10" TEMPORARY PIG LAUNCHER &amp; RECEIVER 10" WATER INJECTION PIPELINE FROM WHT-5 TO WHT-2</t>
  </si>
  <si>
    <t>DETAIL OF 16" TEMPORARY PIG LAUNCHER &amp; RECEIVER 16" WELL FLUID PIPELINE FROM WHT-5 TO WHT-2</t>
  </si>
  <si>
    <t>CSE-OF-2207-053</t>
  </si>
  <si>
    <t>2207-NPCC-AO-T-01458</t>
  </si>
  <si>
    <t>CSE-OF-2207-054</t>
  </si>
  <si>
    <t>2207-NPCC-AO-T-01459</t>
  </si>
  <si>
    <t>2207-NPCC-AO-T-01460</t>
  </si>
  <si>
    <t>2207-NPCC-MWS-T-00318</t>
  </si>
  <si>
    <t>2207-NPCC-MWS-T-00319</t>
  </si>
  <si>
    <t>2207-NPCC-MWS-T-00320</t>
  </si>
  <si>
    <t>TR-UFFDP1-13-03797</t>
  </si>
  <si>
    <t>TR-UFFDP1-13-03798</t>
  </si>
  <si>
    <t>TR-UFFDP1-13-03810</t>
  </si>
  <si>
    <t>TR-UFFDP1-13-03811</t>
  </si>
  <si>
    <t>CSE-OF-2207-056</t>
  </si>
  <si>
    <t>2207-NPCC-AO-T-01461</t>
  </si>
  <si>
    <t>GM-60295-0439</t>
  </si>
  <si>
    <t>GM-60295-0440</t>
  </si>
  <si>
    <t>CSE-OF-2207-057</t>
  </si>
  <si>
    <t>2207-NPCC-AO-T-01464</t>
  </si>
  <si>
    <t>2207-NPCC-AO-T-01465</t>
  </si>
  <si>
    <t>CSE-OF-2207-058</t>
  </si>
  <si>
    <t>2207-NPCC-AO-T-01469</t>
  </si>
  <si>
    <t>MOORING ANALYSIS DURING INSTALLATION OF WHT-7 &amp; WHT-8 JACKETS</t>
  </si>
  <si>
    <t>CSE-OF-2207-059</t>
  </si>
  <si>
    <t>2207-NPCC-AO-T-01472</t>
  </si>
  <si>
    <t>2207-NPCC-AO-T-01473</t>
  </si>
  <si>
    <t>CSE-OF-2207-060</t>
  </si>
  <si>
    <t>2207-NPCC-AO-T-01475</t>
  </si>
  <si>
    <t>CSE-OF-2207-061</t>
  </si>
  <si>
    <t>2207-NPCC-AO-T-01484</t>
  </si>
  <si>
    <t>CSE-OF-2207-062</t>
  </si>
  <si>
    <t>2207-NPCC-AO-T-01487</t>
  </si>
  <si>
    <t>CSE-OF-2207-055</t>
  </si>
  <si>
    <t>2207-NPCC-MWS-T-00328</t>
  </si>
  <si>
    <t>2207-NPCC-MWS-T-00333</t>
  </si>
  <si>
    <t>2207-NPCC-MWS-T-00332</t>
  </si>
  <si>
    <t>2207-NPCC-MWS-T-00331</t>
  </si>
  <si>
    <t>2207-NPCC-MWS-T-00330</t>
  </si>
  <si>
    <t>2207-NPCC-MWS-T-00329</t>
  </si>
  <si>
    <t>TR-UFFDP1-13-03834</t>
  </si>
  <si>
    <t>Information</t>
  </si>
  <si>
    <t>GM/60295/0453</t>
  </si>
  <si>
    <t>2207-NPCC-AO-T-01488</t>
  </si>
  <si>
    <t>CSE-OF-2207-063</t>
  </si>
  <si>
    <t>CSE-OF-2207-064</t>
  </si>
  <si>
    <t>2207-NPCC-AO-T-01492</t>
  </si>
  <si>
    <t>2207-NPCC-AO-T-01493</t>
  </si>
  <si>
    <t>CSE-OF-2207-065</t>
  </si>
  <si>
    <t>CSE-OF-2207-066</t>
  </si>
  <si>
    <t>2207-NPCC-AO-T-01494</t>
  </si>
  <si>
    <t>GM-60295-0457</t>
  </si>
  <si>
    <t>GM-60295-0459</t>
  </si>
  <si>
    <t>CSE-OF-2207-067</t>
  </si>
  <si>
    <t>2207-NPCC-AO-T-01497</t>
  </si>
  <si>
    <t>2207-NPCC-MWS-T-00339</t>
  </si>
  <si>
    <t>2207-NPCC-MWS-T-00342</t>
  </si>
  <si>
    <t>2207-NPCC-MWS-T-00344</t>
  </si>
  <si>
    <t>2207-NPCC-MWS-T-00340</t>
  </si>
  <si>
    <t>2207-NPCC-MWS-T-00341</t>
  </si>
  <si>
    <t>2207-NPCC-MWS-T-00343</t>
  </si>
  <si>
    <t>2207-NPCC-MWS-T-00345</t>
  </si>
  <si>
    <t>TR-UFFDP1-13-03838</t>
  </si>
  <si>
    <t>TR-UFFDP1-13-03839</t>
  </si>
  <si>
    <t>TR-UFFDP1-13-03843</t>
  </si>
  <si>
    <t>TR-UFFDP1-13-03846</t>
  </si>
  <si>
    <t>TR-UFFDP1-13-03853</t>
  </si>
  <si>
    <t>TR-UFFDP1-13-02476</t>
  </si>
  <si>
    <t>TR-UFFDP1-13-03858</t>
  </si>
  <si>
    <t>TR-UFFDP1-13-03859</t>
  </si>
  <si>
    <t>TR-UFFDP1-13-03863</t>
  </si>
  <si>
    <t>2207-NPCC-AO-T-01505</t>
  </si>
  <si>
    <t>CSE-OF-2207-069</t>
  </si>
  <si>
    <t>2207-NPCC-AO-T-01506</t>
  </si>
  <si>
    <t>2207-NPCC-AO-T-01507</t>
  </si>
  <si>
    <t>2207-NPCC-AO-T-01508</t>
  </si>
  <si>
    <t>2207-NPCC-AO-T-01509</t>
  </si>
  <si>
    <t>2207-NPCC-AO-T-01510</t>
  </si>
  <si>
    <t>2207-NPCC-MWS-T-00346</t>
  </si>
  <si>
    <r>
      <t>2207-NPCC-MWS-T-00</t>
    </r>
    <r>
      <rPr>
        <sz val="10"/>
        <rFont val="Calibri"/>
        <family val="2"/>
      </rPr>
      <t>348</t>
    </r>
  </si>
  <si>
    <r>
      <t>2207-NPCC-MWS-T-00</t>
    </r>
    <r>
      <rPr>
        <sz val="10"/>
        <rFont val="Calibri"/>
        <family val="2"/>
      </rPr>
      <t>347</t>
    </r>
  </si>
  <si>
    <r>
      <t>2207-NPCC-MWS-T-00</t>
    </r>
    <r>
      <rPr>
        <sz val="10"/>
        <rFont val="Calibri"/>
        <family val="2"/>
      </rPr>
      <t>349</t>
    </r>
  </si>
  <si>
    <t>CSE-OF-2207-071</t>
  </si>
  <si>
    <t>2207-NPCC-AO-T-01514</t>
  </si>
  <si>
    <t>CSE-OF-2207-072</t>
  </si>
  <si>
    <t>2207-NPCC-AO-T-01516</t>
  </si>
  <si>
    <t>CSE-OF-2207-073</t>
  </si>
  <si>
    <t>2207-NPCC-AO-T-01517</t>
  </si>
  <si>
    <t>2207-NPCC-MWS-T-00352</t>
  </si>
  <si>
    <t>2207-NPCC-MWS-T-00353</t>
  </si>
  <si>
    <t>2207-NPCC-MWS-T-00355</t>
  </si>
  <si>
    <t>GM-60295-0467</t>
  </si>
  <si>
    <t>reused</t>
  </si>
  <si>
    <t>SEAFASTENING DESIGN REPORT FOR CC PIPES FOR CB-7 (TRIP-6) (Campaign-1)</t>
  </si>
  <si>
    <t>CSE-OF-2207-074</t>
  </si>
  <si>
    <t>2207-NPCC-AO-T-01537</t>
  </si>
  <si>
    <t>2207-NPCC-AO-T-01538</t>
  </si>
  <si>
    <t>CSE-OF-2207-075</t>
  </si>
  <si>
    <t>2207-NPCC-AO-T-01542</t>
  </si>
  <si>
    <t>2207-NPCC-MWS-T-00361</t>
  </si>
  <si>
    <t>2207-NPCC-MWS-T-00360</t>
  </si>
  <si>
    <t>2207-NPCC-MWS-T-00359</t>
  </si>
  <si>
    <t>2207-NPCC-MWS-T-00358</t>
  </si>
  <si>
    <t>2207-NPCC-MWS-T-00362</t>
  </si>
  <si>
    <t>2207-NPCC-MWS-T-00363</t>
  </si>
  <si>
    <t>2207-NPCC-MWS-T-00364</t>
  </si>
  <si>
    <t>2207-NPCC-MWS-T-00365</t>
  </si>
  <si>
    <t>2207-NPCC-AO-T-01549</t>
  </si>
  <si>
    <t>GM-60295-0470</t>
  </si>
  <si>
    <t>GM-60295-0471</t>
  </si>
  <si>
    <t>CSE-OF-2207-076</t>
  </si>
  <si>
    <t>2207-NPCC-AO-T-01552</t>
  </si>
  <si>
    <t>CSE-OF-2207-077</t>
  </si>
  <si>
    <t>2207-NPCC-AO-T-01553</t>
  </si>
  <si>
    <t>TR-UFFDP1-13-03880</t>
  </si>
  <si>
    <t>TR-UFFDP1-13-03888</t>
  </si>
  <si>
    <t>TR-UFFDP1-13-03889</t>
  </si>
  <si>
    <t>TR-UFFDP1-13-03890</t>
  </si>
  <si>
    <t>TR-UFFDP1-13-03891</t>
  </si>
  <si>
    <t>TR-UFFDP1-13-03892</t>
  </si>
  <si>
    <t>GM-60295-0479</t>
  </si>
  <si>
    <t>CSE-OF-2207-078</t>
  </si>
  <si>
    <t>2207-NPCC-AO-T-01566</t>
  </si>
  <si>
    <t>GM-60295-0485</t>
  </si>
  <si>
    <t>GM-60295-0480</t>
  </si>
  <si>
    <t>GM-60295-0484</t>
  </si>
  <si>
    <t>GM/60295/0481</t>
  </si>
  <si>
    <t>GM-60295-0482</t>
  </si>
  <si>
    <t>GM/60295/0483</t>
  </si>
  <si>
    <t>CSE-OF-2207-079</t>
  </si>
  <si>
    <t>2207-NPCC-AO-T-01572</t>
  </si>
  <si>
    <t>2207-NPCC-AO-T-01571</t>
  </si>
  <si>
    <t>2207-NPCC-MWS-T-00370</t>
  </si>
  <si>
    <t>2207-NPCC-MWS-T-00371</t>
  </si>
  <si>
    <t>2207-NPCC-MWS-T-00374</t>
  </si>
  <si>
    <t>2207-NPCC-MWS-T-00376</t>
  </si>
  <si>
    <t>2207-NPCC-MWS-T-00373</t>
  </si>
  <si>
    <t>2207-NPCC-MWS-T-00375</t>
  </si>
  <si>
    <t>GM-60295-0486</t>
  </si>
  <si>
    <t>GM-60295-0487</t>
  </si>
  <si>
    <t>GM-60295-0489</t>
  </si>
  <si>
    <t>GM-60295-0490</t>
  </si>
  <si>
    <t>GM-60295-0491</t>
  </si>
  <si>
    <t>CSE-OF-2207-080</t>
  </si>
  <si>
    <t>2207-NPCC-AO-T-01578</t>
  </si>
  <si>
    <t>2207-NPCC-AO-T-01579</t>
  </si>
  <si>
    <t>GM/60295/0494</t>
  </si>
  <si>
    <t>GM-60295-0495</t>
  </si>
  <si>
    <t>GM-60295-0496</t>
  </si>
  <si>
    <t>GM-60295-0497</t>
  </si>
  <si>
    <t>GM-60295-0498</t>
  </si>
  <si>
    <t>GM-60295-0499</t>
  </si>
  <si>
    <t>GM-60295-0500</t>
  </si>
  <si>
    <t>CSE-OF-2207-081</t>
  </si>
  <si>
    <t>2207-NPCC-AO-T-01591</t>
  </si>
  <si>
    <t>GM-60295-0501</t>
  </si>
  <si>
    <t>GM-60295-0502</t>
  </si>
  <si>
    <t>CSE-OF-2207-082</t>
  </si>
  <si>
    <t>2207-NPCC-AO-T-01598</t>
  </si>
  <si>
    <t>TR-UFFDP1-13-03922</t>
  </si>
  <si>
    <t>TR-UFFDP1-13-03924</t>
  </si>
  <si>
    <t>TR-UFFDP1-13-03925</t>
  </si>
  <si>
    <t>TR-UFFDP1-13-03926</t>
  </si>
  <si>
    <t>TR-UFFDP1-13-03927</t>
  </si>
  <si>
    <t>TR-UFFDP1-13-03928</t>
  </si>
  <si>
    <t>CSE-OF-2207-083</t>
  </si>
  <si>
    <t>2207-NPCC-AO-T-01600</t>
  </si>
  <si>
    <t>2207-NPCC-MWS-T-00377</t>
  </si>
  <si>
    <t>2207-NPCC-MWS-T-00378</t>
  </si>
  <si>
    <t>2207-NPCC-MWS-T-00379</t>
  </si>
  <si>
    <t>2207-NPCC-MWS-T-00380</t>
  </si>
  <si>
    <t>GM-60295-0503</t>
  </si>
  <si>
    <t>TR-UFFDP1-13-03949</t>
  </si>
  <si>
    <t>TR-UFFDP1-13-03941</t>
  </si>
  <si>
    <t>TR-UFFDP1-13-03950</t>
  </si>
  <si>
    <t>CSE-OF-2207-085</t>
  </si>
  <si>
    <t>2207-NPCC-AO-T-01612</t>
  </si>
  <si>
    <t>2207-NPCC-MWS-T-00382</t>
  </si>
  <si>
    <t>2207-NPCC-MWS-T-00383</t>
  </si>
  <si>
    <t>2207-NPCC-MWS-T-00384</t>
  </si>
  <si>
    <t>2207-NPCC-MWS-T-00385</t>
  </si>
  <si>
    <t>2207-NPCC-MWS-T-00386</t>
  </si>
  <si>
    <t>CSE-OF-2207-086</t>
  </si>
  <si>
    <t>2207-NPCC-AO-T-01723</t>
  </si>
  <si>
    <t>2207-NPCC-AO-T-01721</t>
  </si>
  <si>
    <t>D</t>
  </si>
  <si>
    <t>CSE-OF-2207-087</t>
  </si>
  <si>
    <t>2207-NPCC-AO-T-01725</t>
  </si>
  <si>
    <t>CSE-OF-2207-084</t>
  </si>
  <si>
    <t>2207-NPCC-AO-T-01609</t>
  </si>
  <si>
    <t>2207-NPCC-AO-T-01624</t>
  </si>
  <si>
    <t>V</t>
  </si>
  <si>
    <t>2207-NPCC-AO-T-01625</t>
  </si>
  <si>
    <t>2207-NPCC-AO-T-01629</t>
  </si>
  <si>
    <t>2207-NPCC-AO-T-01630</t>
  </si>
  <si>
    <t>2207-NPCC-AO-T-01631</t>
  </si>
  <si>
    <t>2207-NPCC-AO-T-01632</t>
  </si>
  <si>
    <t>2207-NPCC-AO-T-01633</t>
  </si>
  <si>
    <t>2207-NPCC-AO-T-01635</t>
  </si>
  <si>
    <t>2207-NPCC-AO-T-01645</t>
  </si>
  <si>
    <t>2207-NPCC-AO-T-01646</t>
  </si>
  <si>
    <t>2207-NPCC-AO-T-01647</t>
  </si>
  <si>
    <t>2207-NPCC-AO-T-01681</t>
  </si>
  <si>
    <t>2207-NPCC-AO-T-01682</t>
  </si>
  <si>
    <t>2207-NPCC-AO-T-01694</t>
  </si>
  <si>
    <t>?</t>
  </si>
  <si>
    <t>2207-NPCC-AO-T-01695</t>
  </si>
  <si>
    <t>2207-NPCC-MWS-T-00387</t>
  </si>
  <si>
    <t>2207-NPCC-MWS-T-00388</t>
  </si>
  <si>
    <t>2207-NPCC-MWS-T-00389</t>
  </si>
  <si>
    <t>2207-NPCC-MWS-T-00391</t>
  </si>
  <si>
    <t>2207-NPCC-MWS-T-00392</t>
  </si>
  <si>
    <t>2207-NPCC-MWS-T-00390</t>
  </si>
  <si>
    <t>2207-NPCC-MWS-T-00393</t>
  </si>
  <si>
    <t>2207-NPCC-MWS-T-00394</t>
  </si>
  <si>
    <t>2207-NPCC-MWS-T-00395</t>
  </si>
  <si>
    <t>2207-NPCC-MWS-T-00396</t>
  </si>
  <si>
    <t>2207-NPCC-MWS-T-00397</t>
  </si>
  <si>
    <t>2207-NPCC-MWS-T-00398</t>
  </si>
  <si>
    <t>2207-NPCC-MWS-T-00399</t>
  </si>
  <si>
    <t>2207-NPCC-MWS-T-00400</t>
  </si>
  <si>
    <t>2207-NPCC-MWS-T-00401</t>
  </si>
  <si>
    <t>2207-NPCC-MWS-T-00402</t>
  </si>
  <si>
    <t>2207-NPCC-AO-T-01649</t>
  </si>
  <si>
    <t>2207-NPCC-MWS-T-00404</t>
  </si>
  <si>
    <t>2207-NPCC-MWS-T-00405</t>
  </si>
  <si>
    <t>2207-NPCC-MWS-T-00406</t>
  </si>
  <si>
    <t>2207-NPCC-MWS-T-00407</t>
  </si>
  <si>
    <t>TR-UFFDP1-13-03864</t>
  </si>
  <si>
    <t>2207-NN-0153</t>
  </si>
  <si>
    <t>LOADING ARRANGEMENT AND SEAFASTENING  OF RISERS AND SPOOLS @ MARCAP (TRIP-3) (Campaign-1)</t>
  </si>
  <si>
    <t>AD162-562-PL-62295</t>
  </si>
  <si>
    <t>TR-UFFDP1-13-03955</t>
  </si>
  <si>
    <t>TR-UFFDP1-13-03956</t>
  </si>
  <si>
    <t>TR-UFFDP1-13-03961</t>
  </si>
  <si>
    <t>TR-UFFDP1-13-03966</t>
  </si>
  <si>
    <t>TR-UFFDP1-13-03967</t>
  </si>
  <si>
    <t>TR-UFFDP1-13-03968</t>
  </si>
  <si>
    <t>TR-UFFDP1-13-03973</t>
  </si>
  <si>
    <t>TR-UFFDP1-13-03974</t>
  </si>
  <si>
    <t>CSE-OF-2207-088</t>
  </si>
  <si>
    <t>2207-NPCC-AO-T-01741</t>
  </si>
  <si>
    <t>CSE-OF-2207-089</t>
  </si>
  <si>
    <t>2207-NPCC-AO-T-01743</t>
  </si>
  <si>
    <t>TR-UFFDP1-13-03978</t>
  </si>
  <si>
    <t>TR-UFFDP1-13-03983</t>
  </si>
  <si>
    <t>TR-UFFDP1-13-03984</t>
  </si>
  <si>
    <t>TR-UFFDP1-13-03985</t>
  </si>
  <si>
    <t>TR-UFFDP1-13-03986</t>
  </si>
  <si>
    <t>TR-UFFDP1-13-04008</t>
  </si>
  <si>
    <t>TR-UFFDP1-13-04009</t>
  </si>
  <si>
    <t>TR-UFFDP1-13-04020</t>
  </si>
  <si>
    <t>TR-UFFDP1-13-04027</t>
  </si>
  <si>
    <t>TR-UFFDP1-13-04028</t>
  </si>
  <si>
    <t>TR-UFFDP1-13-04038</t>
  </si>
  <si>
    <t>TR-UFFDP1-13-04039</t>
  </si>
  <si>
    <t>TR-UFFDP1-13-04045</t>
  </si>
  <si>
    <t>TR-UFFDP1-13-04046</t>
  </si>
  <si>
    <t>TR-UFFDP1-13-04047</t>
  </si>
  <si>
    <t>2207-NPCC-MWS-T-00411</t>
  </si>
  <si>
    <t>2207-NPCC-MWS-T-00412</t>
  </si>
  <si>
    <t>GM-60295-0505</t>
  </si>
  <si>
    <t>GM-60295-0506</t>
  </si>
  <si>
    <t>GM-60295-0512</t>
  </si>
  <si>
    <t>GM-60295-0517</t>
  </si>
  <si>
    <t>GM-60295-0518</t>
  </si>
  <si>
    <t>GM-60295-0525</t>
  </si>
  <si>
    <t>GM-60295-0526</t>
  </si>
  <si>
    <t>GM-60295-0530</t>
  </si>
  <si>
    <t>GM-60295-0540</t>
  </si>
  <si>
    <t>GM-60295-0558</t>
  </si>
  <si>
    <t>GM-60295-0508</t>
  </si>
  <si>
    <t>GM-60295-0509</t>
  </si>
  <si>
    <t>GM-60295-0510</t>
  </si>
  <si>
    <t>GM-60295-0511</t>
  </si>
  <si>
    <t>GM-60295-0513</t>
  </si>
  <si>
    <t>GM-60295-0527</t>
  </si>
  <si>
    <t>GM-60295-0533</t>
  </si>
  <si>
    <t>GM-60295-0534</t>
  </si>
  <si>
    <t>GM-60295-0535</t>
  </si>
  <si>
    <t>GM-60295-0536</t>
  </si>
  <si>
    <t>GM-60295-0541</t>
  </si>
  <si>
    <t>GM-60295-0542</t>
  </si>
  <si>
    <t>GM-60295-0543</t>
  </si>
  <si>
    <t>GM-60295-0547</t>
  </si>
  <si>
    <t>GM-60295-0548</t>
  </si>
  <si>
    <t>GM-60295-0515</t>
  </si>
  <si>
    <t>GM-60295-0519</t>
  </si>
  <si>
    <t>GM-60295-0521</t>
  </si>
  <si>
    <t>GM-60295-0522</t>
  </si>
  <si>
    <t>GM-60295-0546</t>
  </si>
  <si>
    <t>GM-60295-0523</t>
  </si>
  <si>
    <t>GM-60295-0524</t>
  </si>
  <si>
    <t>GM-60295- 0528</t>
  </si>
  <si>
    <t>GM-60295-0532</t>
  </si>
  <si>
    <t>GM-60295-0537</t>
  </si>
  <si>
    <t>GM-60295-0538</t>
  </si>
  <si>
    <t>GM-60295-0539</t>
  </si>
  <si>
    <t>GM-60295-0552</t>
  </si>
  <si>
    <t>GM-60295-0553</t>
  </si>
  <si>
    <t>GM-60295-0544</t>
  </si>
  <si>
    <t>GM-60295-0559</t>
  </si>
  <si>
    <t>GM-60295-0560</t>
  </si>
  <si>
    <t>GM-60295-0545</t>
  </si>
  <si>
    <t>2207-NN-0154</t>
  </si>
  <si>
    <t>AD162-562-PL-62296</t>
  </si>
  <si>
    <t>LOADING ARRG'T &amp; SEAFASTENING DETAILS OF RISERS, SPOOLS &amp; FENDER @ GOGAS-252 (TRIP-4)</t>
  </si>
  <si>
    <t>2207-NPCC-MWS-T-00413</t>
  </si>
  <si>
    <t>2207-NPCC-MWS-T-00414</t>
  </si>
  <si>
    <t>2207-NPCC-MWS-T-00415</t>
  </si>
  <si>
    <t>GM-60295-0564</t>
  </si>
  <si>
    <t>GM-60295-0565</t>
  </si>
  <si>
    <t>GM-60295-0566</t>
  </si>
  <si>
    <t>GM-60295-0567</t>
  </si>
  <si>
    <t>CSE-OF-2207-090</t>
  </si>
  <si>
    <t>GM-60295-0562</t>
  </si>
  <si>
    <t>2207-NPCC-AO-T-01752</t>
  </si>
  <si>
    <t>GM-60295-0568</t>
  </si>
  <si>
    <t>GM-60295-0569</t>
  </si>
  <si>
    <t>GM-60295-0570</t>
  </si>
  <si>
    <t>GM-60295-0571</t>
  </si>
  <si>
    <t>CSE-OF-2207-091</t>
  </si>
  <si>
    <t>2207-NPCC-AO-T-01760</t>
  </si>
  <si>
    <t>TR-UFFDP1-13-04124</t>
  </si>
  <si>
    <t>CSE-OF-2207-092</t>
  </si>
  <si>
    <t>2207-NPCC-AO-T-01777</t>
  </si>
  <si>
    <t>2207-NPCC-AO-T-01650</t>
  </si>
  <si>
    <t>2207-NPCC-MWS-T-00419</t>
  </si>
  <si>
    <t>2207-NPCC-MWS-T-00418</t>
  </si>
  <si>
    <t>TR-UFFDP1-13-04125</t>
  </si>
  <si>
    <t>TR-UFFDP1-13-04126</t>
  </si>
  <si>
    <t>TR-UFFDP1-13-04122</t>
  </si>
  <si>
    <t>CSE-OF-2207-093</t>
  </si>
  <si>
    <t>2207-NPCC-AO-T-01783</t>
  </si>
  <si>
    <t>TR-UFFDP1-13-04123</t>
  </si>
  <si>
    <t>2207-NPCC-MWS-T-00420</t>
  </si>
  <si>
    <t>TR-UFFDP1-13-04154</t>
  </si>
  <si>
    <t>CSE-OF-2207-094</t>
  </si>
  <si>
    <t>2207-NPCC-AO-T-01788</t>
  </si>
  <si>
    <t>2207-NPCC-AO-T-01789</t>
  </si>
  <si>
    <t>TR-UFFDP1-13-04176</t>
  </si>
  <si>
    <t>2207-NPCC-MWS-T-00403</t>
  </si>
  <si>
    <t>2207-NPCC-MWS-T-00422</t>
  </si>
  <si>
    <t>2207-NPCC-MWS-T-00423</t>
  </si>
  <si>
    <t>2207-NPCC-MWS-T-00424</t>
  </si>
  <si>
    <t>CSE-OF-2207-095</t>
  </si>
  <si>
    <t>2207-NPCC-AO-T-01810</t>
  </si>
  <si>
    <t>GM-60295-0574</t>
  </si>
  <si>
    <t>GM-60295-0575</t>
  </si>
  <si>
    <t>CSE-OF-2207-096</t>
  </si>
  <si>
    <t>2207-NPCC-AO-T-01811</t>
  </si>
  <si>
    <t>2207-NPCC-AO-T-01812</t>
  </si>
  <si>
    <t>GM-60295-0576</t>
  </si>
  <si>
    <t>GM-60295-0577</t>
  </si>
  <si>
    <t>GM-60295-0578</t>
  </si>
  <si>
    <t>GM-60295-0582</t>
  </si>
  <si>
    <t>TR-UFFDP1-13-04229</t>
  </si>
  <si>
    <t>2207-NPCC-MWS-T-00429</t>
  </si>
  <si>
    <t>TR-UFFDP1-13-04225</t>
  </si>
  <si>
    <t>TR-UFFDP1-13-04239</t>
  </si>
  <si>
    <t>TR-UFFDP1-13-04228</t>
  </si>
  <si>
    <t>TR-UFFDP1-13-01684</t>
  </si>
  <si>
    <t>CSE-OF-2207-097</t>
  </si>
  <si>
    <t>2207-NPCC-AO-T-01829</t>
  </si>
  <si>
    <t>CSE-OF-2207-098</t>
  </si>
  <si>
    <t>2207-NPCC-AO-T-01830</t>
  </si>
  <si>
    <t>`</t>
  </si>
  <si>
    <t>TR-UFFDP1-13-04248</t>
  </si>
  <si>
    <t>TR-UFFDP1-13-04236</t>
  </si>
  <si>
    <t>TR-UFFDP1-13-04240</t>
  </si>
  <si>
    <t>TR-UFFDP1-13-04238</t>
  </si>
  <si>
    <t>TR-UFFDP1-13-04237</t>
  </si>
  <si>
    <t>TR-UFFDP1-13-04235</t>
  </si>
  <si>
    <t>TR-UFFDP1-13-04234</t>
  </si>
  <si>
    <t>TR-UFFDP1-13-04232</t>
  </si>
  <si>
    <t>TR-UFFDP1-13-04233</t>
  </si>
  <si>
    <t>2207-NPCC-MWS-T-00430</t>
  </si>
  <si>
    <t>CSE-OF-2207-099</t>
  </si>
  <si>
    <t>2207-NPCC-AO-T-01833</t>
  </si>
  <si>
    <t>2207-NPCC-MWS-T-00431</t>
  </si>
  <si>
    <t>2207-NPCC-MWS-T-00432</t>
  </si>
  <si>
    <t>2207-NPCC-MWS-T-00433</t>
  </si>
  <si>
    <t>2207-NPCC-MWS-T-00434</t>
  </si>
  <si>
    <t>CSE-OF-2207-100</t>
  </si>
  <si>
    <t>2207-NPCC-AO-T-01846</t>
  </si>
  <si>
    <t>CSE-OF-2207-101</t>
  </si>
  <si>
    <t>2207-NPCC-AO-T-01850</t>
  </si>
  <si>
    <t>TR-UFFDP1-13-04291</t>
  </si>
  <si>
    <t>2207-NPCC-MWS-T-00437</t>
  </si>
  <si>
    <t>2207-NPCC-MWS-T-00438</t>
  </si>
  <si>
    <t>CSE-OF-2207-102</t>
  </si>
  <si>
    <t>2207-NPCC-AO-T-01877</t>
  </si>
  <si>
    <t>GM-60295-0586</t>
  </si>
  <si>
    <t>2207-NPCC-MWS-T-00439</t>
  </si>
  <si>
    <t>TR-UFFDP1-13-04331</t>
  </si>
  <si>
    <t>TR-UFFDP1-13-04357</t>
  </si>
  <si>
    <t>TR-UFFDP1-13-04346</t>
  </si>
  <si>
    <t>GM-60295-0587</t>
  </si>
  <si>
    <t>GM-60295-0588</t>
  </si>
  <si>
    <t>TR-UFFDP1-13-04387</t>
  </si>
  <si>
    <t>TR-UFFDP1-13-04397</t>
  </si>
  <si>
    <t>GM-60295-0504</t>
  </si>
  <si>
    <t>TR-UFFDP1-13-04398</t>
  </si>
  <si>
    <t>TR-UFFDP1-13-04399</t>
  </si>
  <si>
    <t>TR-UFFDP1-13-04402</t>
  </si>
  <si>
    <t>TR-UFFDP1-13-04403</t>
  </si>
  <si>
    <t>GM-60295-0592</t>
  </si>
  <si>
    <t>GM-60295-0593</t>
  </si>
  <si>
    <t>GM-60295-0594</t>
  </si>
  <si>
    <t>GM-60295-0595</t>
  </si>
  <si>
    <t>TR-UFFDP1-13-04401</t>
  </si>
  <si>
    <t>GM-60295-0599</t>
  </si>
  <si>
    <t>GM-60295-0600</t>
  </si>
  <si>
    <t>GM-60295-0601</t>
  </si>
  <si>
    <t>GM-60295-0602</t>
  </si>
  <si>
    <t>GM-60295-0603</t>
  </si>
  <si>
    <t>GM-60295-0604</t>
  </si>
  <si>
    <t>GM-60295-0605</t>
  </si>
  <si>
    <t>CSE-OF-2207-103</t>
  </si>
  <si>
    <t>2207-NPCC-AO-T-01983</t>
  </si>
  <si>
    <t>2207-ZZ-CL-156</t>
  </si>
  <si>
    <t>AD197-473-G-03998</t>
  </si>
  <si>
    <t>CSE-OF-2207-104</t>
  </si>
  <si>
    <t>2207-NPCC-AO-T-01996</t>
  </si>
  <si>
    <t>TR-UFFDP1-13-04538</t>
  </si>
  <si>
    <t>2207-NPCC-MWS-T-00448</t>
  </si>
  <si>
    <t>GM-60295-0609</t>
  </si>
  <si>
    <t>2207-NN-RP-061</t>
  </si>
  <si>
    <t>AD162-562-G-06319</t>
  </si>
  <si>
    <t>SEAFASTENING DESIGN REPORT FOR CABLE BASKET ON CB-7 (Campaign-1)</t>
  </si>
  <si>
    <t>CSE-OF-2207-105</t>
  </si>
  <si>
    <t>2207-NPCC-AO-T-02020</t>
  </si>
  <si>
    <t>2207-NPCC-MWS-T-00449</t>
  </si>
  <si>
    <t>2207-NPCC-MWS-T-00450</t>
  </si>
  <si>
    <t>GM-60295-0611</t>
  </si>
  <si>
    <t>TR-UFFDP1-13-04722</t>
  </si>
  <si>
    <t>TR-UFFDP1-13-04723</t>
  </si>
  <si>
    <t>CSE-OF-2207-106</t>
  </si>
  <si>
    <t>2207-NPCC-AO-T-02112</t>
  </si>
  <si>
    <t>CLIENT/MWS</t>
  </si>
  <si>
    <t>LIFTING AND INSTALLATION OF CONCRETE SLEEPERS AT CX-3, CX-4, CX-5 &amp; CX-6 BY JAYA PEARL VESSEL</t>
  </si>
  <si>
    <t>2207-NPCC-MWS-T-00451</t>
  </si>
  <si>
    <t>TR-UFFDP1-13-04788</t>
  </si>
  <si>
    <t>CSE-OF-2207-107</t>
  </si>
  <si>
    <t>2207-NPCC-AO-T-02185</t>
  </si>
  <si>
    <t>GM-60295-0617</t>
  </si>
  <si>
    <t>2207-NPCC-MWS-T-00455</t>
  </si>
  <si>
    <t>CSE-OF-2207-108</t>
  </si>
  <si>
    <t>2207-NPCC-AO-T-02386</t>
  </si>
  <si>
    <t>CSE-OF-2207-109</t>
  </si>
  <si>
    <t>2207-NPCC-AO-T-02388</t>
  </si>
  <si>
    <t>2207-NPCC-MWS-T-00473</t>
  </si>
  <si>
    <r>
      <t>2207-NPCC-MWS-T-00</t>
    </r>
    <r>
      <rPr>
        <sz val="10"/>
        <rFont val="Calibri"/>
        <family val="2"/>
      </rPr>
      <t>472</t>
    </r>
  </si>
  <si>
    <t>2207-NN-1142</t>
  </si>
  <si>
    <t>AD197-473-PL-62280</t>
  </si>
  <si>
    <t>LIFTING AND INSTALLATION OF CORAL BREAKER BY JAYA PEARL</t>
  </si>
  <si>
    <t>CSE-OF-2207-110</t>
  </si>
  <si>
    <t>2207-NPCC-AO-T-02405</t>
  </si>
  <si>
    <t>CSE-OF-2207-111</t>
  </si>
  <si>
    <t>2207-NPCC-AO-T-02425</t>
  </si>
  <si>
    <t>Chirag</t>
  </si>
  <si>
    <r>
      <t>2207-NPCC-MWS-T-00</t>
    </r>
    <r>
      <rPr>
        <sz val="10"/>
        <rFont val="Calibri"/>
        <family val="2"/>
      </rPr>
      <t>474</t>
    </r>
  </si>
  <si>
    <t>GM-60295-0643</t>
  </si>
  <si>
    <t>GM-60295-0644</t>
  </si>
  <si>
    <t>CSE-OF-2207-112</t>
  </si>
  <si>
    <t>2207-NPCC-AO-T-02489</t>
  </si>
  <si>
    <t>GM-60295-0648</t>
  </si>
  <si>
    <t>GM-60295-0649</t>
  </si>
  <si>
    <t>TR-UFFDP1-13-05225</t>
  </si>
  <si>
    <t>2207-NPCC-MWS-T-00478</t>
  </si>
  <si>
    <t>2207-NPCC-MWS-T-00479</t>
  </si>
  <si>
    <t>DETAIL OF 16" TEMPORARY PIG LAUNCHER &amp; RECEIVER 16" WELL FLUID PIPELINE FROM WHT-8 TO WHT-7</t>
  </si>
  <si>
    <t>DETAIL OF 6" TEMPORARY PIG LAUNCHER &amp; RECEIVER 6" GAS LIFT PIPELINE FROM WHT-7 TO ULRP</t>
  </si>
  <si>
    <t>DETAIL OF 10" TEMPORARY PIG LAUNCHER &amp; RECEIVER 10" WATER INJECTION PIPELINE FROM WHT-8 TO WHT-7</t>
  </si>
  <si>
    <t>DETAIL OF 16" TEMPORARY PIG LAUNCHER &amp; RECEIVER 16" WELL FLUID PIPELINE FROM WHT-7 TO ULRP</t>
  </si>
  <si>
    <t>DETAIL OF 10" TEMPORARY PIG LAUNCHER &amp; RECEIVER 10" WATER INJECTION PIPELINE FROM WHT-7 TO ULRP</t>
  </si>
  <si>
    <t>DETAIL OF 6" TEMPORARY PIG LAUNCHER &amp; RECEIVER 6" GAS LIFT PIPELINE FROM WHT-6 TO ULRP</t>
  </si>
  <si>
    <t>DETAIL OF 18" TEMPORARY PIG LAUNCHER &amp; RECEIVER 18" WELL FLUDID PIPELINE FROM WHT-6 TO ULRP</t>
  </si>
  <si>
    <t>DETAIL OF 8" TEMPORARY PIG LAUNCHER &amp; RECEIVER 8" GAS INJECTION PIPELINE FROM WHT-6 TO ULRP</t>
  </si>
  <si>
    <t>DETAIL OF 10" TEMPORARY PIG LAUNCHER &amp; RECEIVER 10" WATER INJECTION PIPELINE FROM WHT-6 TO ULRP</t>
  </si>
  <si>
    <t>DETAIL OF 6" TEMPORARY PIG LAUNCHER &amp; RECEIVER 6" GAS LIFT PIPELINE FROM WHT-6 TO WHT-4</t>
  </si>
  <si>
    <t>DETAIL OF 10" TEMPORARY PIG LAUNCHER &amp; RECEIVER 10" WATER INJECTION PIPELINE FROM WHT-6 TO WHT-4</t>
  </si>
  <si>
    <t>DETAIL OF 6" TEMPORARY PIG LAUNCHER &amp; RECEIVER 6" GAS LIFT PIPELINE FROM WHT-8 TO WHT-7</t>
  </si>
  <si>
    <t>2207-NN-1143</t>
  </si>
  <si>
    <t>2207-NN-1144</t>
  </si>
  <si>
    <t>2207-NN-1145</t>
  </si>
  <si>
    <t>2207-NN-1146</t>
  </si>
  <si>
    <t>2207-NN-1147</t>
  </si>
  <si>
    <t>2207-NN-1148</t>
  </si>
  <si>
    <t>2207-NN-1149</t>
  </si>
  <si>
    <t>2207-NN-1150</t>
  </si>
  <si>
    <t>2207-NN-1151</t>
  </si>
  <si>
    <t>2207-NN-1152</t>
  </si>
  <si>
    <t>2207-NN-1153</t>
  </si>
  <si>
    <t>2207-NN-1154</t>
  </si>
  <si>
    <t>Hiresh</t>
  </si>
  <si>
    <t>AD197-482/483-PL-62281</t>
  </si>
  <si>
    <t>AD197-482/483-PL-62282</t>
  </si>
  <si>
    <t>AD197-482/483-PL-62283</t>
  </si>
  <si>
    <t>AD197-573/482-PL-62284</t>
  </si>
  <si>
    <t>AD197-573/482-PL-62285</t>
  </si>
  <si>
    <t>AD197-573/482-PL-62286</t>
  </si>
  <si>
    <t>AD197-481/573-PL-62287</t>
  </si>
  <si>
    <t>AD197-481/573-PL-62288</t>
  </si>
  <si>
    <t>AD197-481/573-PL-62289</t>
  </si>
  <si>
    <t>AD197-481/573-PL-62290</t>
  </si>
  <si>
    <t>AD197-481/477-PL-62291</t>
  </si>
  <si>
    <t>AD197-481/477-PL-62292</t>
  </si>
  <si>
    <t>TR-UFFDP1-13-05237</t>
  </si>
  <si>
    <t>CSE-OF-2207-113</t>
  </si>
  <si>
    <t>2207-NPCC-AO-T-02526</t>
  </si>
  <si>
    <t>CSE-OF-2207-114</t>
  </si>
  <si>
    <t>2207-NPCC-AO-T-02530</t>
  </si>
  <si>
    <t>CSE-OF-2207-115</t>
  </si>
  <si>
    <t>2207-NPCC-AO-T-02532</t>
  </si>
  <si>
    <t>TR-UFFDP1-13-05247</t>
  </si>
  <si>
    <t>CSE-OF-2207-116</t>
  </si>
  <si>
    <t>2207-NPCC-AO-T-02546</t>
  </si>
  <si>
    <t>2207-NPCC-AO-T-02547</t>
  </si>
  <si>
    <t>GM-60295-0655</t>
  </si>
  <si>
    <t>GM-60295-0656</t>
  </si>
  <si>
    <t>CSE-OF-2207-117</t>
  </si>
  <si>
    <t>2207-NPCC-AO-T-02563</t>
  </si>
  <si>
    <t>2207-NPCC-AO-T-02564</t>
  </si>
  <si>
    <t>TR-UFFDP1-13-05322</t>
  </si>
  <si>
    <t>TR-UFFDP1-13-05454</t>
  </si>
  <si>
    <t>TR-UFFDP1-13-05453</t>
  </si>
  <si>
    <t>2207-NPCC-MWS-T-00484</t>
  </si>
  <si>
    <t>2207-NPCC-MWS-T-00485</t>
  </si>
  <si>
    <t>2207-NPCC-MWS-T-00486</t>
  </si>
  <si>
    <t>2207-NPCC-MWS-T-00487</t>
  </si>
  <si>
    <t>2207-NPCC-MWS-T-00488</t>
  </si>
  <si>
    <t>MOORING ANALYSIS DURING STARTUP, PIPELAYING &amp; LAYDOWN FOR 10" WATER INJECTION P/L FROM WHT-6 TO WHT-4 &amp; 6" GAS LIFT P/L FROM WHT-4 TO WHT-6</t>
  </si>
  <si>
    <t>CSE-OF-2207-118</t>
  </si>
  <si>
    <t>2207-NPCC-AO-T-02676</t>
  </si>
  <si>
    <t>CSE-OF-2207-119</t>
  </si>
  <si>
    <t>2207-NPCC-AO-T-02690</t>
  </si>
  <si>
    <t>2207-NPCC-AO-T-02691</t>
  </si>
  <si>
    <t>CHANGED DATE</t>
  </si>
  <si>
    <t>GM-60295-0663</t>
  </si>
  <si>
    <t>GM-60295-0664</t>
  </si>
  <si>
    <t>GM-60295-0665</t>
  </si>
  <si>
    <t>GM-60295-0666</t>
  </si>
  <si>
    <t>GM-60295-0667</t>
  </si>
  <si>
    <t>GM-60295-0668</t>
  </si>
  <si>
    <t>GM-60295-0669</t>
  </si>
  <si>
    <t>GM-60295-0670</t>
  </si>
  <si>
    <t>GM-60295-0671</t>
  </si>
  <si>
    <t>GM-60295-0672</t>
  </si>
  <si>
    <t>TR-UFFDP1-13-05473</t>
  </si>
  <si>
    <t>TR-UFFDP1-13-05465</t>
  </si>
  <si>
    <t>TR-UFFDP1-13-05488</t>
  </si>
  <si>
    <t>TR-UFFDP1-13-05489</t>
  </si>
  <si>
    <t>TR-UFFDP1-13-05475</t>
  </si>
  <si>
    <t>TR-UFFDP1-13-05474</t>
  </si>
  <si>
    <t>2207-NPCC-MWS-T-00492</t>
  </si>
  <si>
    <t>2207-NPCC-MWS-T-00493</t>
  </si>
  <si>
    <t>2207-NPCC-AO-T-02719</t>
  </si>
  <si>
    <t>CSE-OF-2207-120</t>
  </si>
  <si>
    <t>GM-60295-0673</t>
  </si>
  <si>
    <t>Old DATES</t>
  </si>
  <si>
    <t>OLD DATES</t>
  </si>
  <si>
    <t>2207-NPCC-MWS-T-00494</t>
  </si>
  <si>
    <t>Merged into2207-ZZ-CL-101</t>
  </si>
  <si>
    <t>TR-UFFDP1-13-05537</t>
  </si>
  <si>
    <t>TR-UFFDP1-13-05545</t>
  </si>
  <si>
    <t>TR-UFFDP1-13-05218</t>
  </si>
  <si>
    <t>TR-UFFDP1-13-05551</t>
  </si>
  <si>
    <t>MOORING ANALYSIS DURING STARTUP, PIPELAYING &amp; LAYDOWN FOR 16" WELL FLUID P/L FROM ULRP TO WHT-7, 6" GAS LIFT P/L FROM ULRP TO WHT-7 &amp; 10" WATER INJECTION P/L FROM WHT-7 TO ULRP</t>
  </si>
  <si>
    <t>CSE-OF-2207-121</t>
  </si>
  <si>
    <t>2207-NPCC-AO-T-02778</t>
  </si>
  <si>
    <t>2207-NPCC-MWS-T-00498</t>
  </si>
  <si>
    <t>CSE-OF-2207-122</t>
  </si>
  <si>
    <t>2207-NPCC-AO-T-02802</t>
  </si>
  <si>
    <t>PIPE STACKING ANALYSIS REPORT -Campaign-2</t>
  </si>
  <si>
    <t>CSE-OF-2207-124</t>
  </si>
  <si>
    <t>2207-NPCC-AO-T-02822</t>
  </si>
  <si>
    <t>CSE-OF-2207-123</t>
  </si>
  <si>
    <t>2207-NPCC-AO-T-02820</t>
  </si>
  <si>
    <t>TR-UFFDP1-13-05560</t>
  </si>
  <si>
    <t>TR-UFFDP1-13-05576</t>
  </si>
  <si>
    <t>CSE-OF-2207-125</t>
  </si>
  <si>
    <t>2207-NPCC-AO-T-02823</t>
  </si>
  <si>
    <t>CSE-OF-2207-126</t>
  </si>
  <si>
    <t>2207-NPCC-AO-T-02834</t>
  </si>
  <si>
    <t>2207-NPCC-MWS-T-00499</t>
  </si>
  <si>
    <t>CSE-OF-2207-127</t>
  </si>
  <si>
    <t>2207-NPCC-AO-T-02870</t>
  </si>
  <si>
    <t>2207-NPCC-MWS-T-00501</t>
  </si>
  <si>
    <t>2207-NPCC-MWS-T-00502</t>
  </si>
  <si>
    <t>2207-NPCC-MWS-T-00503</t>
  </si>
  <si>
    <t>2207-NPCC-MWS-T-00504</t>
  </si>
  <si>
    <t>CSE-OF-2207-128</t>
  </si>
  <si>
    <t>2207-NPCC-AO-T-02869</t>
  </si>
  <si>
    <t>TR-UFFDP1-13-05641</t>
  </si>
  <si>
    <t>TR-UFFDP1-13-05651</t>
  </si>
  <si>
    <t>TR-UFFDP1-13-05652</t>
  </si>
  <si>
    <t>TR-UFFDP1-13-05660</t>
  </si>
  <si>
    <t>CSE-OF-2207-129</t>
  </si>
  <si>
    <t>2207-NPCC-AO-T-02898</t>
  </si>
  <si>
    <t>2207-NPCC-MWS-T-00506</t>
  </si>
  <si>
    <t>GM-60295-0678</t>
  </si>
  <si>
    <t>CSE-OF-2207-130</t>
  </si>
  <si>
    <t>2207-NPCC-AO-T-02905</t>
  </si>
  <si>
    <t>LOADING ARRANGEMENT OF CHEMICAL INJECTION PACKAGE @ KINGFISHER (TRIP-1)</t>
  </si>
  <si>
    <t>2207-NN-1155</t>
  </si>
  <si>
    <t>AD197-473-PL-62293</t>
  </si>
  <si>
    <t>Reyashi</t>
  </si>
  <si>
    <t>2207-NPCC-MWS-T-00507</t>
  </si>
  <si>
    <t>2207-NPCC-MWS-T-00508</t>
  </si>
  <si>
    <t>CSE-OF-2207-131</t>
  </si>
  <si>
    <t>2207-NPCC-AO-T-02910</t>
  </si>
  <si>
    <t>CSE-OF-2207-132</t>
  </si>
  <si>
    <t>2207-NPCC-AO-T-02913</t>
  </si>
  <si>
    <t>2207-NPCC-MWS-T-00509</t>
  </si>
  <si>
    <t>GM-60295-0681</t>
  </si>
  <si>
    <t>GM-60295-0682</t>
  </si>
  <si>
    <t>GM-60295-0683</t>
  </si>
  <si>
    <t>GM-60295-0684</t>
  </si>
  <si>
    <t>TR-UFFDP1-13-05692</t>
  </si>
  <si>
    <t>GM-60295-0686</t>
  </si>
  <si>
    <t>3 reports merged 2207-ZZ-CL-101, 2207-ZZ-CL-105, 2207-ZZ-CL-106</t>
  </si>
  <si>
    <t>CSE-OF-2207-133</t>
  </si>
  <si>
    <t>2207-NPCC-AO-T-02931</t>
  </si>
  <si>
    <t>GM-60295-0687</t>
  </si>
  <si>
    <t>2207-NPCC-MWS-T-00510</t>
  </si>
  <si>
    <t>2207-NPCC-MWS-T-00511</t>
  </si>
  <si>
    <t>2207-NPCC-MWS-T-00512</t>
  </si>
  <si>
    <t>SEAFASTENING DESIGN REPORT FOR CC PIPES -2 ON GOGAS-250  (Campaign-2)</t>
  </si>
  <si>
    <t>CSE-OF-2207-134</t>
  </si>
  <si>
    <t>CSE-OF-2207-135</t>
  </si>
  <si>
    <t>2207-NPCC-AO-T-02950</t>
  </si>
  <si>
    <t>TR-UFFDP1-13-05712</t>
  </si>
  <si>
    <t>TR-UFFDP1-13-05709</t>
  </si>
  <si>
    <t>TR-UFFDP1-13-05713</t>
  </si>
  <si>
    <t>TR-UFFDP1-13-05711</t>
  </si>
  <si>
    <t>2207-NPCC-AO-T-02949</t>
  </si>
  <si>
    <t>CSE-OF-2207-136</t>
  </si>
  <si>
    <t>2207-NPCC-AO-T-02968</t>
  </si>
  <si>
    <t>CSE-OF-2207-137</t>
  </si>
  <si>
    <t>2207-NPCC-AO-T-02971</t>
  </si>
  <si>
    <t>CSE-OF-2207-138</t>
  </si>
  <si>
    <t>2207-NPCC-AO-T-02973</t>
  </si>
  <si>
    <t>TR-UFFDP1-13-05735</t>
  </si>
  <si>
    <t>TR-UFFDP1-13-05718</t>
  </si>
  <si>
    <t>CSE-OF-2207-139</t>
  </si>
  <si>
    <t>2207-NPCC-AO-T-02981</t>
  </si>
  <si>
    <t>CSE-OF-2207-140</t>
  </si>
  <si>
    <t>2207-NPCC-AO-T-02982</t>
  </si>
  <si>
    <t>GM-60295-0691</t>
  </si>
  <si>
    <t>GM-60295-0692</t>
  </si>
  <si>
    <t>GM-60295-0694</t>
  </si>
  <si>
    <t>2207-NPCC-MWS-T-00513</t>
  </si>
  <si>
    <t>2207-NPCC-MWS-T-00514</t>
  </si>
  <si>
    <t>2207-NPCC-MWS-T-00515</t>
  </si>
  <si>
    <t>2207-NPCC-MWS-T-00516</t>
  </si>
  <si>
    <t>CSE-OF-2207-141</t>
  </si>
  <si>
    <t>2207-NPCC-AO-T-02985</t>
  </si>
  <si>
    <t>CSE-OF-2207-142</t>
  </si>
  <si>
    <t>2207-NPCC-AO-T-02987</t>
  </si>
  <si>
    <t>2207-NPCC-MWS-T-00517</t>
  </si>
  <si>
    <t>2207-NPCC-MWS-T-00518</t>
  </si>
  <si>
    <t>2207-NPCC-MWS-T-00519</t>
  </si>
  <si>
    <t>GM-60295-0700</t>
  </si>
  <si>
    <t>MOORING ANALYSIS DURING STARTUP, PIPELAYING &amp; LAYDOWN FOR 16" WELL FLUID, 10" WATER INJECTION, 6" GAS LIFT P/L FROM WHT-7 TO WHT-8</t>
  </si>
  <si>
    <t>CSE-OF-2207-143</t>
  </si>
  <si>
    <t>2207-NPCC-AO-T-03004</t>
  </si>
  <si>
    <t>TR-UFFDP1-13-05757</t>
  </si>
  <si>
    <t>TR-UFFDP1-13-05762</t>
  </si>
  <si>
    <t>TR-UFFDP1-13-05774</t>
  </si>
  <si>
    <t>2207-NPCC-MWS-T-00523</t>
  </si>
  <si>
    <t>2207-NPCC-MWS-T-00524</t>
  </si>
  <si>
    <t>GM-60295-0702</t>
  </si>
  <si>
    <t>CSE-OF-2207-144</t>
  </si>
  <si>
    <t>2207-NPCC-AO-T-03017</t>
  </si>
  <si>
    <t>GM-60295-0703</t>
  </si>
  <si>
    <t>GM-60295-0704</t>
  </si>
  <si>
    <t>TR-UFFDP1-13-05810</t>
  </si>
  <si>
    <t>TR-UFFDP1-13-05811</t>
  </si>
  <si>
    <t>GM-60295-0706</t>
  </si>
  <si>
    <t>GM-60295-0705</t>
  </si>
  <si>
    <t>CSE-OF-2207-145</t>
  </si>
  <si>
    <t>2207-NPCC-AO-T-03023</t>
  </si>
  <si>
    <t>CSE-OF-2207-146</t>
  </si>
  <si>
    <t>2207-NPCC-AO-T-03025</t>
  </si>
  <si>
    <t>CSE-OF-2207-147</t>
  </si>
  <si>
    <t>2207-NPCC-AO-T-03026</t>
  </si>
  <si>
    <t>CSE-OF-2207-148</t>
  </si>
  <si>
    <t>2207-NPCC-AO-T-03028</t>
  </si>
  <si>
    <t>TR-UFFDP1-13-05815</t>
  </si>
  <si>
    <t>TR-UFFDP1-13-05814</t>
  </si>
  <si>
    <t>GM-60295-0710</t>
  </si>
  <si>
    <t>CSE-OF-2207-149</t>
  </si>
  <si>
    <t>2207-NPCC-AO-T-03033</t>
  </si>
  <si>
    <t>GM-60295-0711</t>
  </si>
  <si>
    <t>2207-NPCC-MWS-T-00527</t>
  </si>
  <si>
    <t>2207-NPCC-MWS-T-00526</t>
  </si>
  <si>
    <t>2207-NPCC-MWS-T-00525</t>
  </si>
  <si>
    <t>CSE-OF-2207-150</t>
  </si>
  <si>
    <t>2207-NPCC-AO-T-03037</t>
  </si>
  <si>
    <t>TR-UFFDP1-13-05835</t>
  </si>
  <si>
    <t>TR-UFFDP1-13-05841</t>
  </si>
  <si>
    <t>TR-UFFDP1-13-05842</t>
  </si>
  <si>
    <t>1600mm RADIUS THIMBLE 20" MOL PIPELINE</t>
  </si>
  <si>
    <t>2207-NN-1156</t>
  </si>
  <si>
    <t>AD197-473-PL-62294</t>
  </si>
  <si>
    <t>2207-NPCC-AO-T-03044</t>
  </si>
  <si>
    <t>2207-NPCC-MWS-T-00529</t>
  </si>
  <si>
    <t>2207-NPCC-MWS-T-00530</t>
  </si>
  <si>
    <t>2207-NPCC-MWS-T-00531</t>
  </si>
  <si>
    <t>2207-NPCC-MWS-T-00532</t>
  </si>
  <si>
    <t>2207-NPCC-MWS-T-00533</t>
  </si>
  <si>
    <t>TR-UFFDP1-13-05845</t>
  </si>
  <si>
    <t>CSE-OF-2207-152</t>
  </si>
  <si>
    <t>2207-NPCC-AO-T-03050</t>
  </si>
  <si>
    <t>CSE-OF-2207-153</t>
  </si>
  <si>
    <t>2207-NPCC-AO-T-03053</t>
  </si>
  <si>
    <t>TR-UFFDP1-13-05849</t>
  </si>
  <si>
    <t>2207-NPCC-MWS-T-00534</t>
  </si>
  <si>
    <t>TR-UFFDP1-13-05854</t>
  </si>
  <si>
    <t>CSE-OF-2207-154</t>
  </si>
  <si>
    <t>2207-NPCC-AO-T-03068</t>
  </si>
  <si>
    <t>2207-NPCC-MWS-T-00538</t>
  </si>
  <si>
    <t>CSE-OF-2207-155</t>
  </si>
  <si>
    <t>2207-NPCC-AO-T-03076</t>
  </si>
  <si>
    <t>CSE-OF-2207-156</t>
  </si>
  <si>
    <t>2207-NPCC-AO-T-03077</t>
  </si>
  <si>
    <t>CSE-OF-2207-157</t>
  </si>
  <si>
    <t>2207-NPCC-AO-T-03080</t>
  </si>
  <si>
    <t>TR-UFFDP1-13-05856</t>
  </si>
  <si>
    <t>TR-UFFDP1-13-05861</t>
  </si>
  <si>
    <t>TR-UFFDP1-13-05873</t>
  </si>
  <si>
    <t>TR-UFFDP1-13-05860</t>
  </si>
  <si>
    <t>I</t>
  </si>
  <si>
    <t>TR-UFFDP1-13-05871</t>
  </si>
  <si>
    <t>TR-UFFDP1-13-05872</t>
  </si>
  <si>
    <t>2207-NPCC-MWS-T-00540</t>
  </si>
  <si>
    <t>2207-NPCC-MWS-T-00541</t>
  </si>
  <si>
    <t>GM-60295-0718</t>
  </si>
  <si>
    <t>TR-UFFDP1-13-05886</t>
  </si>
  <si>
    <t>2207-NPCC-MWS-T-00542</t>
  </si>
  <si>
    <t>CSE-OF-2207-158</t>
  </si>
  <si>
    <t>2207-NPCC-AO-T-03085</t>
  </si>
  <si>
    <t>2207-NPCC-MWS-T-00543</t>
  </si>
  <si>
    <t>TR-UFFDP1-13-05890</t>
  </si>
  <si>
    <t>CHEMICAL INJECTION PACKAGE LOADING ARRANGEMENT @ TRUE GRIT</t>
  </si>
  <si>
    <t>2207-NN-1157</t>
  </si>
  <si>
    <t>AD197-473-PL-62295</t>
  </si>
  <si>
    <t>TR-UFFDP1-13-05900</t>
  </si>
  <si>
    <t>TR-UFFDP1-13-05901</t>
  </si>
  <si>
    <t>CSE-OF-2207-159</t>
  </si>
  <si>
    <t>2207-NPCC-AO-T-03101</t>
  </si>
  <si>
    <t>2207-NPCC-MWS-T-00549</t>
  </si>
  <si>
    <t>TR-UFFDP1-13-05905</t>
  </si>
  <si>
    <t>TR-UFFDP1-13-05904</t>
  </si>
  <si>
    <t>CHEMICAL INJECTION PACKAGE LOADING ARRANGEMENT @ TRUE GRIT (TRIP-2)</t>
  </si>
  <si>
    <t>2207-NN-1158</t>
  </si>
  <si>
    <t>AD197-473-PL-62296</t>
  </si>
  <si>
    <t>CSE-OF-2207-160</t>
  </si>
  <si>
    <t>2207-NPCC-AO-T-03106</t>
  </si>
  <si>
    <t>2207-NPCC-MWS-T-00550</t>
  </si>
  <si>
    <t>GM-60295-0725</t>
  </si>
  <si>
    <t>CSE-OF-2207-161</t>
  </si>
  <si>
    <t>2207-NPCC-AO-T-03137</t>
  </si>
  <si>
    <t>TR-UFFDP1-13-05930</t>
  </si>
  <si>
    <t>2207-NPCC-MWS-T-00558</t>
  </si>
  <si>
    <t>CSE-OF-2207-162</t>
  </si>
  <si>
    <t>2207-NPCC-AO-T-03144</t>
  </si>
  <si>
    <t>2207-NPCC-MWS-T-00559</t>
  </si>
  <si>
    <t>PIPELAY INSTALLATION REPORT FOR 20" MOL AND 10.7 MM FOC FROM ULRP TO KP 89.056</t>
  </si>
  <si>
    <t>CSE-OF-2207-163</t>
  </si>
  <si>
    <t>2207-NPCC-AO-T-03148</t>
  </si>
  <si>
    <t>2207-NPCC-MWS-T-00560</t>
  </si>
  <si>
    <t>CSE-OF-2207-164</t>
  </si>
  <si>
    <t>2207-NPCC-AO-T-03153</t>
  </si>
  <si>
    <t>MOORING ANALYSIS DURING STARTUP, PIPELAYING &amp; LAYDOWN FOR 20" MAIN OIL LINE FROM ULRP TO KP 89.256</t>
  </si>
  <si>
    <t>CSE-OF-2207-165</t>
  </si>
  <si>
    <t>2207-NPCC-AO-T-03154</t>
  </si>
  <si>
    <t>CSE-OF-2207-166</t>
  </si>
  <si>
    <t>2207-NPCC-AO-T-03156</t>
  </si>
  <si>
    <t>LOADING ARRANGEMENT AND SEAFASTENING  OF CC PIPES (TRIP-1) (Campaign-2)</t>
  </si>
  <si>
    <t>CSE-OF-2207-167</t>
  </si>
  <si>
    <t>2207-NPCC-AO-T-03159</t>
  </si>
  <si>
    <t>CSE-OF-2207-168</t>
  </si>
  <si>
    <t>2207-NPCC-AO-T-03160</t>
  </si>
  <si>
    <t>2207-NPCC-MWS-T-00561</t>
  </si>
  <si>
    <t>GM-60295-0730</t>
  </si>
  <si>
    <t xml:space="preserve">SEAFASTENING DESIGN REPORT FOR TRANSPORTATION OF CONCRETE COATED PIPES ON GAC-82
</t>
  </si>
  <si>
    <t>2207-NPCC-MWS-T-00563</t>
  </si>
  <si>
    <t>2207-NPCC-MWS-T-00562</t>
  </si>
  <si>
    <t>CSE-OF-2207-170</t>
  </si>
  <si>
    <t>2207-NPCC-AO-T-03173</t>
  </si>
  <si>
    <t>CSE-OF-2207-169</t>
  </si>
  <si>
    <t>2207-NPCC-AO-T-03172</t>
  </si>
  <si>
    <t>2207-NPCC-MWS-T-00565</t>
  </si>
  <si>
    <t>2207-NPCC-MWS-T-00566</t>
  </si>
  <si>
    <r>
      <t>STABILITY ANALYSIS DURING TRANSPORTATION OF CC PIPES TRIP-</t>
    </r>
    <r>
      <rPr>
        <sz val="8"/>
        <color rgb="FFFF0000"/>
        <rFont val="Tahoma"/>
        <family val="2"/>
      </rPr>
      <t>6</t>
    </r>
    <r>
      <rPr>
        <sz val="8"/>
        <rFont val="Tahoma"/>
        <family val="2"/>
      </rPr>
      <t xml:space="preserve"> (Campaign-2)</t>
    </r>
  </si>
  <si>
    <t>CSE-OF-2207-171</t>
  </si>
  <si>
    <t>2207-NPCC-AO-T-03207</t>
  </si>
  <si>
    <t>2207-NPCC-MWS-T-00568</t>
  </si>
  <si>
    <t>2207-NPCC-MWS-T-00567</t>
  </si>
  <si>
    <t>CSE-OF-2207-172</t>
  </si>
  <si>
    <t>2207-NPCC-AO-T-03210</t>
  </si>
  <si>
    <t>CSE-OF-2207-173</t>
  </si>
  <si>
    <t>2207-NPCC-AO-T-03211</t>
  </si>
  <si>
    <t>CSE-OF-2207-175</t>
  </si>
  <si>
    <t>2207-NPCC-AO-T-03213</t>
  </si>
  <si>
    <t>CSE-OF-2207-174</t>
  </si>
  <si>
    <t>2207-NPCC-AO-T-03212</t>
  </si>
  <si>
    <t>GM-60295-0731</t>
  </si>
  <si>
    <t>GM-60295-0732</t>
  </si>
  <si>
    <t>GM-60295-0733</t>
  </si>
  <si>
    <t>GM-60295-0734</t>
  </si>
  <si>
    <t>GM-60295-0735</t>
  </si>
  <si>
    <t>2207-NPCC-MWS-T-00569</t>
  </si>
  <si>
    <t>CSE-OF-2207-176</t>
  </si>
  <si>
    <t>2207-NPCC-AO-T-03230</t>
  </si>
  <si>
    <t>GM-60295-0736</t>
  </si>
  <si>
    <t>TR-UFFDP1-13-05974</t>
  </si>
  <si>
    <t>TR-UFFDP1-13-05975</t>
  </si>
  <si>
    <t>TR-UFFDP1-13-05976</t>
  </si>
  <si>
    <t>TR-UFFDP1-13-05977</t>
  </si>
  <si>
    <t>2207-NPCC-AO-T-03232</t>
  </si>
  <si>
    <t>CSE-OF-2207-177</t>
  </si>
  <si>
    <t>CSE-OF-2207-178</t>
  </si>
  <si>
    <t>2207-NPCC-AO-T-03233</t>
  </si>
  <si>
    <t>2207-NPCC-MWS-T-00570</t>
  </si>
  <si>
    <t>2207-NPCC-MWS-T-00571</t>
  </si>
  <si>
    <t>2207-NPCC-MWS-T-00572</t>
  </si>
  <si>
    <t>2207-NPCC-MWS-T-00573</t>
  </si>
  <si>
    <t>TR-UFFDP1-13-05978</t>
  </si>
  <si>
    <t>TR-UFFDP1-13-05983</t>
  </si>
  <si>
    <t>GM-60295-0740</t>
  </si>
  <si>
    <t>CSE-OF-2207-179</t>
  </si>
  <si>
    <t>2207-NPCC-AO-T-03236</t>
  </si>
  <si>
    <t>2207-NPCC-MWS-T-00575</t>
  </si>
  <si>
    <t>2207-NPCC-MWS-T-00576</t>
  </si>
  <si>
    <t>CSE-OF-2207-180</t>
  </si>
  <si>
    <t>2207-NPCC-AO-T-03239</t>
  </si>
  <si>
    <t>CSE-OF-2207-181</t>
  </si>
  <si>
    <t>2207-NPCC-AO-T-03240</t>
  </si>
  <si>
    <t>CSE-OF-2207-182</t>
  </si>
  <si>
    <t>2207-NPCC-AO-T-03241</t>
  </si>
  <si>
    <t>2207-NN-RP-159</t>
  </si>
  <si>
    <t>AD197-473-G-06320</t>
  </si>
  <si>
    <t>SEA FASTENING DESIGN REPORT FOR TRANSPORTATION OF CONCRETE COATED PIPES ON GAC-66(TRIP-6)</t>
  </si>
  <si>
    <t>CSE-OF-2207-183</t>
  </si>
  <si>
    <t>2207-NPCC-AO-T-03244</t>
  </si>
  <si>
    <t>Read Yahia email 18-08-15 for MWS</t>
  </si>
  <si>
    <t>GM-60295-0739
GM-60295-0743</t>
  </si>
  <si>
    <t>2207-NPCC-MWS-T-00580</t>
  </si>
  <si>
    <t>2207-NPCC-MWS-T-00581</t>
  </si>
  <si>
    <t>2207-NPCC-MWS-T-00579</t>
  </si>
  <si>
    <t>2207-NPCC-MWS-T-00582</t>
  </si>
  <si>
    <t>2207-NPCC-MWS-T-00578</t>
  </si>
  <si>
    <t>CSE-OF-2207-184</t>
  </si>
  <si>
    <t>2207-NPCC-AO-T-03247</t>
  </si>
  <si>
    <t>TR-UFFDP1-13-05988</t>
  </si>
  <si>
    <t>TR-UFFDP1-13-05989</t>
  </si>
  <si>
    <t>TR-UFFDP1-13-05990</t>
  </si>
  <si>
    <t>TR-UFFDP1-13-05991</t>
  </si>
  <si>
    <t>2207-NPCC-MWS-T-00583</t>
  </si>
  <si>
    <t>CSE-OF-2207-185</t>
  </si>
  <si>
    <t>2207-NPCC-AO-T-03248</t>
  </si>
  <si>
    <t>CSE-OF-2207-186</t>
  </si>
  <si>
    <t>2207-NPCC-AO-T-03251</t>
  </si>
  <si>
    <t>TR-UFFDP1-13-06000</t>
  </si>
  <si>
    <t>TR-UFFDP1-13-06001</t>
  </si>
  <si>
    <t>TR-UFFDP1-13-06002</t>
  </si>
  <si>
    <t>2207-NPCC-MWS-T-00585</t>
  </si>
  <si>
    <t>2207-NPCC-MWS-T-00588</t>
  </si>
  <si>
    <t>2207-NPCC-MWS-T-00589</t>
  </si>
  <si>
    <t>CSE-OF-2207-187</t>
  </si>
  <si>
    <t>2207-NPCC-AO-T-03261</t>
  </si>
  <si>
    <t>CSE-OF-2207-188</t>
  </si>
  <si>
    <t>2207-NPCC-AO-T-03262</t>
  </si>
  <si>
    <t>GM-60295-0746</t>
  </si>
  <si>
    <t>GM-60295-0744
GM-60295-0748</t>
  </si>
  <si>
    <t>TR-UFFDP1-13-05995
TR-UFFDP1-13-06021</t>
  </si>
  <si>
    <t>CSE-OF-2207-189</t>
  </si>
  <si>
    <t>2207-NPCC-AO-T-03267</t>
  </si>
  <si>
    <t>CSE-OF-2207-190</t>
  </si>
  <si>
    <t>2207-NPCC-AO-T-03274</t>
  </si>
  <si>
    <t>2207-NPCC-MWS-T-00591</t>
  </si>
  <si>
    <t>2207-NPCC-MWS-T-00592</t>
  </si>
  <si>
    <t>2207-NPCC-MWS-T-00593</t>
  </si>
  <si>
    <t>TR-UFFDP1-13-06005</t>
  </si>
  <si>
    <t xml:space="preserve">
Only CRS sent for Rev 0 to MWS</t>
  </si>
  <si>
    <t>TR-UFFDP1-13-06013</t>
  </si>
  <si>
    <t>TR-UFFDP1-13-06014</t>
  </si>
  <si>
    <t>TR-UFFDP1-13-06017</t>
  </si>
  <si>
    <t>TR-UFFDP1-13-06018</t>
  </si>
  <si>
    <t>TR-UFFDP1-13-06020</t>
  </si>
  <si>
    <t>2207-NPCC-MWS-T-00595</t>
  </si>
  <si>
    <t>TR-UFFDP1-13-06028</t>
  </si>
  <si>
    <t>CSE-OF-2207-191</t>
  </si>
  <si>
    <t>2207-NPCC-AO-T-03298</t>
  </si>
  <si>
    <t>CSE-OF-2207-192</t>
  </si>
  <si>
    <t>2207-NPCC-AO-T-03299</t>
  </si>
  <si>
    <t>CSE-OF-2207-193</t>
  </si>
  <si>
    <t>2207-NPCC-AO-T-03305</t>
  </si>
  <si>
    <t>CSE-OF-2207-194</t>
  </si>
  <si>
    <t>2207-NPCC-AO-T-03307</t>
  </si>
  <si>
    <r>
      <t>STABILITY ANALYSIS DURING TRANSPORTATION OF CC PIPES TRIP-</t>
    </r>
    <r>
      <rPr>
        <sz val="8"/>
        <color rgb="FFFF0000"/>
        <rFont val="Tahoma"/>
        <family val="2"/>
      </rPr>
      <t>7</t>
    </r>
    <r>
      <rPr>
        <sz val="8"/>
        <rFont val="Tahoma"/>
        <family val="2"/>
      </rPr>
      <t xml:space="preserve"> (Campaign-2)</t>
    </r>
  </si>
  <si>
    <t>TR-UFFDP1-13-06029</t>
  </si>
  <si>
    <t>2207-NPCC-MWS-T-00594</t>
  </si>
  <si>
    <t>2207-NPCC-MWS-T-00596</t>
  </si>
  <si>
    <t>2207-NPCC-MWS-T-00597</t>
  </si>
  <si>
    <t>2207-NPCC-MWS-T-00598</t>
  </si>
  <si>
    <t>CSE-OF-2207-195</t>
  </si>
  <si>
    <t>2207-NPCC-AO-T-03310</t>
  </si>
  <si>
    <t>CSE-OF-2207-196</t>
  </si>
  <si>
    <t>2207-NPCC-AO-T-03311</t>
  </si>
  <si>
    <t>CSE-OF-2207-197</t>
  </si>
  <si>
    <t>2207-NPCC-AO-T-03312</t>
  </si>
  <si>
    <t>SEA FASTENING DESIGN REPORT FOR TRANSPORTATION OF CONCRETE COATED PIPES ON GAC-67(TRIP-8)</t>
  </si>
  <si>
    <t>2207-NN-RP-160</t>
  </si>
  <si>
    <t>AD197-473-G-06321</t>
  </si>
  <si>
    <t>CSE-OF-2207-198</t>
  </si>
  <si>
    <t>2207-NPCC-AO-T-03313</t>
  </si>
  <si>
    <t>TR-UFFDP1-13-06034</t>
  </si>
  <si>
    <t>TR-UFFDP1-13-06035</t>
  </si>
  <si>
    <t>MOORING ANALYSIS DURING RISER INSTALLATION AT ULRP (EAST &amp; WEST FACE)</t>
  </si>
  <si>
    <t>2207-ZZ-CL-157</t>
  </si>
  <si>
    <t>AD197-573-G-03999</t>
  </si>
  <si>
    <t>STABILITY ANALYSIS DURING TRANSPORTATION OF CC PIPES TRIP-8 (Campaign-2)</t>
  </si>
  <si>
    <t>CSE-OF-2207-199</t>
  </si>
  <si>
    <t>2207-NPCC-AO-T-03322</t>
  </si>
  <si>
    <t>CSE-OF-2207-200</t>
  </si>
  <si>
    <t>2207-NPCC-AO-T-03324</t>
  </si>
  <si>
    <t>CSE-OF-2207-201</t>
  </si>
  <si>
    <t>2207-NPCC-AO-T-03325</t>
  </si>
  <si>
    <t>CSE-OF-2207-202</t>
  </si>
  <si>
    <t>2207-NPCC-AO-T-03328</t>
  </si>
  <si>
    <t>CSE-OF-2207-203</t>
  </si>
  <si>
    <t>2207-NPCC-AO-T-03329</t>
  </si>
  <si>
    <t>CSE-OF-2207-204</t>
  </si>
  <si>
    <t>2207-NPCC-AO-T-03330</t>
  </si>
  <si>
    <t>2207-NPCC-MWS-T-00601</t>
  </si>
  <si>
    <t>2207-NPCC-MWS-T-00602</t>
  </si>
  <si>
    <t>2207-NPCC-MWS-T-00603</t>
  </si>
  <si>
    <t>2207-NPCC-MWS-T-00604</t>
  </si>
  <si>
    <t>CSE-OF-2207-205</t>
  </si>
  <si>
    <t>2207-NPCC-AO-T-03341</t>
  </si>
  <si>
    <t>GM-60295-0752</t>
  </si>
  <si>
    <t>TR-UFFDP1-13-06043</t>
  </si>
  <si>
    <t>TR-UFFDP1-13-06045</t>
  </si>
  <si>
    <t>TR-UFFDP1-13-06046</t>
  </si>
  <si>
    <t>TR-UFFDP1-13-06049</t>
  </si>
  <si>
    <t>TR-UFFDP1-13-06052</t>
  </si>
  <si>
    <t>CSE-OF-2207-206</t>
  </si>
  <si>
    <t>2207-NPCC-AO-T-03358</t>
  </si>
  <si>
    <t>CSE-OF-2207-207</t>
  </si>
  <si>
    <t>2207-NPCC-AO-T-03361</t>
  </si>
  <si>
    <t>CSE-OF-2207-208</t>
  </si>
  <si>
    <t>2207-NPCC-AO-T-03362</t>
  </si>
  <si>
    <t>CSE-OF-2207-209</t>
  </si>
  <si>
    <t>2207-NPCC-AO-T-03365</t>
  </si>
  <si>
    <t>CSE-OF-2207-210</t>
  </si>
  <si>
    <t>2207-NPCC-AO-T-03367</t>
  </si>
  <si>
    <t>TR-UFFDP1-13-06068</t>
  </si>
  <si>
    <t>CSE-OF-2207-211</t>
  </si>
  <si>
    <t>2207-NPCC-AO-T-03368</t>
  </si>
  <si>
    <t>CSE-OF-2207-212</t>
  </si>
  <si>
    <t>2207-NPCC-AO-T-03369</t>
  </si>
  <si>
    <t>TR-UFFDP1-13-06062</t>
  </si>
  <si>
    <t>TR-UFFDP1-13-06063</t>
  </si>
  <si>
    <t>CSE-OF-2207-213</t>
  </si>
  <si>
    <t>2207-NPCC-AO-T-03377</t>
  </si>
  <si>
    <t>CSE-OF-2207-214</t>
  </si>
  <si>
    <t>2207-NPCC-AO-T-03378</t>
  </si>
  <si>
    <t>2207-NPCC-MWS-T-00606</t>
  </si>
  <si>
    <t>2207-NPCC-MWS-T-00607</t>
  </si>
  <si>
    <t>2207-NPCC-MWS-T-00608</t>
  </si>
  <si>
    <t>2207-NPCC-MWS-T-00609</t>
  </si>
  <si>
    <t>2207-NPCC-MWS-T-00610</t>
  </si>
  <si>
    <t>2207-NPCC-MWS-T-00611</t>
  </si>
  <si>
    <t>2207-NPCC-MWS-T-00612</t>
  </si>
  <si>
    <t>2207-NPCC-MWS-T-00613</t>
  </si>
  <si>
    <t>2207-NPCC-MWS-T-00614</t>
  </si>
  <si>
    <t>2207-NPCC-MWS-T-00615</t>
  </si>
  <si>
    <t>2207-NPCC-MWS-T-00616</t>
  </si>
  <si>
    <t>CSE-OF-2207-215</t>
  </si>
  <si>
    <t>2207-NPCC-AO-T-03404</t>
  </si>
  <si>
    <t>CSE-OF-2207-216</t>
  </si>
  <si>
    <t>2207-NPCC-AO-T-03406</t>
  </si>
  <si>
    <t>CSE-OF-2207-217</t>
  </si>
  <si>
    <t>2207-NPCC-AO-T-03409</t>
  </si>
  <si>
    <t>TR-UFFDP1-13-06097</t>
  </si>
  <si>
    <t>TR-UFFDP1-13-06116</t>
  </si>
  <si>
    <t>GM-60295-0756</t>
  </si>
  <si>
    <t>GM-60295-0757</t>
  </si>
  <si>
    <t>GM-60295-0758</t>
  </si>
  <si>
    <t>GM-60295-0759</t>
  </si>
  <si>
    <t>GM-60295-0760</t>
  </si>
  <si>
    <t>GM-60295-0761</t>
  </si>
  <si>
    <t>GM-60295-0762</t>
  </si>
  <si>
    <t>GM-60295-0764</t>
  </si>
  <si>
    <t>GM-60295-0765</t>
  </si>
  <si>
    <t>GM-60295-0766</t>
  </si>
  <si>
    <t>GM-60295-0767</t>
  </si>
  <si>
    <t>GM-60295-0768</t>
  </si>
  <si>
    <t>GM-60295-0769</t>
  </si>
  <si>
    <t>GM-60295-0770</t>
  </si>
  <si>
    <t>PIPELAY INSTALLATION REPORT FOR 20" MOL P/L AND 33mm FOC FROM ULRP TO KP 58.068</t>
  </si>
  <si>
    <t>AD197-573/602-G-06228</t>
  </si>
  <si>
    <t>2207-NPCC-MWS-T-00617</t>
  </si>
  <si>
    <t>2207-NPCC-MWS-T-00618</t>
  </si>
  <si>
    <t>2207-NPCC-MWS-T-00619</t>
  </si>
  <si>
    <t>GM-60295-0771</t>
  </si>
  <si>
    <t>GM-60295-0772</t>
  </si>
  <si>
    <t>GM-60295-0773</t>
  </si>
  <si>
    <t>GM-60295-0774</t>
  </si>
  <si>
    <t>GM-60295-0776</t>
  </si>
  <si>
    <t>GM-60295-0777</t>
  </si>
  <si>
    <t>CSE-OF-2207-218</t>
  </si>
  <si>
    <t>2207-NPCC-AO-T-03428</t>
  </si>
  <si>
    <t>GM-60295-0778</t>
  </si>
  <si>
    <t>GM-60295-0779</t>
  </si>
  <si>
    <t>GM-60295-0780</t>
  </si>
  <si>
    <t>GM-60295-0781</t>
  </si>
  <si>
    <t>GM-60295-0782</t>
  </si>
  <si>
    <t>GM-60295-0783</t>
  </si>
  <si>
    <t>GM-60295-0784</t>
  </si>
  <si>
    <t>GM-60295-0785</t>
  </si>
  <si>
    <t>GM-60295-0786</t>
  </si>
  <si>
    <t>GM-60295-0787</t>
  </si>
  <si>
    <t>GM-60295-0788</t>
  </si>
  <si>
    <t>2207-NPCC-MWS-T-00621</t>
  </si>
  <si>
    <t>2207-NPCC-MWS-T-00622</t>
  </si>
  <si>
    <t>2207-NPCC-MWS-T-00623</t>
  </si>
  <si>
    <t>2207-NPCC-MWS-T-00624</t>
  </si>
  <si>
    <t>2207-NPCC-MWS-T-00625</t>
  </si>
  <si>
    <t>GM-60295-0789</t>
  </si>
  <si>
    <t>GM-60295-0790</t>
  </si>
  <si>
    <t>GM-60295-0791</t>
  </si>
  <si>
    <t>GM-60295-0792</t>
  </si>
  <si>
    <t>GM-60295-0793</t>
  </si>
  <si>
    <t>GM-60295-0794</t>
  </si>
  <si>
    <t>MOORING ANALYSIS DURING INSTALLATION OF 20” MOL  P/L FROM K.P.0 TO K.P. 60</t>
  </si>
  <si>
    <t>AD197-602-G-03923</t>
  </si>
  <si>
    <t>2207-NN-0155</t>
  </si>
  <si>
    <t>AD197-573-PL-62297</t>
  </si>
  <si>
    <t>INSTALLATION OF RISER PROTECTORS AT ULRP (ROW-1)</t>
  </si>
  <si>
    <t>CSE-OF-2207-219</t>
  </si>
  <si>
    <t>2207-NPCC-AO-T-03442</t>
  </si>
  <si>
    <t>TR-UFFDP1-13-06137</t>
  </si>
  <si>
    <t>TR-UFFDP1-13-06138</t>
  </si>
  <si>
    <t>TR-UFFDP1-13-06139</t>
  </si>
  <si>
    <t>TR-UFFDP1-13-06140</t>
  </si>
  <si>
    <t>CSE-OF-2207-220</t>
  </si>
  <si>
    <t>2207-NPCC-AO-T-03451</t>
  </si>
  <si>
    <t>DETAIL OF 20” TEMPORARY PIG LAUNCHER &amp; RECIEVER FROM ULRP TO ZIRKU ISLAND</t>
  </si>
  <si>
    <t>2207-NN-1159</t>
  </si>
  <si>
    <t>AD197-573/602-PL-62298</t>
  </si>
  <si>
    <t>TR-UFFDP1-13-06141</t>
  </si>
  <si>
    <t>2207-NPCC-MWS-T-00626</t>
  </si>
  <si>
    <t>2207-NPCC-MWS-T-00627</t>
  </si>
  <si>
    <t>CSE-OF-2207-221</t>
  </si>
  <si>
    <t>2207-NPCC-AO-T-03452</t>
  </si>
  <si>
    <t>CSE-OF-2207-222</t>
  </si>
  <si>
    <t>2207-NPCC-AO-T-03453</t>
  </si>
  <si>
    <t>STABILITY ANALYSIS DURING TRANSPORTATION OF CC PIPES TRIP-9 (Campaign-2)</t>
  </si>
  <si>
    <t>CSE-OF-2207-223</t>
  </si>
  <si>
    <t>2207-NPCC-AO-T-03454</t>
  </si>
  <si>
    <t>2207-NPCC-MWS-T-00628</t>
  </si>
  <si>
    <t>GM-60295-0796</t>
  </si>
  <si>
    <t>CSE-OF-2207-224</t>
  </si>
  <si>
    <t>2207-NPCC-AO-T-03457</t>
  </si>
  <si>
    <t>TR-UFFDP1-13-06130</t>
  </si>
  <si>
    <t>GM-60295-0798</t>
  </si>
  <si>
    <t>TR-UFFDP1-13-06133</t>
  </si>
  <si>
    <t>TR-UFFDP1-13-06134</t>
  </si>
  <si>
    <t>TR-UFFDP1-13-06135</t>
  </si>
  <si>
    <t>TR-UFFDP1-13-06148</t>
  </si>
  <si>
    <t>TR-UFFDP1-13-06131</t>
  </si>
  <si>
    <t>2207-NPCC-MWS-T-00629</t>
  </si>
  <si>
    <t>GM-60295-0799
GM-60295-0800</t>
  </si>
  <si>
    <t>CSE-OF-2207-225</t>
  </si>
  <si>
    <t>2207-NPCC-AO-T-03487</t>
  </si>
  <si>
    <t>RISER LIFT ANALYSIS REPORT FOR 20" MOL FROM ULRP TO ZIRKU AT ULRP</t>
  </si>
  <si>
    <t>CSE-OF-2207-227</t>
  </si>
  <si>
    <t>2207-NPCC-AO-T-03495</t>
  </si>
  <si>
    <t>RISER/SPOOL LIFTING AND INSTALLATION  FOR 20" MAIN OIL LINE FROM ULRP TO ZIRKU  (@ULRP)</t>
  </si>
  <si>
    <t>2207-NPCC-AO-T-03496</t>
  </si>
  <si>
    <t>TEMPORARY KNEE BRACE DETAILS FOR 20" MAIN OIL LINE FROM ULRP TO ZIRKU</t>
  </si>
  <si>
    <t>2207-NPCC-AO-T-03497</t>
  </si>
  <si>
    <t>LOADING ARRANGEMENT AND SEAFASTENING DETAILS OF CC PIPES @ GAC-67 (TRIP-11)</t>
  </si>
  <si>
    <t>CSE-OF-2207-226</t>
  </si>
  <si>
    <t>2207-NPCC-AO-T-03498</t>
  </si>
  <si>
    <t>LOADING ARRANGEMENT AND SEAFASTENING OF CC PIPES @ GAC-66 (TRIP-12)</t>
  </si>
  <si>
    <t>2207-NPCC-AO-T-03500</t>
  </si>
  <si>
    <t>GM-60295-0801</t>
  </si>
  <si>
    <t>2207-NPCC-MWS-T-00631</t>
  </si>
  <si>
    <t>2207-NPCC-MWS-T-00632</t>
  </si>
  <si>
    <t>2207-NPCC-MWS-T-00633</t>
  </si>
  <si>
    <t>TR-UFFDP1-13-06158</t>
  </si>
  <si>
    <t>New Document with old number
-</t>
  </si>
  <si>
    <t>CSE-OF-2207-228</t>
  </si>
  <si>
    <t>2207-NPCC-AO-T-03499</t>
  </si>
  <si>
    <t>DAVIT LIFT ANALYSIS REPORT FOR 20" MOL FROM ULRP TO KP89.256.83</t>
  </si>
  <si>
    <t>2207-NPCC-AO-T-03508</t>
  </si>
  <si>
    <t>GM-60295-0805</t>
  </si>
  <si>
    <t>GM-60295-0806</t>
  </si>
  <si>
    <t>GM-60295-0807</t>
  </si>
  <si>
    <t>GM-60295-0808</t>
  </si>
  <si>
    <t>GM-60295-0809</t>
  </si>
  <si>
    <t>2207-NPCC-MWS-T-00635</t>
  </si>
  <si>
    <t>2207-NPCC-MWS-T-00636</t>
  </si>
  <si>
    <t>2207-NPCC-MWS-T-00637</t>
  </si>
  <si>
    <t>2207-NPCC-MWS-T-00638</t>
  </si>
  <si>
    <t>2207-NPCC-MWS-T-00639</t>
  </si>
  <si>
    <t>GM-60295-0810</t>
  </si>
  <si>
    <t>GM-60295-0811</t>
  </si>
  <si>
    <t>GM-60295-0812</t>
  </si>
  <si>
    <t>WELD REPAIR ANALYSIS FOR 20" MOL P/L  FROM ULRP TO KP89.256</t>
  </si>
  <si>
    <t>2207-NN-RP-161</t>
  </si>
  <si>
    <t>AD197-573/602-G-06322</t>
  </si>
  <si>
    <t>CSE-OF-2207-230</t>
  </si>
  <si>
    <t>2207-NPCC-AO-T-03520</t>
  </si>
  <si>
    <t>TR-UFFDP1-13-06162</t>
  </si>
  <si>
    <t>TR-UFFDP1-13-06175</t>
  </si>
  <si>
    <t>2207-NN-0156</t>
  </si>
  <si>
    <t>AD197-477-PL-62299</t>
  </si>
  <si>
    <t>TR-UFFDP1-13-06174</t>
  </si>
  <si>
    <t>TR-UFFDP1-13-06186</t>
  </si>
  <si>
    <t>TR-UFFDP1-13-06187</t>
  </si>
  <si>
    <t>TR-UFFDP1-13-06188</t>
  </si>
  <si>
    <t>TR-UFFDP1-13-06189</t>
  </si>
  <si>
    <t>TR-UFFDP1-13-06194</t>
  </si>
  <si>
    <t>TR-UFFDP1-13-06132
TR-UFFDP1-13-06195</t>
  </si>
  <si>
    <t>09-09-15
16-09-15</t>
  </si>
  <si>
    <t>TR-UFFDP1-13-06132
TR-UFFDP1-13-06196</t>
  </si>
  <si>
    <t>TR-UFFDP1-13-06197</t>
  </si>
  <si>
    <t>New Document added on 07-09-15
-</t>
  </si>
  <si>
    <t>CSE-OF-2207-231</t>
  </si>
  <si>
    <t>2207-NPCC-AO-T-03544</t>
  </si>
  <si>
    <t xml:space="preserve"> REMOVAL OF EXISTING RISER PROTECTORS AT WHT-4 </t>
  </si>
  <si>
    <t>INSTALLATION OF EXISTING RISER PROTECTOR AT WHT-4 (ROW-A)</t>
  </si>
  <si>
    <t>CSE-OF-2207-232</t>
  </si>
  <si>
    <t>2207-NPCC-AO-T-03545</t>
  </si>
  <si>
    <t>REMOVAL OF EXISTING STAIRS AT WHT-4 (ROW-A)</t>
  </si>
  <si>
    <t>INSTALLTION  OF EXISTING STAIRS AT WHT-4 (ROW-A)</t>
  </si>
  <si>
    <t>2207-NN-1160</t>
  </si>
  <si>
    <t>AD197-477-PL-62300</t>
  </si>
  <si>
    <t>AD197-477-PL-62301</t>
  </si>
  <si>
    <t>2207-NN-1161</t>
  </si>
  <si>
    <t>2207-NPCC-AO-T-03551</t>
  </si>
  <si>
    <t>2207-NPCC-AO-T-03552</t>
  </si>
  <si>
    <t>2207-NPCC-AO-T-03555</t>
  </si>
  <si>
    <t>2207-NPCC-AO-T-03556</t>
  </si>
  <si>
    <t>2207-NPCC-AO-T-03565</t>
  </si>
  <si>
    <t>2207-NPCC-AO-T-03567</t>
  </si>
  <si>
    <t>2207-NPCC-AO-T-03605</t>
  </si>
  <si>
    <t>2207-NPCC-AO-T-03622</t>
  </si>
  <si>
    <t>Anjali added</t>
  </si>
  <si>
    <t>2207-NPCC-AO-T-03623</t>
  </si>
  <si>
    <t>2207-NPCC-AO-T-03625</t>
  </si>
  <si>
    <t>2207-NPCC-AO-T-03687</t>
  </si>
  <si>
    <t>2207-NPCC-AO-T-03688</t>
  </si>
  <si>
    <t>2207-NPCC-AO-T-03636</t>
  </si>
  <si>
    <t>CSE-OF-2207-233</t>
  </si>
  <si>
    <t>CSE-OF-2207-234</t>
  </si>
  <si>
    <t>CSE-OF-2207-235</t>
  </si>
  <si>
    <t>CSE-OF-2207-236</t>
  </si>
  <si>
    <t>CSE-OF-2207-237</t>
  </si>
  <si>
    <t>CSE-OF-2207-238</t>
  </si>
  <si>
    <t>CSE-OF-2207-239</t>
  </si>
  <si>
    <t>CSE-OF-2207-240</t>
  </si>
  <si>
    <t>CSE-OF-2207-241</t>
  </si>
  <si>
    <t>CSE-OF-2207-242</t>
  </si>
  <si>
    <t>CSE-OF-2207-243</t>
  </si>
  <si>
    <t>CSE-OF-2207-244</t>
  </si>
  <si>
    <t>2207-NPCC-AO-T-03700</t>
  </si>
  <si>
    <t>GM-60295-0814</t>
  </si>
  <si>
    <t>GM-60295-0815</t>
  </si>
  <si>
    <t>GM-60295-0816</t>
  </si>
  <si>
    <t>GM-60295-0818</t>
  </si>
  <si>
    <t>GM-60295-0820</t>
  </si>
  <si>
    <t>GM-60295-0821</t>
  </si>
  <si>
    <t>GM-60295-0822</t>
  </si>
  <si>
    <t>GM-60295-0823</t>
  </si>
  <si>
    <t>GM-60295-0825</t>
  </si>
  <si>
    <t>GM-60295-0836</t>
  </si>
  <si>
    <t>2207-NPCC-MWS-T-00672</t>
  </si>
  <si>
    <t>GM-60295-0837</t>
  </si>
  <si>
    <t>CSE-OF-2207-245</t>
  </si>
  <si>
    <t>2207-NPCC-AO-T-03808</t>
  </si>
  <si>
    <t>Email</t>
  </si>
  <si>
    <t>GM-60295-0838</t>
  </si>
  <si>
    <t>GM-60295-0839</t>
  </si>
  <si>
    <t>TR-UFFDP1-13-06207</t>
  </si>
  <si>
    <t>TR-UFFDP1-13-06206</t>
  </si>
  <si>
    <t>TR-UFFDP1-13-06208</t>
  </si>
  <si>
    <t>TR-UFFDP1-13-06213</t>
  </si>
  <si>
    <t>TR-UFFDP1-13-06212</t>
  </si>
  <si>
    <t>TR-UFFDP1-13-06211</t>
  </si>
  <si>
    <t>TR-UFFDP1-13-06209</t>
  </si>
  <si>
    <t>2207-NPCC-MWS-T-00641</t>
  </si>
  <si>
    <t>2207-NPCC-MWS-T-00642</t>
  </si>
  <si>
    <t>2207-NPCC-MWS-T-00643</t>
  </si>
  <si>
    <t>2207-NPCC-MWS-T-00644</t>
  </si>
  <si>
    <t>TR-UFFDP1-13-06238</t>
  </si>
  <si>
    <t>Approved as per email from Yahia
TR-UFFDP1-13-06240</t>
  </si>
  <si>
    <t>2207-NPCC-MWS-T-00646</t>
  </si>
  <si>
    <t>2207-NPCC-MWS-T-00647</t>
  </si>
  <si>
    <t>2207-NPCC-MWS-T-00651</t>
  </si>
  <si>
    <t>2207-NPCC-MWS-T-00652</t>
  </si>
  <si>
    <t>2207-NPCC-MWS-T-00653</t>
  </si>
  <si>
    <t>2207-NPCC-MWS-T-00654</t>
  </si>
  <si>
    <t>2207-NPCC-MWS-T-00655</t>
  </si>
  <si>
    <t>2207-NPCC-MWS-T-00656</t>
  </si>
  <si>
    <t>TR-UFFDP1-13-06270</t>
  </si>
  <si>
    <t>TR-UFFDP1-13-06294</t>
  </si>
  <si>
    <t>TR-UFFDP1-13-06295</t>
  </si>
  <si>
    <t>TR-UFFDP1-13-06299</t>
  </si>
  <si>
    <t>TR-UFFDP1-13-06300</t>
  </si>
  <si>
    <t>TR-UFFDP1-13-06301</t>
  </si>
  <si>
    <t>TR-UFFDP1-13-06302</t>
  </si>
  <si>
    <t>TR-UFFDP1-13-06303</t>
  </si>
  <si>
    <t>TR-UFFDP1-13-06304</t>
  </si>
  <si>
    <t>2207-NPCC-MWS-T-00660</t>
  </si>
  <si>
    <t>2207-NPCC-MWS-T-00661</t>
  </si>
  <si>
    <t>2207-NPCC-MWS-T-00662</t>
  </si>
  <si>
    <t>2207-NPCC-MWS-T-00663</t>
  </si>
  <si>
    <t>TR-UFFDP1-13-06308</t>
  </si>
  <si>
    <t>TR-UFFDP1-13-06309</t>
  </si>
  <si>
    <t>TR-UFFDP1-13-06310</t>
  </si>
  <si>
    <t>TR-UFFDP1-13-06315</t>
  </si>
  <si>
    <t>TR-UFFDP1-13-06316</t>
  </si>
  <si>
    <t>TR-UFFDP1-13-06317</t>
  </si>
  <si>
    <t>TR-UFFDP1-13-06318</t>
  </si>
  <si>
    <t>2207-NPCC-MWS-T-00671</t>
  </si>
  <si>
    <t>2207-NPCC-MWS-T-00674</t>
  </si>
  <si>
    <t>TR-UFFDP1-13-06365</t>
  </si>
  <si>
    <t>TR-UFFDP1-13-06370</t>
  </si>
  <si>
    <t>2207-NPCC-MWS-T-00678</t>
  </si>
  <si>
    <t>GM-60295-0845</t>
  </si>
  <si>
    <t>GM-60295-0846</t>
  </si>
  <si>
    <t>GM-60295-0847</t>
  </si>
  <si>
    <t>GM-60295-0848</t>
  </si>
  <si>
    <t>TR-UFFDP1-13-06389</t>
  </si>
  <si>
    <t>TR-UFFDP1-13-06398</t>
  </si>
  <si>
    <t>TR-UFFDP1-13-06400</t>
  </si>
  <si>
    <t>TR-UFFDP1-13-06401</t>
  </si>
  <si>
    <t>Not issued</t>
  </si>
  <si>
    <t>Approved in previous Rev</t>
  </si>
  <si>
    <t>TR-UFFDP1-13-06424</t>
  </si>
  <si>
    <t>Not Issued</t>
  </si>
  <si>
    <t>MWS received on latest</t>
  </si>
  <si>
    <t>CSE-OF-2207-246</t>
  </si>
  <si>
    <t>2207-NPCC-AO-T-03984</t>
  </si>
  <si>
    <t>CSE-OF-2207-247</t>
  </si>
  <si>
    <t>2207-NPCC-AO-T-03985</t>
  </si>
  <si>
    <t>2,I</t>
  </si>
  <si>
    <t>For Info only</t>
  </si>
  <si>
    <t>CLIENT/MWS For Info only</t>
  </si>
  <si>
    <t>MWS For Info only</t>
  </si>
  <si>
    <t>2207-NPCC-MWS-T-00710</t>
  </si>
  <si>
    <t>2207-NPCC-MWS-T-00711</t>
  </si>
  <si>
    <t>GM-60295-0856</t>
  </si>
  <si>
    <t>GM-60295-0857</t>
  </si>
  <si>
    <t>GM-60295-0858</t>
  </si>
  <si>
    <t>GM-60295-0859</t>
  </si>
  <si>
    <t>GM-60295-0860</t>
  </si>
  <si>
    <t>GM-60295-0861</t>
  </si>
  <si>
    <t>GM-60295-0862</t>
  </si>
  <si>
    <t>GM-60295-0863</t>
  </si>
  <si>
    <t>GM-60295-0864</t>
  </si>
  <si>
    <t>GM-60295-0865</t>
  </si>
  <si>
    <t>GM-60295-0866</t>
  </si>
  <si>
    <t>GM-60295-0867</t>
  </si>
  <si>
    <t>GM-60295-0868</t>
  </si>
  <si>
    <t>GM-60295-0869</t>
  </si>
  <si>
    <t>GM-60295-0870</t>
  </si>
  <si>
    <t>GM-60295-0871</t>
  </si>
  <si>
    <t>GM-60295-0872</t>
  </si>
  <si>
    <t>STABILITY ANALYSIS DURING TRANSPORTATION OF CABLE BASKET  (CAMPAIGN-2)</t>
  </si>
  <si>
    <t>CSE-OF-2207-248</t>
  </si>
  <si>
    <t>2207-NPCC-AO-T-04001</t>
  </si>
  <si>
    <t>TR-UFFDP1-13-06643</t>
  </si>
  <si>
    <t>GM-60295-0873</t>
  </si>
  <si>
    <t>GM-60295-0874</t>
  </si>
  <si>
    <t>GM-60295-0875</t>
  </si>
  <si>
    <t>GM-60295-0876</t>
  </si>
  <si>
    <t>GM-60295-0877</t>
  </si>
  <si>
    <t>GM-60295-0878</t>
  </si>
  <si>
    <t>GM-60295-0879</t>
  </si>
  <si>
    <t>GM-60295-0880</t>
  </si>
  <si>
    <t>GM-60295-0881</t>
  </si>
  <si>
    <t>GM-60295-0882</t>
  </si>
  <si>
    <t>GM-60295-0883</t>
  </si>
  <si>
    <t>GM-60295-0884</t>
  </si>
  <si>
    <t>GM-60295-0885</t>
  </si>
  <si>
    <t>GM-60295-0886</t>
  </si>
  <si>
    <t xml:space="preserve">
'3 reports merged 2207-ZZ-CL-102, 2207-ZZ-CL-103, 2207-ZZ-CL-104</t>
  </si>
  <si>
    <t>GM-60295-0887</t>
  </si>
  <si>
    <t>2207-NPCC-MWS-T-00714</t>
  </si>
  <si>
    <t>GM-60295-0888</t>
  </si>
  <si>
    <t>GM-60295-0889</t>
  </si>
  <si>
    <t>GM-60295-0890</t>
  </si>
  <si>
    <t>GM-60295-0891</t>
  </si>
  <si>
    <t>TR-UFFDP1-13-06669</t>
  </si>
  <si>
    <t>GM-60295-0892</t>
  </si>
  <si>
    <t>GM-60295-0893</t>
  </si>
  <si>
    <t>TR-UFFDP1-13-06677</t>
  </si>
  <si>
    <t>AIRBAG LIFT ANALYSIS REPORT FOR 20” MOL</t>
  </si>
  <si>
    <t>2207-NN-RP-162</t>
  </si>
  <si>
    <t>AD197-473-G-06323</t>
  </si>
  <si>
    <t>CSE-OF-2207-249</t>
  </si>
  <si>
    <t>2207-NPCC-AO-T-04018</t>
  </si>
  <si>
    <t>2207-NPCC-MWS-T-00716</t>
  </si>
  <si>
    <t>TR-UFFDP1-13-06691</t>
  </si>
  <si>
    <t>CRS</t>
  </si>
  <si>
    <t>2207-NPCC-AO-T-04025</t>
  </si>
  <si>
    <t>CSE-OF-2207-250</t>
  </si>
  <si>
    <t>07-15-15</t>
  </si>
  <si>
    <t>TR-UFFDP1-13-06710</t>
  </si>
  <si>
    <t>GM-60295-0906</t>
  </si>
  <si>
    <t>GM-60295-0907</t>
  </si>
  <si>
    <t>GM-60295-0908</t>
  </si>
  <si>
    <t>GM-60295-0909</t>
  </si>
  <si>
    <t>GM-60295-0911</t>
  </si>
  <si>
    <t>CSE-OF-2207-252</t>
  </si>
  <si>
    <t>2207-NPCC-AO-T-04058</t>
  </si>
  <si>
    <t>GM-60295-0912</t>
  </si>
  <si>
    <t>CSE-OF-2207-254</t>
  </si>
  <si>
    <t>2207-NPCC-AO-T-04073</t>
  </si>
  <si>
    <t>CSE-OF-2207-253</t>
  </si>
  <si>
    <t>2207-NPCC-AO-T-04060</t>
  </si>
  <si>
    <t>CSE-OF-2207-251</t>
  </si>
  <si>
    <t>2207-NPCC-AO-T-04064</t>
  </si>
  <si>
    <t>CSE-OF-2207-255</t>
  </si>
  <si>
    <t>2207-NPCC-AO-T-04076</t>
  </si>
  <si>
    <t>2207-NPCC-MWS-T-00717</t>
  </si>
  <si>
    <t>2207-NPCC-MWS-T-00718</t>
  </si>
  <si>
    <t>2207-NPCC-MWS-T-00719</t>
  </si>
  <si>
    <t>2207-NN-RP-163</t>
  </si>
  <si>
    <t>AD197-473-G-06324</t>
  </si>
  <si>
    <t>2207-NPCC-MWS-T-00722</t>
  </si>
  <si>
    <t>AIRBAG LIFTING ANALYSIS REPORT OF 20” MOL FOR SLEEPER SHIFTING @ CR-10</t>
  </si>
  <si>
    <t>CSE-OF-2207-256</t>
  </si>
  <si>
    <t>2207-NPCC-AO-T-04047</t>
  </si>
  <si>
    <t>2207-NPCC-MWS-T-00723</t>
  </si>
  <si>
    <t>2207-NPCC-MWS-T-00724</t>
  </si>
  <si>
    <t>TR-UFFDP1-13-06753</t>
  </si>
  <si>
    <t>GM-60295-0919</t>
  </si>
  <si>
    <t>TR-UFFDP1-13-06779</t>
  </si>
  <si>
    <t>TR-UFFDP1-13-06781</t>
  </si>
  <si>
    <t>TR-UFFDP1-13-06780</t>
  </si>
  <si>
    <t>2207-NN-1162</t>
  </si>
  <si>
    <t>AD197-477-PL-62302</t>
  </si>
  <si>
    <t>SHIFTING OF CS2 CONCRETE SLEEPER @ CROSSING NO. 10 BY SWIBER ATLANTIS</t>
  </si>
  <si>
    <t>2207-NPCC-AO-T-04162</t>
  </si>
  <si>
    <t>CSE-OF-2207-257</t>
  </si>
  <si>
    <t>31-15-15</t>
  </si>
  <si>
    <t>TR-UFFDP1-13-06792</t>
  </si>
  <si>
    <t>GM-60295-0920</t>
  </si>
  <si>
    <t>not applicable to MWS but still received the response</t>
  </si>
  <si>
    <t>GM-60295-0921</t>
  </si>
  <si>
    <t>GM-60295-0922</t>
  </si>
  <si>
    <t>GM-60295-0923</t>
  </si>
  <si>
    <t>GM-60295-0924</t>
  </si>
  <si>
    <t>MOORING ANALYSIS DURING LIFTING &amp; INSTALLATION OF WHT-1 &amp; WHT-3 TOPSIDES</t>
  </si>
  <si>
    <t>CSE-OF-2207-258</t>
  </si>
  <si>
    <t>2207-NPCC-AO-T-04168</t>
  </si>
  <si>
    <t>CSE-OF-2207-259</t>
  </si>
  <si>
    <t>2207-NPCC-AO-T-04169</t>
  </si>
  <si>
    <t>TR-UFFDP1-13-06797</t>
  </si>
  <si>
    <t>TR-UFFDP1-13-06800</t>
  </si>
  <si>
    <t>2207-NPCC-MWS-T-00733</t>
  </si>
  <si>
    <t>TR-UFFDP1-13-06807</t>
  </si>
  <si>
    <t>TR-UFFDP1-13-06808</t>
  </si>
  <si>
    <t>MWS
DOCUMENT CANCELLED EMAIL YAHIA 09-12-15</t>
  </si>
  <si>
    <t>2207-NPCC-MWS-T-00734</t>
  </si>
  <si>
    <t>2207-NPCC-MWS-T-00736</t>
  </si>
  <si>
    <t>TR-UFFDP1-13-06826</t>
  </si>
  <si>
    <t>GM-60295-928</t>
  </si>
  <si>
    <t>GM-60295-929</t>
  </si>
  <si>
    <t>CSE-OF-2207-260</t>
  </si>
  <si>
    <t>2207-NPCC-AO-T-04187</t>
  </si>
  <si>
    <t>2207-NPCC-MWS-T-00740</t>
  </si>
  <si>
    <t>TR-UFFDP1-13-06833</t>
  </si>
  <si>
    <t>CSE-OF-2207-261</t>
  </si>
  <si>
    <t>2207-NPCC-AO-T-04199</t>
  </si>
  <si>
    <t>2207-NPCC-MWS-T-00742</t>
  </si>
  <si>
    <t>GM-60295-0933</t>
  </si>
  <si>
    <t>GM-60295-0934</t>
  </si>
  <si>
    <t>TR-UFFDP1-13-06886</t>
  </si>
  <si>
    <t>TR-UFFDP1-13-06941</t>
  </si>
  <si>
    <t>2207-NPCC-MWS-T-00748</t>
  </si>
  <si>
    <t>CRS to GM</t>
  </si>
  <si>
    <t>2207-NN-1163</t>
  </si>
  <si>
    <t>2207-NN-1164</t>
  </si>
  <si>
    <t>AD197-477-PL-62303</t>
  </si>
  <si>
    <t>AD197-477-PL-62304</t>
  </si>
  <si>
    <t>REMOVAL OF EXISTING STAIRS AT WHT-6 (ROW-2)</t>
  </si>
  <si>
    <t>REINSTLLATION OF EXISTING STAIRS AT WHT-6 (ROW-2)</t>
  </si>
  <si>
    <t>CSE-OF-2207-262</t>
  </si>
  <si>
    <t>2207-NPCC-AO-T-04303</t>
  </si>
  <si>
    <t>CSE-OF-2207-263</t>
  </si>
  <si>
    <t>2207-NPCC-AO-T-04311</t>
  </si>
  <si>
    <t>CSE-OF-2207-264</t>
  </si>
  <si>
    <t>2207-NPCC-AO-T-04313</t>
  </si>
  <si>
    <t>RE-INSTALLATION OF EXISTING RISER PROTECTOR AT WHT-6</t>
  </si>
  <si>
    <t>2207-NN-1165</t>
  </si>
  <si>
    <t>AD197-481-PL-62305</t>
  </si>
  <si>
    <t>GM-60295-0939</t>
  </si>
  <si>
    <t>REMOVAL &amp; OFFLOADING OF EXISTING RISER PROTECTORS AT WHT-6</t>
  </si>
  <si>
    <t>CSE-OF-2207-265</t>
  </si>
  <si>
    <t>2207-NPCC-AO-T-04320</t>
  </si>
  <si>
    <t>2207-NPCC-AO-T-04321</t>
  </si>
  <si>
    <t>CSE-OF-2207-266</t>
  </si>
  <si>
    <t>2207-NPCC-AO-T-04327</t>
  </si>
  <si>
    <t>CSE-OF-2207-267</t>
  </si>
  <si>
    <t>2207-NPCC-AO-T-04335</t>
  </si>
  <si>
    <t>2207-NPCC-AO-T-04329</t>
  </si>
  <si>
    <t>CSE-OF-2207-268</t>
  </si>
  <si>
    <t>2207-NPCC-AO-T-04344</t>
  </si>
  <si>
    <t>2207-NPCC-AO-T-04343</t>
  </si>
  <si>
    <t>CSE-OF-2207-269</t>
  </si>
  <si>
    <t>2207-NPCC-AO-T-04345</t>
  </si>
  <si>
    <t>2207-NPCC-MWS-T-00749</t>
  </si>
  <si>
    <t>2207-NPCC-MWS-T-00750</t>
  </si>
  <si>
    <t>2207-NPCC-MWS-T-00751</t>
  </si>
  <si>
    <t>CSE-OF-2207-270</t>
  </si>
  <si>
    <t>2207-NPCC-AO-T-04350</t>
  </si>
  <si>
    <t>MOORING ANALYSIS DURING RISER INSTALLATION AT WHT-6 (EAST FACE)  (SET-UP#2)</t>
  </si>
  <si>
    <t>2207-NPCC-MWS-T-00754</t>
  </si>
  <si>
    <t>2207-NPCC-MWS-T-00756</t>
  </si>
  <si>
    <t>2207-NPCC-MWS-T-00758</t>
  </si>
  <si>
    <t>2207-NPCC-MWS-T-00755</t>
  </si>
  <si>
    <t>2207-NPCC-MWS-T-00757</t>
  </si>
  <si>
    <t>2207-NPCC-MWS-T-00759</t>
  </si>
  <si>
    <t>2207-NPCC-MWS-T-00760</t>
  </si>
  <si>
    <t>CSE-OF-2207-271</t>
  </si>
  <si>
    <t>2207-NPCC-AO-T-04357</t>
  </si>
  <si>
    <t>2207-NPCC-MWS-T-00761</t>
  </si>
  <si>
    <t>CSE-OF-2207-272</t>
  </si>
  <si>
    <t>2207-NPCC-AO-T-04366</t>
  </si>
  <si>
    <t>2207-NPCC-MWS-T-00763</t>
  </si>
  <si>
    <t>CSE-OF-2207-273</t>
  </si>
  <si>
    <t>2207-NPCC-AO-T-04371</t>
  </si>
  <si>
    <t>2207-NPCC-MWS-T-00764</t>
  </si>
  <si>
    <t>TR-UFFDP1-13-07043</t>
  </si>
  <si>
    <t>GM-60295-0941</t>
  </si>
  <si>
    <t>2207-NPCC-MWS-T-00768</t>
  </si>
  <si>
    <t>2207-NPCC-MWS-T-00769</t>
  </si>
  <si>
    <t>GM-60295-0943</t>
  </si>
  <si>
    <t>GM-60295-0942</t>
  </si>
  <si>
    <t>GM-60295-0947</t>
  </si>
  <si>
    <t>GM-60295-0948</t>
  </si>
  <si>
    <t>GM-60295-0950</t>
  </si>
  <si>
    <t>GM-60295-0944</t>
  </si>
  <si>
    <t>GM-60295-0945</t>
  </si>
  <si>
    <t>GM-60295-0946</t>
  </si>
  <si>
    <t>GM-60295-0949</t>
  </si>
  <si>
    <t>GM-60295-0951</t>
  </si>
  <si>
    <t>GM-60295-0952</t>
  </si>
  <si>
    <t>TR-UFFDP1-13-07036</t>
  </si>
  <si>
    <t>TR-UFFDP1-13-07054</t>
  </si>
  <si>
    <t>GM-60295-0953</t>
  </si>
  <si>
    <t>CSE-OF-2207-274</t>
  </si>
  <si>
    <t>2207-NPCC-AO-T-04426</t>
  </si>
  <si>
    <t>CSE-OF-2207-275</t>
  </si>
  <si>
    <t>2207-NPCC-AO-T-04427</t>
  </si>
  <si>
    <t>CRS MWS</t>
  </si>
  <si>
    <t>TR-UFFDP1-13-07067</t>
  </si>
  <si>
    <t>GM-60295-0958</t>
  </si>
  <si>
    <t>2207-NPCC-MWS-T-00773</t>
  </si>
  <si>
    <t>2207-NPCC-MWS-T-00774</t>
  </si>
  <si>
    <t>TR-UFFDP1-13-07101</t>
  </si>
  <si>
    <t>TR-UFFDP1-13-07099</t>
  </si>
  <si>
    <t>TR-UFFDP1-13-07098</t>
  </si>
  <si>
    <t>TR-UFFDP1-13-07096</t>
  </si>
  <si>
    <t>TR-UFFDP1-13-07093</t>
  </si>
  <si>
    <t>TR-UFFDP1-13-07092</t>
  </si>
  <si>
    <t>TR-UFFDP1-13-07090</t>
  </si>
  <si>
    <t>TR-UFFDP1-13-07126</t>
  </si>
  <si>
    <t>MWS`</t>
  </si>
  <si>
    <t>TR-UFFDP1-13-07128</t>
  </si>
  <si>
    <t>TR-UFFDP1-13-07162</t>
  </si>
  <si>
    <t>TR-UFFDP1-13-07166</t>
  </si>
  <si>
    <t>TR-UFFDP1-13-07167</t>
  </si>
  <si>
    <t>TR-UFFDP1-13-07169</t>
  </si>
  <si>
    <t>TR-UFFDP1-13-07199</t>
  </si>
  <si>
    <t>TR-UFFDP1-13-07245</t>
  </si>
  <si>
    <t>TR-UFFDP1-13-07249</t>
  </si>
  <si>
    <t>2207-NN-RP-164</t>
  </si>
  <si>
    <t xml:space="preserve">INSTALLATION ANALYSIS REPORT FOR SUBSEA FO CABLE REPAIR </t>
  </si>
  <si>
    <t>AD197-473-G-06325</t>
  </si>
  <si>
    <t>CSE-OF-2207-276</t>
  </si>
  <si>
    <t>2207-NPCC-MWS-T-00802</t>
  </si>
  <si>
    <t>2207-NPCC-AO-T-04680</t>
  </si>
  <si>
    <t>CSE-OF-2207-277</t>
  </si>
  <si>
    <t>2207-NPCC-AO-T-04748</t>
  </si>
  <si>
    <t>TR-UFFDP1-13-07429</t>
  </si>
  <si>
    <t>TR-UFFDP1-13-07467</t>
  </si>
  <si>
    <t>CSE-OF-2207-278</t>
  </si>
  <si>
    <t>2207-NPCC-AO-T-04823</t>
  </si>
  <si>
    <t>2207-NPCC-MWS-T-00810</t>
  </si>
  <si>
    <t>TR-UFFDP1-13-07492</t>
  </si>
  <si>
    <t>CSE-OF-2207-279</t>
  </si>
  <si>
    <t>2207-NPCC-AO-T-05082</t>
  </si>
  <si>
    <t>AD197-481-G-06326</t>
  </si>
  <si>
    <t>DAVIT LIFT ANALYSIS REPORT FOR RISER AT WHT-6</t>
  </si>
  <si>
    <t>2207-NN-RP-165</t>
  </si>
  <si>
    <t>CSE-OF-2207-280</t>
  </si>
  <si>
    <t>CSE-OF-2207-281</t>
  </si>
  <si>
    <t>CSE-OF-2207-282</t>
  </si>
  <si>
    <t>CSE-OF-2207-283</t>
  </si>
  <si>
    <t>MOORING ANALYSIS DURING RISER INSTALLATION OF 6", 8", 10", 18" AT WHT-6 (WEST FACE)</t>
  </si>
  <si>
    <t>2207-NPCC-AO-T-05364</t>
  </si>
  <si>
    <t xml:space="preserve">2207-NPCC-AO-T-05362 </t>
  </si>
  <si>
    <t xml:space="preserve">2207-NPCC-AO-T-05361 </t>
  </si>
  <si>
    <t>2207-NPCC-MWS-T-00855</t>
  </si>
  <si>
    <t>2207-NPCC-MWS-T-00853</t>
  </si>
  <si>
    <t>2207-NPCC-MWS-T-00856</t>
  </si>
  <si>
    <t>CSE-OF-2207-284</t>
  </si>
  <si>
    <t>2207-NPCC-AO-T-05368</t>
  </si>
  <si>
    <t>2207-NPCC-AO-T-05372</t>
  </si>
  <si>
    <t>2207-NPCC-MWS-T-00860</t>
  </si>
  <si>
    <t>2207-NPCC-MWS-T-00857</t>
  </si>
  <si>
    <t>TR-UFFDP1-13-07896</t>
  </si>
  <si>
    <t>TR-UFFDP1-13-07895</t>
  </si>
  <si>
    <t>TR-UFFDP1-13-07897</t>
  </si>
  <si>
    <t>TR-UFFDP1-13-07906</t>
  </si>
  <si>
    <t>CSE-OF-2207-285</t>
  </si>
  <si>
    <t>CSE-OF-2207-286</t>
  </si>
  <si>
    <t>CSE-OF-2207-287</t>
  </si>
  <si>
    <t>GM-60295-1033</t>
  </si>
  <si>
    <t>GM/60295/1028</t>
  </si>
  <si>
    <t>GM/60295/1027</t>
  </si>
  <si>
    <t>GM/60295/1026</t>
  </si>
  <si>
    <t>GM/60295/1025</t>
  </si>
  <si>
    <t>GM/60295/1024</t>
  </si>
  <si>
    <t>GM/60295/1023</t>
  </si>
  <si>
    <t>GM/60295/1022</t>
  </si>
  <si>
    <t>CRS TO MWS</t>
  </si>
  <si>
    <t>SENT BY EMAIL</t>
  </si>
  <si>
    <t>2207-NPCC-AO-T-05443</t>
  </si>
  <si>
    <t>2207-NPCC-MWS-T-00873</t>
  </si>
  <si>
    <t>GM/60295/1032</t>
  </si>
  <si>
    <t>GM-60295-1039-ACCEPTED FROM GMC</t>
  </si>
  <si>
    <t>2207-NPCC-MWS-T-00872</t>
  </si>
  <si>
    <t>2207-NPCC-MWS-T-00874</t>
  </si>
  <si>
    <t xml:space="preserve">2207-NPCC-AO-T-05436 </t>
  </si>
  <si>
    <t>CSE-OF-2207-288</t>
  </si>
  <si>
    <t>GM/60295/1043</t>
  </si>
  <si>
    <t>GM/60295/1042</t>
  </si>
  <si>
    <t>GM-60295-1040</t>
  </si>
  <si>
    <t>GM/60295/1041</t>
  </si>
  <si>
    <t>2207-NPCC-MWS-T-00875</t>
  </si>
  <si>
    <t>2207-NPCC-AO-T-05467</t>
  </si>
  <si>
    <t>2207-NPCC-MWS-T-00878</t>
  </si>
  <si>
    <t>CSE-OF-2207-289</t>
  </si>
  <si>
    <t>CSE-OF-2207-290</t>
  </si>
  <si>
    <t>2207-NPCC-MWS-T-00884</t>
  </si>
  <si>
    <t>GM/60295/1046</t>
  </si>
  <si>
    <t>2207-NPCC-AO-T-05482</t>
  </si>
  <si>
    <t>2207-NPCC-MWS-T-00887</t>
  </si>
  <si>
    <t>CSE-OF-2207-291</t>
  </si>
  <si>
    <t>TR-UFFDP1-13-07951</t>
  </si>
  <si>
    <t>PIPELINE REPAIR REPORT FOR 10" WI P/L FROM ULRP TO WHT-6 AT WHT-6</t>
  </si>
  <si>
    <t>2207-NN-RP-166</t>
  </si>
  <si>
    <t>AD197-481-G-06327</t>
  </si>
  <si>
    <t>2207-NPCC-AO-T-05499</t>
  </si>
  <si>
    <t>2207-NN-1172</t>
  </si>
  <si>
    <t>AD197-477-PL-62312</t>
  </si>
  <si>
    <t>PIPELINE REPAIR WORKS 10" WATER INJECTION PIPELINE FROM ULRP TO WHT-6 @ WHT-6</t>
  </si>
  <si>
    <t>REY</t>
  </si>
  <si>
    <t>2207-NPCC-MWS-T-00891</t>
  </si>
  <si>
    <t>2207-NPCC-AO-T-05487</t>
  </si>
  <si>
    <t>CSE-OF-2207-292</t>
  </si>
  <si>
    <t>2207-NPCC-AO-T-05534</t>
  </si>
  <si>
    <t>2207-NPCC-MWS-T-00897</t>
  </si>
  <si>
    <t>TR-UFFDP1-13-07990</t>
  </si>
  <si>
    <t>TR-UFFDP1-13-08002</t>
  </si>
  <si>
    <t>CSE-OF-2207-293</t>
  </si>
  <si>
    <t>2207-NPCC-AO-T-05580</t>
  </si>
  <si>
    <r>
      <t>2207-NPCC-MWS-T-00</t>
    </r>
    <r>
      <rPr>
        <sz val="8"/>
        <color rgb="FF1F497D"/>
        <rFont val="Tahoma"/>
        <family val="2"/>
      </rPr>
      <t>903</t>
    </r>
  </si>
  <si>
    <t>GM/60295/1056</t>
  </si>
  <si>
    <t>GM/60295/1050</t>
  </si>
  <si>
    <t>TR-UFFDP1-13-07954</t>
  </si>
  <si>
    <t>TR-UFFDP1-13-07974</t>
  </si>
  <si>
    <t>GM/60295/1063</t>
  </si>
  <si>
    <t>TR-UFFDP1-13-08164</t>
  </si>
  <si>
    <t>TR-UFFDP1-13-08163</t>
  </si>
  <si>
    <t>TR-UFFDP1-13-08162</t>
  </si>
  <si>
    <t>TR-UFFDP1-13-08161</t>
  </si>
  <si>
    <t>TR-UFFDP1-13-08156</t>
  </si>
  <si>
    <t>CSE-OF-2207-294</t>
  </si>
  <si>
    <t xml:space="preserve">2207-NPCC-AO-T-05972 </t>
  </si>
  <si>
    <t>CSE-OF-2207-295</t>
  </si>
  <si>
    <t>2207-NPCC-AO-T-05977</t>
  </si>
  <si>
    <t>2207-NPCC-MWS-T-00952</t>
  </si>
  <si>
    <t>2207-NPCC-MWS-T-00958</t>
  </si>
  <si>
    <t>CSE-OF-2207-296</t>
  </si>
  <si>
    <t>2207-NPCC-MWS-T-00963</t>
  </si>
  <si>
    <t>CSE-OF-2207-297</t>
  </si>
  <si>
    <t>CSE-OF-2207-298</t>
  </si>
  <si>
    <t>CSE-OF-2207-299</t>
  </si>
  <si>
    <t>CSE-OF-2207-300</t>
  </si>
  <si>
    <t>CSE-OF-2207-301</t>
  </si>
  <si>
    <t>CSE-OF-2207-302</t>
  </si>
  <si>
    <t>CSE-OF-2207-303</t>
  </si>
  <si>
    <t>CSE-OF-2207-304</t>
  </si>
  <si>
    <t>2207-NPCC-AO-T-06004</t>
  </si>
  <si>
    <t>GM/60295/1124</t>
  </si>
  <si>
    <t>2207-NPCC-AO-T-05997</t>
  </si>
  <si>
    <t>TR-UFFDP1-13-08525</t>
  </si>
  <si>
    <t>TR-UFFDP1-13-08529</t>
  </si>
  <si>
    <t>2207-NN-1173</t>
  </si>
  <si>
    <t>AD162-562-PL-62282</t>
  </si>
  <si>
    <t>drg. # given by engg. On 
email dtd. 06/09/17 (stany)</t>
  </si>
  <si>
    <t>not under yahia</t>
  </si>
  <si>
    <t>TYPICAL LIFTING AND INSTALLATION ARRANGEMENT FOR GANGWAY AT UL FIELD - WELLHEAD TOWER - 1, 3 &amp; 5</t>
  </si>
  <si>
    <t>TYPICAL LIFTING AND INSTALLATION FOR TEMPORARY DG AT UL FIELD - WELLHEAD TOWER - 1, 3 &amp; 5</t>
  </si>
  <si>
    <t>2207-NN-1174</t>
  </si>
  <si>
    <t>AD162-562-PL-62283</t>
  </si>
  <si>
    <t>HZD</t>
  </si>
  <si>
    <t>2207-NPCC-AO-T-06069</t>
  </si>
  <si>
    <t>2207-NPCC-MWS-T-00973</t>
  </si>
  <si>
    <t>LIFTING ARRANGEMENT OF MOV203 VALVE AT WHT-1</t>
  </si>
  <si>
    <t>2207-NN-1175</t>
  </si>
  <si>
    <t>AD162-474-PL-62284</t>
  </si>
  <si>
    <t>TR-UFFDP1-13-08842</t>
  </si>
  <si>
    <t>TR-UFFDP1-13-08845</t>
  </si>
  <si>
    <t xml:space="preserve">MOORING ANALYSIS DURING INSTALLATIONS AT WHT-4 AND WHT-6  </t>
  </si>
  <si>
    <t>AD197-481/477-G-03917</t>
  </si>
  <si>
    <t>2207-NPCC-MWS-T-01022</t>
  </si>
  <si>
    <t>2207-NPCC-AO-T-06469</t>
  </si>
  <si>
    <t>TR-UFFDP1-13-09656</t>
  </si>
  <si>
    <t>GM-60295-1174</t>
  </si>
  <si>
    <t>Accepted subject 
to comments</t>
  </si>
  <si>
    <t>2207-NPCC-AO-T-06550</t>
  </si>
  <si>
    <t>2207-NPCC-MWS-T-01037</t>
  </si>
  <si>
    <t>GM-60295-1194</t>
  </si>
  <si>
    <t>MOORING ANALYSIS DURING OLD BOAT LANDING REMOVAL AT WHT-6</t>
  </si>
  <si>
    <t>AD197-481-G-03918</t>
  </si>
  <si>
    <t>MOORING ANALYSIS DURING OLD BOAT LANDING REMOVAL AT WHT-4</t>
  </si>
  <si>
    <t>AD197-477-G-03919</t>
  </si>
  <si>
    <t>2207-NPCC-AO-T-06608</t>
  </si>
  <si>
    <t>2207-NPCC-AO-T-06605</t>
  </si>
  <si>
    <t>2207-NPCC-MWS-T-01048</t>
  </si>
  <si>
    <t>2207-NPCC-MWS-T-01049</t>
  </si>
  <si>
    <t>TR-UFFDP1-13-09876</t>
  </si>
  <si>
    <t>TR-UFFDP1-13-09936</t>
  </si>
  <si>
    <t>TR-UFFDP1-13-09937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</si>
</sst>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.00_-;\-* #,##0.00_-;_-* &quot;-&quot;??_-;_-@_-"/>
    <numFmt numFmtId="165" formatCode="General_)"/>
    <numFmt numFmtId="166" formatCode="[$-409]d\-mmm\-yy;@"/>
    <numFmt numFmtId="167" formatCode="[$-409]dd\-mmm\-yy;@"/>
    <numFmt numFmtId="168" formatCode="[$-409]d\-mmm\-yyyy;@"/>
  </numFmts>
  <fonts count="23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trike/>
      <sz val="8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0"/>
      <name val="Tms Rmn"/>
    </font>
    <font>
      <sz val="8"/>
      <color rgb="FF0070C0"/>
      <name val="Tahoma"/>
      <family val="2"/>
    </font>
    <font>
      <sz val="11"/>
      <name val="Calibri"/>
      <family val="2"/>
    </font>
    <font>
      <sz val="10"/>
      <name val="Calibri"/>
      <family val="2"/>
    </font>
    <font>
      <sz val="8"/>
      <color theme="1"/>
      <name val="Tahoma"/>
      <family val="2"/>
    </font>
    <font>
      <u/>
      <sz val="9"/>
      <color theme="10"/>
      <name val="Tms Rmn"/>
    </font>
    <font>
      <sz val="8"/>
      <color rgb="FF000000"/>
      <name val="Tahoma"/>
      <family val="2"/>
    </font>
    <font>
      <sz val="8"/>
      <color rgb="FF1F497D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165" fontId="0" fillId="0" borderId="0"/>
    <xf numFmtId="164" fontId="2" fillId="0" borderId="0" applyFont="0" applyFill="0" applyBorder="0" applyAlignment="0" applyProtection="0"/>
    <xf numFmtId="0" fontId="2" fillId="0" borderId="0"/>
    <xf numFmtId="165" fontId="12" fillId="0" borderId="0" applyNumberFormat="0" applyFill="0" applyBorder="0" applyAlignment="0" applyProtection="0"/>
    <xf numFmtId="0" fontId="1" fillId="0" borderId="0"/>
    <xf numFmtId="165" fontId="15" fillId="0" borderId="0"/>
    <xf numFmtId="164" fontId="2" fillId="0" borderId="0" applyFont="0" applyFill="0" applyBorder="0" applyAlignment="0" applyProtection="0"/>
  </cellStyleXfs>
  <cellXfs count="595">
    <xf numFmtId="165" fontId="0" fillId="0" borderId="0" xfId="0"/>
    <xf numFmtId="0" fontId="3" fillId="0" borderId="0" xfId="2" applyFont="1" applyFill="1" applyAlignment="1">
      <alignment horizontal="centerContinuous"/>
    </xf>
    <xf numFmtId="0" fontId="3" fillId="0" borderId="0" xfId="2" applyFont="1" applyFill="1"/>
    <xf numFmtId="0" fontId="6" fillId="0" borderId="4" xfId="2" applyFont="1" applyFill="1" applyBorder="1" applyAlignment="1">
      <alignment horizontal="centerContinuous" vertical="center"/>
    </xf>
    <xf numFmtId="166" fontId="6" fillId="0" borderId="4" xfId="2" applyNumberFormat="1" applyFont="1" applyFill="1" applyBorder="1" applyAlignment="1">
      <alignment horizontal="centerContinuous" vertical="center"/>
    </xf>
    <xf numFmtId="0" fontId="3" fillId="0" borderId="0" xfId="2" applyFont="1" applyFill="1" applyAlignment="1">
      <alignment vertical="center"/>
    </xf>
    <xf numFmtId="166" fontId="3" fillId="0" borderId="0" xfId="2" applyNumberFormat="1" applyFont="1" applyFill="1"/>
    <xf numFmtId="0" fontId="7" fillId="0" borderId="0" xfId="2" applyFont="1" applyFill="1" applyAlignment="1">
      <alignment vertical="center"/>
    </xf>
    <xf numFmtId="0" fontId="9" fillId="0" borderId="22" xfId="2" applyNumberFormat="1" applyFont="1" applyFill="1" applyBorder="1" applyAlignment="1">
      <alignment horizontal="center" vertical="center"/>
    </xf>
    <xf numFmtId="167" fontId="9" fillId="0" borderId="22" xfId="2" quotePrefix="1" applyNumberFormat="1" applyFont="1" applyFill="1" applyBorder="1" applyAlignment="1">
      <alignment horizontal="center" vertical="center"/>
    </xf>
    <xf numFmtId="0" fontId="5" fillId="0" borderId="25" xfId="2" applyFont="1" applyFill="1" applyBorder="1" applyAlignment="1">
      <alignment horizontal="center" vertical="center"/>
    </xf>
    <xf numFmtId="0" fontId="5" fillId="0" borderId="21" xfId="2" applyFont="1" applyFill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0" fontId="5" fillId="0" borderId="27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 wrapText="1"/>
    </xf>
    <xf numFmtId="0" fontId="5" fillId="0" borderId="22" xfId="2" applyFont="1" applyFill="1" applyBorder="1" applyAlignment="1">
      <alignment horizontal="center" vertical="center"/>
    </xf>
    <xf numFmtId="15" fontId="5" fillId="0" borderId="22" xfId="2" quotePrefix="1" applyNumberFormat="1" applyFont="1" applyFill="1" applyBorder="1" applyAlignment="1">
      <alignment horizontal="center" vertical="center"/>
    </xf>
    <xf numFmtId="0" fontId="5" fillId="0" borderId="22" xfId="2" applyNumberFormat="1" applyFont="1" applyFill="1" applyBorder="1" applyAlignment="1">
      <alignment horizontal="center" vertical="center"/>
    </xf>
    <xf numFmtId="167" fontId="5" fillId="0" borderId="22" xfId="2" applyNumberFormat="1" applyFont="1" applyFill="1" applyBorder="1" applyAlignment="1">
      <alignment horizontal="center" vertical="center"/>
    </xf>
    <xf numFmtId="14" fontId="8" fillId="0" borderId="28" xfId="2" quotePrefix="1" applyNumberFormat="1" applyFont="1" applyFill="1" applyBorder="1" applyAlignment="1">
      <alignment horizontal="center" vertical="center"/>
    </xf>
    <xf numFmtId="0" fontId="5" fillId="0" borderId="21" xfId="2" applyNumberFormat="1" applyFont="1" applyFill="1" applyBorder="1" applyAlignment="1">
      <alignment horizontal="center" vertical="center"/>
    </xf>
    <xf numFmtId="15" fontId="5" fillId="0" borderId="11" xfId="2" quotePrefix="1" applyNumberFormat="1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Continuous" vertical="center" wrapText="1"/>
    </xf>
    <xf numFmtId="0" fontId="5" fillId="0" borderId="22" xfId="2" applyFont="1" applyFill="1" applyBorder="1" applyAlignment="1">
      <alignment horizontal="left" vertical="center" wrapText="1"/>
    </xf>
    <xf numFmtId="0" fontId="5" fillId="2" borderId="22" xfId="2" applyFont="1" applyFill="1" applyBorder="1" applyAlignment="1">
      <alignment horizontal="left" vertical="center" wrapText="1"/>
    </xf>
    <xf numFmtId="167" fontId="5" fillId="0" borderId="22" xfId="2" quotePrefix="1" applyNumberFormat="1" applyFont="1" applyFill="1" applyBorder="1" applyAlignment="1">
      <alignment horizontal="center" vertical="center"/>
    </xf>
    <xf numFmtId="0" fontId="6" fillId="0" borderId="34" xfId="2" applyFont="1" applyFill="1" applyBorder="1" applyAlignment="1">
      <alignment horizontal="center" vertical="center"/>
    </xf>
    <xf numFmtId="0" fontId="6" fillId="3" borderId="20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Continuous" vertical="center"/>
    </xf>
    <xf numFmtId="166" fontId="6" fillId="3" borderId="4" xfId="2" applyNumberFormat="1" applyFont="1" applyFill="1" applyBorder="1" applyAlignment="1">
      <alignment horizontal="centerContinuous" vertical="center"/>
    </xf>
    <xf numFmtId="0" fontId="6" fillId="3" borderId="34" xfId="2" applyFont="1" applyFill="1" applyBorder="1" applyAlignment="1">
      <alignment horizontal="center" vertical="center"/>
    </xf>
    <xf numFmtId="15" fontId="5" fillId="3" borderId="11" xfId="2" quotePrefix="1" applyNumberFormat="1" applyFont="1" applyFill="1" applyBorder="1" applyAlignment="1">
      <alignment horizontal="center" vertical="center"/>
    </xf>
    <xf numFmtId="0" fontId="5" fillId="3" borderId="21" xfId="2" applyNumberFormat="1" applyFont="1" applyFill="1" applyBorder="1" applyAlignment="1">
      <alignment horizontal="center" vertical="center"/>
    </xf>
    <xf numFmtId="0" fontId="9" fillId="3" borderId="21" xfId="2" applyNumberFormat="1" applyFont="1" applyFill="1" applyBorder="1" applyAlignment="1">
      <alignment horizontal="center" vertical="center"/>
    </xf>
    <xf numFmtId="167" fontId="9" fillId="3" borderId="21" xfId="2" applyNumberFormat="1" applyFont="1" applyFill="1" applyBorder="1" applyAlignment="1">
      <alignment horizontal="center" vertical="center"/>
    </xf>
    <xf numFmtId="14" fontId="8" fillId="3" borderId="26" xfId="2" quotePrefix="1" applyNumberFormat="1" applyFont="1" applyFill="1" applyBorder="1" applyAlignment="1">
      <alignment horizontal="center" vertical="center"/>
    </xf>
    <xf numFmtId="15" fontId="5" fillId="3" borderId="22" xfId="2" quotePrefix="1" applyNumberFormat="1" applyFont="1" applyFill="1" applyBorder="1" applyAlignment="1">
      <alignment horizontal="center" vertical="center"/>
    </xf>
    <xf numFmtId="0" fontId="5" fillId="3" borderId="22" xfId="2" applyNumberFormat="1" applyFont="1" applyFill="1" applyBorder="1" applyAlignment="1">
      <alignment horizontal="center" vertical="center"/>
    </xf>
    <xf numFmtId="167" fontId="5" fillId="3" borderId="22" xfId="2" applyNumberFormat="1" applyFont="1" applyFill="1" applyBorder="1" applyAlignment="1">
      <alignment horizontal="center" vertical="center"/>
    </xf>
    <xf numFmtId="0" fontId="9" fillId="3" borderId="22" xfId="2" applyNumberFormat="1" applyFont="1" applyFill="1" applyBorder="1" applyAlignment="1">
      <alignment horizontal="center" vertical="center"/>
    </xf>
    <xf numFmtId="167" fontId="9" fillId="3" borderId="22" xfId="2" quotePrefix="1" applyNumberFormat="1" applyFont="1" applyFill="1" applyBorder="1" applyAlignment="1">
      <alignment horizontal="center" vertical="center"/>
    </xf>
    <xf numFmtId="14" fontId="8" fillId="3" borderId="28" xfId="2" quotePrefix="1" applyNumberFormat="1" applyFont="1" applyFill="1" applyBorder="1" applyAlignment="1">
      <alignment horizontal="center" vertical="center"/>
    </xf>
    <xf numFmtId="0" fontId="5" fillId="3" borderId="22" xfId="2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center" vertical="center"/>
    </xf>
    <xf numFmtId="167" fontId="5" fillId="3" borderId="22" xfId="2" quotePrefix="1" applyNumberFormat="1" applyFont="1" applyFill="1" applyBorder="1" applyAlignment="1">
      <alignment horizontal="center" vertical="center"/>
    </xf>
    <xf numFmtId="0" fontId="13" fillId="0" borderId="22" xfId="3" applyNumberFormat="1" applyFont="1" applyFill="1" applyBorder="1" applyAlignment="1">
      <alignment horizontal="center" vertical="center"/>
    </xf>
    <xf numFmtId="0" fontId="5" fillId="0" borderId="21" xfId="2" applyNumberFormat="1" applyFont="1" applyFill="1" applyBorder="1" applyAlignment="1">
      <alignment horizontal="center" vertical="center" wrapText="1"/>
    </xf>
    <xf numFmtId="0" fontId="9" fillId="0" borderId="22" xfId="2" applyNumberFormat="1" applyFont="1" applyFill="1" applyBorder="1" applyAlignment="1">
      <alignment horizontal="center" vertical="center" wrapText="1"/>
    </xf>
    <xf numFmtId="15" fontId="5" fillId="0" borderId="22" xfId="2" quotePrefix="1" applyNumberFormat="1" applyFont="1" applyFill="1" applyBorder="1" applyAlignment="1">
      <alignment horizontal="center" vertical="center" wrapText="1"/>
    </xf>
    <xf numFmtId="0" fontId="3" fillId="0" borderId="0" xfId="2" applyFont="1" applyFill="1" applyAlignment="1">
      <alignment wrapText="1"/>
    </xf>
    <xf numFmtId="167" fontId="5" fillId="0" borderId="21" xfId="2" applyNumberFormat="1" applyFont="1" applyFill="1" applyBorder="1" applyAlignment="1">
      <alignment horizontal="center" vertical="center"/>
    </xf>
    <xf numFmtId="0" fontId="5" fillId="0" borderId="22" xfId="2" applyNumberFormat="1" applyFont="1" applyFill="1" applyBorder="1" applyAlignment="1">
      <alignment horizontal="center" vertical="center" wrapText="1"/>
    </xf>
    <xf numFmtId="14" fontId="5" fillId="0" borderId="26" xfId="2" quotePrefix="1" applyNumberFormat="1" applyFont="1" applyFill="1" applyBorder="1" applyAlignment="1">
      <alignment horizontal="center" vertical="center" wrapText="1"/>
    </xf>
    <xf numFmtId="14" fontId="8" fillId="0" borderId="28" xfId="2" quotePrefix="1" applyNumberFormat="1" applyFont="1" applyFill="1" applyBorder="1" applyAlignment="1">
      <alignment horizontal="center" vertical="center" wrapText="1"/>
    </xf>
    <xf numFmtId="0" fontId="7" fillId="4" borderId="18" xfId="2" applyFont="1" applyFill="1" applyBorder="1" applyAlignment="1">
      <alignment vertical="center"/>
    </xf>
    <xf numFmtId="0" fontId="7" fillId="4" borderId="3" xfId="2" applyFont="1" applyFill="1" applyBorder="1" applyAlignment="1">
      <alignment vertical="center"/>
    </xf>
    <xf numFmtId="0" fontId="7" fillId="4" borderId="1" xfId="2" applyFont="1" applyFill="1" applyBorder="1" applyAlignment="1">
      <alignment vertical="center"/>
    </xf>
    <xf numFmtId="0" fontId="7" fillId="4" borderId="0" xfId="2" applyFont="1" applyFill="1" applyBorder="1" applyAlignment="1">
      <alignment vertical="center"/>
    </xf>
    <xf numFmtId="0" fontId="13" fillId="2" borderId="22" xfId="3" applyNumberFormat="1" applyFont="1" applyFill="1" applyBorder="1" applyAlignment="1">
      <alignment horizontal="center" vertical="center"/>
    </xf>
    <xf numFmtId="0" fontId="5" fillId="2" borderId="22" xfId="2" applyFont="1" applyFill="1" applyBorder="1" applyAlignment="1">
      <alignment horizontal="center" vertical="center" wrapText="1"/>
    </xf>
    <xf numFmtId="15" fontId="5" fillId="0" borderId="22" xfId="2" quotePrefix="1" applyNumberFormat="1" applyFont="1" applyFill="1" applyBorder="1" applyAlignment="1">
      <alignment horizontal="center" vertical="center"/>
    </xf>
    <xf numFmtId="15" fontId="5" fillId="0" borderId="11" xfId="2" quotePrefix="1" applyNumberFormat="1" applyFont="1" applyFill="1" applyBorder="1" applyAlignment="1">
      <alignment horizontal="center" vertical="center"/>
    </xf>
    <xf numFmtId="0" fontId="16" fillId="0" borderId="22" xfId="2" applyNumberFormat="1" applyFont="1" applyFill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167" fontId="13" fillId="0" borderId="22" xfId="3" quotePrefix="1" applyNumberFormat="1" applyFont="1" applyFill="1" applyBorder="1" applyAlignment="1">
      <alignment horizontal="center" vertical="center"/>
    </xf>
    <xf numFmtId="0" fontId="16" fillId="0" borderId="22" xfId="2" applyNumberFormat="1" applyFont="1" applyFill="1" applyBorder="1" applyAlignment="1">
      <alignment horizontal="center" vertical="center"/>
    </xf>
    <xf numFmtId="14" fontId="5" fillId="0" borderId="28" xfId="2" quotePrefix="1" applyNumberFormat="1" applyFont="1" applyFill="1" applyBorder="1" applyAlignment="1">
      <alignment horizontal="center" vertical="center" wrapText="1"/>
    </xf>
    <xf numFmtId="14" fontId="5" fillId="0" borderId="41" xfId="2" quotePrefix="1" applyNumberFormat="1" applyFont="1" applyFill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 wrapText="1"/>
    </xf>
    <xf numFmtId="14" fontId="5" fillId="0" borderId="28" xfId="2" quotePrefix="1" applyNumberFormat="1" applyFont="1" applyFill="1" applyBorder="1" applyAlignment="1">
      <alignment horizontal="center" vertical="center"/>
    </xf>
    <xf numFmtId="167" fontId="13" fillId="0" borderId="22" xfId="3" applyNumberFormat="1" applyFont="1" applyFill="1" applyBorder="1" applyAlignment="1">
      <alignment horizontal="center" vertical="center"/>
    </xf>
    <xf numFmtId="0" fontId="5" fillId="0" borderId="11" xfId="2" quotePrefix="1" applyNumberFormat="1" applyFont="1" applyFill="1" applyBorder="1" applyAlignment="1" applyProtection="1">
      <alignment horizontal="center" vertical="center"/>
      <protection locked="0"/>
    </xf>
    <xf numFmtId="0" fontId="5" fillId="0" borderId="11" xfId="2" quotePrefix="1" applyNumberFormat="1" applyFont="1" applyFill="1" applyBorder="1" applyAlignment="1" applyProtection="1">
      <alignment horizontal="center" vertical="center"/>
      <protection hidden="1"/>
    </xf>
    <xf numFmtId="0" fontId="5" fillId="0" borderId="11" xfId="2" quotePrefix="1" applyNumberFormat="1" applyFont="1" applyFill="1" applyBorder="1" applyAlignment="1" applyProtection="1">
      <alignment horizontal="center" vertical="center"/>
    </xf>
    <xf numFmtId="0" fontId="7" fillId="4" borderId="18" xfId="2" applyFont="1" applyFill="1" applyBorder="1" applyAlignment="1" applyProtection="1">
      <alignment vertical="center"/>
    </xf>
    <xf numFmtId="0" fontId="7" fillId="4" borderId="3" xfId="2" applyFont="1" applyFill="1" applyBorder="1" applyAlignment="1" applyProtection="1">
      <alignment vertical="center"/>
    </xf>
    <xf numFmtId="0" fontId="7" fillId="0" borderId="3" xfId="2" applyFont="1" applyBorder="1" applyAlignment="1" applyProtection="1">
      <alignment horizontal="center" vertical="center"/>
    </xf>
    <xf numFmtId="0" fontId="7" fillId="0" borderId="0" xfId="2" applyFont="1" applyFill="1" applyAlignment="1" applyProtection="1">
      <alignment vertical="center"/>
    </xf>
    <xf numFmtId="0" fontId="7" fillId="4" borderId="1" xfId="2" applyFont="1" applyFill="1" applyBorder="1" applyAlignment="1" applyProtection="1">
      <alignment vertical="center"/>
    </xf>
    <xf numFmtId="0" fontId="7" fillId="4" borderId="0" xfId="2" applyFont="1" applyFill="1" applyBorder="1" applyAlignment="1" applyProtection="1">
      <alignment vertical="center"/>
    </xf>
    <xf numFmtId="0" fontId="7" fillId="0" borderId="0" xfId="2" applyFont="1" applyBorder="1" applyAlignment="1" applyProtection="1">
      <alignment horizontal="center" vertical="center"/>
    </xf>
    <xf numFmtId="0" fontId="7" fillId="0" borderId="0" xfId="2" applyFont="1" applyFill="1" applyBorder="1" applyAlignment="1" applyProtection="1">
      <alignment horizontal="center" vertical="center"/>
    </xf>
    <xf numFmtId="0" fontId="7" fillId="0" borderId="32" xfId="2" applyFont="1" applyFill="1" applyBorder="1" applyAlignment="1" applyProtection="1">
      <alignment horizontal="center" vertical="center"/>
    </xf>
    <xf numFmtId="0" fontId="6" fillId="0" borderId="20" xfId="2" applyFont="1" applyFill="1" applyBorder="1" applyAlignment="1" applyProtection="1">
      <alignment horizontal="center" vertical="center" wrapText="1"/>
    </xf>
    <xf numFmtId="0" fontId="6" fillId="3" borderId="20" xfId="2" applyFont="1" applyFill="1" applyBorder="1" applyAlignment="1" applyProtection="1">
      <alignment horizontal="center" vertical="center" wrapText="1"/>
    </xf>
    <xf numFmtId="0" fontId="5" fillId="0" borderId="0" xfId="2" applyFont="1" applyFill="1" applyAlignment="1" applyProtection="1">
      <alignment vertical="center" wrapText="1"/>
    </xf>
    <xf numFmtId="0" fontId="6" fillId="0" borderId="4" xfId="2" applyFont="1" applyFill="1" applyBorder="1" applyAlignment="1" applyProtection="1">
      <alignment horizontal="centerContinuous" vertical="center" wrapText="1"/>
    </xf>
    <xf numFmtId="166" fontId="6" fillId="0" borderId="4" xfId="2" applyNumberFormat="1" applyFont="1" applyFill="1" applyBorder="1" applyAlignment="1" applyProtection="1">
      <alignment horizontal="centerContinuous" vertical="center" wrapText="1"/>
    </xf>
    <xf numFmtId="0" fontId="6" fillId="0" borderId="34" xfId="2" applyFont="1" applyFill="1" applyBorder="1" applyAlignment="1" applyProtection="1">
      <alignment vertical="center" wrapText="1"/>
    </xf>
    <xf numFmtId="0" fontId="6" fillId="3" borderId="4" xfId="2" applyFont="1" applyFill="1" applyBorder="1" applyAlignment="1" applyProtection="1">
      <alignment horizontal="centerContinuous" vertical="center"/>
    </xf>
    <xf numFmtId="166" fontId="6" fillId="3" borderId="4" xfId="2" applyNumberFormat="1" applyFont="1" applyFill="1" applyBorder="1" applyAlignment="1" applyProtection="1">
      <alignment horizontal="centerContinuous" vertical="center"/>
    </xf>
    <xf numFmtId="0" fontId="6" fillId="3" borderId="34" xfId="2" applyFont="1" applyFill="1" applyBorder="1" applyAlignment="1" applyProtection="1">
      <alignment horizontal="center" vertical="center"/>
    </xf>
    <xf numFmtId="0" fontId="5" fillId="0" borderId="16" xfId="2" applyFont="1" applyFill="1" applyBorder="1" applyAlignment="1" applyProtection="1">
      <alignment horizontal="center" vertical="center"/>
    </xf>
    <xf numFmtId="0" fontId="5" fillId="2" borderId="11" xfId="0" applyNumberFormat="1" applyFont="1" applyFill="1" applyBorder="1" applyAlignment="1" applyProtection="1">
      <alignment horizontal="left" vertical="center" wrapText="1"/>
    </xf>
    <xf numFmtId="0" fontId="5" fillId="0" borderId="11" xfId="0" applyNumberFormat="1" applyFont="1" applyBorder="1" applyAlignment="1" applyProtection="1">
      <alignment horizontal="center" vertical="center" wrapText="1"/>
    </xf>
    <xf numFmtId="0" fontId="5" fillId="0" borderId="35" xfId="0" applyNumberFormat="1" applyFont="1" applyBorder="1" applyAlignment="1" applyProtection="1">
      <alignment horizontal="center" vertical="center" wrapText="1"/>
    </xf>
    <xf numFmtId="0" fontId="13" fillId="0" borderId="11" xfId="3" applyNumberFormat="1" applyFont="1" applyFill="1" applyBorder="1" applyAlignment="1" applyProtection="1">
      <alignment horizontal="center" vertical="center"/>
    </xf>
    <xf numFmtId="0" fontId="5" fillId="0" borderId="44" xfId="2" applyNumberFormat="1" applyFont="1" applyFill="1" applyBorder="1" applyAlignment="1" applyProtection="1">
      <alignment horizontal="center" vertical="center"/>
    </xf>
    <xf numFmtId="15" fontId="5" fillId="0" borderId="11" xfId="2" quotePrefix="1" applyNumberFormat="1" applyFont="1" applyFill="1" applyBorder="1" applyAlignment="1" applyProtection="1">
      <alignment horizontal="center" vertical="center"/>
    </xf>
    <xf numFmtId="0" fontId="5" fillId="0" borderId="21" xfId="2" applyNumberFormat="1" applyFont="1" applyFill="1" applyBorder="1" applyAlignment="1" applyProtection="1">
      <alignment horizontal="center" vertical="center"/>
    </xf>
    <xf numFmtId="0" fontId="9" fillId="0" borderId="11" xfId="2" applyNumberFormat="1" applyFont="1" applyFill="1" applyBorder="1" applyAlignment="1" applyProtection="1">
      <alignment horizontal="center" vertical="center"/>
    </xf>
    <xf numFmtId="167" fontId="9" fillId="0" borderId="11" xfId="2" applyNumberFormat="1" applyFont="1" applyFill="1" applyBorder="1" applyAlignment="1" applyProtection="1">
      <alignment horizontal="center" vertical="center"/>
    </xf>
    <xf numFmtId="165" fontId="14" fillId="0" borderId="20" xfId="0" applyFont="1" applyBorder="1" applyAlignment="1" applyProtection="1">
      <alignment horizontal="center" vertical="center"/>
    </xf>
    <xf numFmtId="167" fontId="5" fillId="0" borderId="11" xfId="2" applyNumberFormat="1" applyFont="1" applyFill="1" applyBorder="1" applyAlignment="1" applyProtection="1">
      <alignment horizontal="center" vertical="center"/>
    </xf>
    <xf numFmtId="0" fontId="16" fillId="0" borderId="11" xfId="2" applyNumberFormat="1" applyFont="1" applyFill="1" applyBorder="1" applyAlignment="1" applyProtection="1">
      <alignment horizontal="center" vertical="center"/>
    </xf>
    <xf numFmtId="14" fontId="5" fillId="0" borderId="12" xfId="2" quotePrefix="1" applyNumberFormat="1" applyFont="1" applyFill="1" applyBorder="1" applyAlignment="1" applyProtection="1">
      <alignment horizontal="center" vertical="center"/>
    </xf>
    <xf numFmtId="15" fontId="5" fillId="3" borderId="11" xfId="2" quotePrefix="1" applyNumberFormat="1" applyFont="1" applyFill="1" applyBorder="1" applyAlignment="1" applyProtection="1">
      <alignment horizontal="center" vertical="center"/>
    </xf>
    <xf numFmtId="0" fontId="5" fillId="3" borderId="21" xfId="2" applyNumberFormat="1" applyFont="1" applyFill="1" applyBorder="1" applyAlignment="1" applyProtection="1">
      <alignment horizontal="center" vertical="center"/>
    </xf>
    <xf numFmtId="0" fontId="9" fillId="3" borderId="21" xfId="2" applyNumberFormat="1" applyFont="1" applyFill="1" applyBorder="1" applyAlignment="1" applyProtection="1">
      <alignment horizontal="center" vertical="center"/>
    </xf>
    <xf numFmtId="167" fontId="9" fillId="3" borderId="21" xfId="2" applyNumberFormat="1" applyFont="1" applyFill="1" applyBorder="1" applyAlignment="1" applyProtection="1">
      <alignment horizontal="center" vertical="center"/>
    </xf>
    <xf numFmtId="14" fontId="8" fillId="3" borderId="26" xfId="2" quotePrefix="1" applyNumberFormat="1" applyFont="1" applyFill="1" applyBorder="1" applyAlignment="1" applyProtection="1">
      <alignment horizontal="center" vertical="center"/>
    </xf>
    <xf numFmtId="0" fontId="5" fillId="0" borderId="0" xfId="2" applyFont="1" applyFill="1" applyAlignment="1" applyProtection="1">
      <alignment vertical="center"/>
    </xf>
    <xf numFmtId="0" fontId="13" fillId="0" borderId="22" xfId="3" applyNumberFormat="1" applyFont="1" applyFill="1" applyBorder="1" applyAlignment="1" applyProtection="1">
      <alignment horizontal="center" vertical="center"/>
    </xf>
    <xf numFmtId="0" fontId="5" fillId="0" borderId="11" xfId="2" applyNumberFormat="1" applyFont="1" applyFill="1" applyBorder="1" applyAlignment="1" applyProtection="1">
      <alignment horizontal="center" vertical="center"/>
    </xf>
    <xf numFmtId="0" fontId="9" fillId="0" borderId="35" xfId="2" applyNumberFormat="1" applyFont="1" applyFill="1" applyBorder="1" applyAlignment="1" applyProtection="1">
      <alignment horizontal="center" vertical="center"/>
    </xf>
    <xf numFmtId="165" fontId="14" fillId="0" borderId="22" xfId="0" applyFont="1" applyBorder="1" applyAlignment="1" applyProtection="1">
      <alignment horizontal="center" vertical="center"/>
    </xf>
    <xf numFmtId="15" fontId="5" fillId="0" borderId="44" xfId="2" quotePrefix="1" applyNumberFormat="1" applyFont="1" applyFill="1" applyBorder="1" applyAlignment="1" applyProtection="1">
      <alignment horizontal="center" vertical="center"/>
    </xf>
    <xf numFmtId="15" fontId="5" fillId="3" borderId="22" xfId="2" quotePrefix="1" applyNumberFormat="1" applyFont="1" applyFill="1" applyBorder="1" applyAlignment="1" applyProtection="1">
      <alignment horizontal="center" vertical="center"/>
    </xf>
    <xf numFmtId="0" fontId="5" fillId="3" borderId="22" xfId="2" applyNumberFormat="1" applyFont="1" applyFill="1" applyBorder="1" applyAlignment="1" applyProtection="1">
      <alignment horizontal="center" vertical="center"/>
    </xf>
    <xf numFmtId="167" fontId="5" fillId="3" borderId="22" xfId="2" applyNumberFormat="1" applyFont="1" applyFill="1" applyBorder="1" applyAlignment="1" applyProtection="1">
      <alignment horizontal="center" vertical="center"/>
    </xf>
    <xf numFmtId="0" fontId="9" fillId="3" borderId="22" xfId="2" applyNumberFormat="1" applyFont="1" applyFill="1" applyBorder="1" applyAlignment="1" applyProtection="1">
      <alignment horizontal="center" vertical="center"/>
    </xf>
    <xf numFmtId="167" fontId="9" fillId="3" borderId="22" xfId="2" quotePrefix="1" applyNumberFormat="1" applyFont="1" applyFill="1" applyBorder="1" applyAlignment="1" applyProtection="1">
      <alignment horizontal="center" vertical="center"/>
    </xf>
    <xf numFmtId="14" fontId="8" fillId="3" borderId="28" xfId="2" quotePrefix="1" applyNumberFormat="1" applyFont="1" applyFill="1" applyBorder="1" applyAlignment="1" applyProtection="1">
      <alignment horizontal="center" vertical="center"/>
    </xf>
    <xf numFmtId="14" fontId="5" fillId="0" borderId="22" xfId="2" quotePrefix="1" applyNumberFormat="1" applyFont="1" applyFill="1" applyBorder="1" applyAlignment="1" applyProtection="1">
      <alignment horizontal="center" vertical="center"/>
    </xf>
    <xf numFmtId="15" fontId="11" fillId="0" borderId="11" xfId="2" quotePrefix="1" applyNumberFormat="1" applyFont="1" applyFill="1" applyBorder="1" applyAlignment="1" applyProtection="1">
      <alignment horizontal="center" vertical="center"/>
    </xf>
    <xf numFmtId="0" fontId="11" fillId="0" borderId="22" xfId="2" applyNumberFormat="1" applyFont="1" applyFill="1" applyBorder="1" applyAlignment="1" applyProtection="1">
      <alignment horizontal="center" vertical="center"/>
    </xf>
    <xf numFmtId="167" fontId="11" fillId="0" borderId="11" xfId="2" applyNumberFormat="1" applyFont="1" applyFill="1" applyBorder="1" applyAlignment="1" applyProtection="1">
      <alignment horizontal="center" vertical="center"/>
    </xf>
    <xf numFmtId="0" fontId="11" fillId="0" borderId="11" xfId="2" applyNumberFormat="1" applyFont="1" applyFill="1" applyBorder="1" applyAlignment="1" applyProtection="1">
      <alignment horizontal="center" vertical="center"/>
    </xf>
    <xf numFmtId="0" fontId="11" fillId="0" borderId="35" xfId="2" applyNumberFormat="1" applyFont="1" applyFill="1" applyBorder="1" applyAlignment="1" applyProtection="1">
      <alignment horizontal="center" vertical="center"/>
    </xf>
    <xf numFmtId="0" fontId="11" fillId="0" borderId="44" xfId="2" applyNumberFormat="1" applyFont="1" applyFill="1" applyBorder="1" applyAlignment="1" applyProtection="1">
      <alignment horizontal="center" vertical="center"/>
    </xf>
    <xf numFmtId="0" fontId="5" fillId="0" borderId="22" xfId="2" applyNumberFormat="1" applyFont="1" applyFill="1" applyBorder="1" applyAlignment="1" applyProtection="1">
      <alignment horizontal="center" vertical="center"/>
    </xf>
    <xf numFmtId="0" fontId="5" fillId="0" borderId="35" xfId="2" applyNumberFormat="1" applyFont="1" applyFill="1" applyBorder="1" applyAlignment="1" applyProtection="1">
      <alignment horizontal="center" vertical="center"/>
    </xf>
    <xf numFmtId="0" fontId="12" fillId="0" borderId="11" xfId="3" applyNumberFormat="1" applyFill="1" applyBorder="1" applyAlignment="1" applyProtection="1">
      <alignment horizontal="center" vertical="center"/>
    </xf>
    <xf numFmtId="0" fontId="5" fillId="0" borderId="44" xfId="0" applyNumberFormat="1" applyFont="1" applyBorder="1" applyAlignment="1" applyProtection="1">
      <alignment horizontal="center" vertical="center" wrapText="1"/>
    </xf>
    <xf numFmtId="166" fontId="5" fillId="0" borderId="11" xfId="2" quotePrefix="1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Border="1" applyAlignment="1" applyProtection="1">
      <alignment horizontal="left" vertical="center" wrapText="1"/>
    </xf>
    <xf numFmtId="0" fontId="5" fillId="0" borderId="22" xfId="2" applyFont="1" applyFill="1" applyBorder="1" applyAlignment="1" applyProtection="1">
      <alignment horizontal="center" vertical="center"/>
    </xf>
    <xf numFmtId="167" fontId="5" fillId="0" borderId="22" xfId="2" applyNumberFormat="1" applyFont="1" applyFill="1" applyBorder="1" applyAlignment="1" applyProtection="1">
      <alignment horizontal="center" vertical="center"/>
    </xf>
    <xf numFmtId="0" fontId="5" fillId="3" borderId="22" xfId="2" applyFont="1" applyFill="1" applyBorder="1" applyAlignment="1" applyProtection="1">
      <alignment horizontal="center" vertical="center" wrapText="1"/>
    </xf>
    <xf numFmtId="0" fontId="5" fillId="3" borderId="22" xfId="2" applyFont="1" applyFill="1" applyBorder="1" applyAlignment="1" applyProtection="1">
      <alignment horizontal="center" vertical="center"/>
    </xf>
    <xf numFmtId="167" fontId="5" fillId="3" borderId="22" xfId="2" quotePrefix="1" applyNumberFormat="1" applyFont="1" applyFill="1" applyBorder="1" applyAlignment="1" applyProtection="1">
      <alignment horizontal="center" vertical="center"/>
    </xf>
    <xf numFmtId="0" fontId="3" fillId="0" borderId="0" xfId="2" applyFont="1" applyFill="1" applyAlignment="1" applyProtection="1">
      <alignment horizontal="centerContinuous"/>
    </xf>
    <xf numFmtId="0" fontId="3" fillId="0" borderId="0" xfId="2" applyFont="1" applyFill="1" applyProtection="1"/>
    <xf numFmtId="166" fontId="3" fillId="0" borderId="0" xfId="2" applyNumberFormat="1" applyFont="1" applyFill="1" applyProtection="1"/>
    <xf numFmtId="15" fontId="5" fillId="0" borderId="22" xfId="2" quotePrefix="1" applyNumberFormat="1" applyFont="1" applyFill="1" applyBorder="1" applyAlignment="1" applyProtection="1">
      <alignment horizontal="center" vertical="center"/>
    </xf>
    <xf numFmtId="167" fontId="13" fillId="0" borderId="22" xfId="3" applyNumberFormat="1" applyFont="1" applyFill="1" applyBorder="1" applyAlignment="1" applyProtection="1">
      <alignment horizontal="center" vertical="center"/>
    </xf>
    <xf numFmtId="167" fontId="5" fillId="0" borderId="22" xfId="2" quotePrefix="1" applyNumberFormat="1" applyFont="1" applyFill="1" applyBorder="1" applyAlignment="1" applyProtection="1">
      <alignment horizontal="center" vertical="center"/>
    </xf>
    <xf numFmtId="0" fontId="5" fillId="2" borderId="22" xfId="0" applyNumberFormat="1" applyFont="1" applyFill="1" applyBorder="1" applyAlignment="1" applyProtection="1">
      <alignment horizontal="left" vertical="center" wrapText="1"/>
    </xf>
    <xf numFmtId="0" fontId="5" fillId="0" borderId="22" xfId="0" applyNumberFormat="1" applyFont="1" applyBorder="1" applyAlignment="1" applyProtection="1">
      <alignment horizontal="center" vertical="center" wrapText="1"/>
    </xf>
    <xf numFmtId="0" fontId="3" fillId="0" borderId="0" xfId="2" applyFont="1" applyFill="1" applyBorder="1" applyAlignment="1" applyProtection="1">
      <alignment horizontal="centerContinuous"/>
    </xf>
    <xf numFmtId="0" fontId="5" fillId="0" borderId="0" xfId="2" applyFont="1" applyFill="1" applyProtection="1"/>
    <xf numFmtId="0" fontId="5" fillId="0" borderId="11" xfId="2" applyNumberFormat="1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22" xfId="2" quotePrefix="1" applyNumberFormat="1" applyFont="1" applyFill="1" applyBorder="1" applyAlignment="1" applyProtection="1">
      <alignment horizontal="center" vertical="center"/>
      <protection hidden="1"/>
    </xf>
    <xf numFmtId="0" fontId="11" fillId="2" borderId="22" xfId="2" applyFont="1" applyFill="1" applyBorder="1" applyAlignment="1">
      <alignment horizontal="left" vertical="center" wrapText="1"/>
    </xf>
    <xf numFmtId="0" fontId="11" fillId="0" borderId="22" xfId="2" applyFont="1" applyFill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165" fontId="17" fillId="0" borderId="0" xfId="0" applyFont="1"/>
    <xf numFmtId="167" fontId="5" fillId="0" borderId="11" xfId="2" quotePrefix="1" applyNumberFormat="1" applyFont="1" applyFill="1" applyBorder="1" applyAlignment="1" applyProtection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14" fontId="5" fillId="0" borderId="35" xfId="2" quotePrefix="1" applyNumberFormat="1" applyFont="1" applyFill="1" applyBorder="1" applyAlignment="1">
      <alignment horizontal="center" vertical="center" wrapText="1"/>
    </xf>
    <xf numFmtId="167" fontId="5" fillId="0" borderId="11" xfId="2" quotePrefix="1" applyNumberFormat="1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3" borderId="11" xfId="2" applyNumberFormat="1" applyFont="1" applyFill="1" applyBorder="1" applyAlignment="1">
      <alignment horizontal="center" vertical="center"/>
    </xf>
    <xf numFmtId="0" fontId="9" fillId="3" borderId="11" xfId="2" applyNumberFormat="1" applyFont="1" applyFill="1" applyBorder="1" applyAlignment="1">
      <alignment horizontal="center" vertical="center"/>
    </xf>
    <xf numFmtId="167" fontId="9" fillId="3" borderId="11" xfId="2" applyNumberFormat="1" applyFont="1" applyFill="1" applyBorder="1" applyAlignment="1">
      <alignment horizontal="center" vertical="center"/>
    </xf>
    <xf numFmtId="14" fontId="8" fillId="3" borderId="12" xfId="2" quotePrefix="1" applyNumberFormat="1" applyFont="1" applyFill="1" applyBorder="1" applyAlignment="1">
      <alignment horizontal="center" vertical="center"/>
    </xf>
    <xf numFmtId="14" fontId="5" fillId="0" borderId="12" xfId="2" quotePrefix="1" applyNumberFormat="1" applyFont="1" applyFill="1" applyBorder="1" applyAlignment="1" applyProtection="1">
      <alignment horizontal="center" vertical="center" wrapText="1"/>
    </xf>
    <xf numFmtId="0" fontId="5" fillId="0" borderId="11" xfId="2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13" fillId="0" borderId="22" xfId="3" applyNumberFormat="1" applyFont="1" applyFill="1" applyBorder="1" applyAlignment="1">
      <alignment horizontal="center" vertical="center" wrapText="1"/>
    </xf>
    <xf numFmtId="167" fontId="5" fillId="0" borderId="11" xfId="2" applyNumberFormat="1" applyFont="1" applyFill="1" applyBorder="1" applyAlignment="1">
      <alignment horizontal="center" vertical="center"/>
    </xf>
    <xf numFmtId="15" fontId="5" fillId="0" borderId="31" xfId="2" quotePrefix="1" applyNumberFormat="1" applyFont="1" applyFill="1" applyBorder="1" applyAlignment="1">
      <alignment horizontal="center" vertical="center"/>
    </xf>
    <xf numFmtId="14" fontId="5" fillId="0" borderId="21" xfId="2" quotePrefix="1" applyNumberFormat="1" applyFont="1" applyFill="1" applyBorder="1" applyAlignment="1">
      <alignment horizontal="center" vertical="center" wrapText="1"/>
    </xf>
    <xf numFmtId="14" fontId="5" fillId="0" borderId="22" xfId="2" quotePrefix="1" applyNumberFormat="1" applyFont="1" applyFill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16" fillId="0" borderId="11" xfId="2" applyNumberFormat="1" applyFont="1" applyFill="1" applyBorder="1" applyAlignment="1">
      <alignment horizontal="center" vertical="center"/>
    </xf>
    <xf numFmtId="167" fontId="13" fillId="0" borderId="22" xfId="3" applyNumberFormat="1" applyFont="1" applyFill="1" applyBorder="1" applyAlignment="1" applyProtection="1">
      <alignment horizontal="center" vertical="center" wrapText="1"/>
    </xf>
    <xf numFmtId="14" fontId="5" fillId="0" borderId="28" xfId="2" quotePrefix="1" applyNumberFormat="1" applyFont="1" applyFill="1" applyBorder="1" applyAlignment="1" applyProtection="1">
      <alignment horizontal="center" vertical="center" wrapText="1"/>
    </xf>
    <xf numFmtId="0" fontId="5" fillId="0" borderId="12" xfId="2" quotePrefix="1" applyNumberFormat="1" applyFont="1" applyFill="1" applyBorder="1" applyAlignment="1" applyProtection="1">
      <alignment horizontal="center" vertical="center"/>
      <protection locked="0"/>
    </xf>
    <xf numFmtId="0" fontId="5" fillId="0" borderId="11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5" fillId="0" borderId="22" xfId="0" applyNumberFormat="1" applyFont="1" applyBorder="1" applyAlignment="1" applyProtection="1">
      <alignment horizontal="center" vertical="center" wrapText="1"/>
    </xf>
    <xf numFmtId="167" fontId="5" fillId="2" borderId="11" xfId="2" applyNumberFormat="1" applyFont="1" applyFill="1" applyBorder="1" applyAlignment="1" applyProtection="1">
      <alignment horizontal="center" vertical="center"/>
    </xf>
    <xf numFmtId="14" fontId="5" fillId="0" borderId="5" xfId="2" quotePrefix="1" applyNumberFormat="1" applyFont="1" applyFill="1" applyBorder="1" applyAlignment="1" applyProtection="1">
      <alignment horizontal="center" vertical="center"/>
    </xf>
    <xf numFmtId="0" fontId="5" fillId="0" borderId="22" xfId="2" quotePrefix="1" applyNumberFormat="1" applyFont="1" applyFill="1" applyBorder="1" applyAlignment="1" applyProtection="1">
      <alignment horizontal="center" vertical="center"/>
      <protection locked="0"/>
    </xf>
    <xf numFmtId="0" fontId="9" fillId="0" borderId="22" xfId="2" applyNumberFormat="1" applyFont="1" applyFill="1" applyBorder="1" applyAlignment="1" applyProtection="1">
      <alignment horizontal="center" vertical="center"/>
    </xf>
    <xf numFmtId="167" fontId="9" fillId="0" borderId="22" xfId="2" applyNumberFormat="1" applyFont="1" applyFill="1" applyBorder="1" applyAlignment="1" applyProtection="1">
      <alignment horizontal="center" vertical="center"/>
    </xf>
    <xf numFmtId="14" fontId="5" fillId="0" borderId="28" xfId="2" quotePrefix="1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horizontal="left" vertical="center" wrapText="1"/>
    </xf>
    <xf numFmtId="0" fontId="5" fillId="0" borderId="49" xfId="2" applyFont="1" applyFill="1" applyBorder="1" applyAlignment="1" applyProtection="1">
      <alignment horizontal="center" vertical="center"/>
    </xf>
    <xf numFmtId="0" fontId="5" fillId="2" borderId="22" xfId="2" applyNumberFormat="1" applyFont="1" applyFill="1" applyBorder="1" applyAlignment="1" applyProtection="1">
      <alignment horizontal="center" vertical="center"/>
    </xf>
    <xf numFmtId="15" fontId="5" fillId="0" borderId="22" xfId="2" quotePrefix="1" applyNumberFormat="1" applyFont="1" applyFill="1" applyBorder="1" applyAlignment="1" applyProtection="1">
      <alignment horizontal="center" vertical="center" wrapText="1"/>
    </xf>
    <xf numFmtId="0" fontId="13" fillId="5" borderId="22" xfId="3" applyNumberFormat="1" applyFont="1" applyFill="1" applyBorder="1" applyAlignment="1">
      <alignment horizontal="center" vertical="center"/>
    </xf>
    <xf numFmtId="0" fontId="9" fillId="2" borderId="22" xfId="2" applyNumberFormat="1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5" fillId="0" borderId="22" xfId="0" applyNumberFormat="1" applyFont="1" applyBorder="1" applyAlignment="1" applyProtection="1">
      <alignment horizontal="center" vertical="center" wrapText="1"/>
    </xf>
    <xf numFmtId="0" fontId="5" fillId="0" borderId="22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0" fontId="9" fillId="0" borderId="22" xfId="2" applyFont="1" applyFill="1" applyBorder="1" applyAlignment="1">
      <alignment horizontal="center" vertical="center"/>
    </xf>
    <xf numFmtId="0" fontId="5" fillId="0" borderId="44" xfId="2" applyFont="1" applyFill="1" applyBorder="1" applyAlignment="1" applyProtection="1">
      <alignment horizontal="center" vertical="center"/>
    </xf>
    <xf numFmtId="166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35" xfId="0" applyNumberFormat="1" applyFont="1" applyFill="1" applyBorder="1" applyAlignment="1" applyProtection="1">
      <alignment horizontal="center" vertical="center" wrapText="1"/>
    </xf>
    <xf numFmtId="0" fontId="5" fillId="6" borderId="11" xfId="0" applyNumberFormat="1" applyFont="1" applyFill="1" applyBorder="1" applyAlignment="1" applyProtection="1">
      <alignment horizontal="left" vertical="center" wrapText="1"/>
    </xf>
    <xf numFmtId="15" fontId="5" fillId="6" borderId="11" xfId="2" quotePrefix="1" applyNumberFormat="1" applyFont="1" applyFill="1" applyBorder="1" applyAlignment="1" applyProtection="1">
      <alignment horizontal="center" vertical="center"/>
    </xf>
    <xf numFmtId="15" fontId="5" fillId="6" borderId="22" xfId="2" quotePrefix="1" applyNumberFormat="1" applyFont="1" applyFill="1" applyBorder="1" applyAlignment="1" applyProtection="1">
      <alignment horizontal="center" vertical="center"/>
    </xf>
    <xf numFmtId="0" fontId="11" fillId="0" borderId="22" xfId="2" applyFont="1" applyFill="1" applyBorder="1" applyAlignment="1">
      <alignment horizontal="left" vertical="center" wrapText="1"/>
    </xf>
    <xf numFmtId="0" fontId="5" fillId="0" borderId="22" xfId="0" applyNumberFormat="1" applyFont="1" applyBorder="1" applyAlignment="1" applyProtection="1">
      <alignment horizontal="center" vertical="center" wrapText="1"/>
    </xf>
    <xf numFmtId="0" fontId="5" fillId="0" borderId="22" xfId="0" applyNumberFormat="1" applyFont="1" applyBorder="1" applyAlignment="1" applyProtection="1">
      <alignment horizontal="left" vertical="center" wrapText="1"/>
    </xf>
    <xf numFmtId="0" fontId="11" fillId="2" borderId="22" xfId="0" applyNumberFormat="1" applyFont="1" applyFill="1" applyBorder="1" applyAlignment="1" applyProtection="1">
      <alignment horizontal="left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2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center" vertical="center"/>
    </xf>
    <xf numFmtId="167" fontId="5" fillId="2" borderId="22" xfId="2" applyNumberFormat="1" applyFont="1" applyFill="1" applyBorder="1" applyAlignment="1">
      <alignment horizontal="center" vertical="center"/>
    </xf>
    <xf numFmtId="167" fontId="5" fillId="2" borderId="11" xfId="2" applyNumberFormat="1" applyFont="1" applyFill="1" applyBorder="1" applyAlignment="1">
      <alignment horizontal="center" vertical="center"/>
    </xf>
    <xf numFmtId="15" fontId="5" fillId="2" borderId="22" xfId="2" quotePrefix="1" applyNumberFormat="1" applyFont="1" applyFill="1" applyBorder="1" applyAlignment="1">
      <alignment horizontal="center" vertical="center"/>
    </xf>
    <xf numFmtId="15" fontId="5" fillId="8" borderId="22" xfId="2" quotePrefix="1" applyNumberFormat="1" applyFont="1" applyFill="1" applyBorder="1" applyAlignment="1">
      <alignment horizontal="center" vertical="center"/>
    </xf>
    <xf numFmtId="15" fontId="5" fillId="0" borderId="35" xfId="2" quotePrefix="1" applyNumberFormat="1" applyFont="1" applyFill="1" applyBorder="1" applyAlignment="1">
      <alignment horizontal="center" vertical="center"/>
    </xf>
    <xf numFmtId="15" fontId="5" fillId="2" borderId="11" xfId="2" quotePrefix="1" applyNumberFormat="1" applyFont="1" applyFill="1" applyBorder="1" applyAlignment="1">
      <alignment horizontal="center" vertical="center"/>
    </xf>
    <xf numFmtId="15" fontId="5" fillId="2" borderId="11" xfId="2" quotePrefix="1" applyNumberFormat="1" applyFont="1" applyFill="1" applyBorder="1" applyAlignment="1">
      <alignment vertical="center"/>
    </xf>
    <xf numFmtId="167" fontId="5" fillId="8" borderId="22" xfId="2" applyNumberFormat="1" applyFont="1" applyFill="1" applyBorder="1" applyAlignment="1">
      <alignment horizontal="center" vertical="center"/>
    </xf>
    <xf numFmtId="15" fontId="5" fillId="8" borderId="22" xfId="2" quotePrefix="1" applyNumberFormat="1" applyFont="1" applyFill="1" applyBorder="1" applyAlignment="1">
      <alignment vertical="center"/>
    </xf>
    <xf numFmtId="15" fontId="5" fillId="2" borderId="22" xfId="2" quotePrefix="1" applyNumberFormat="1" applyFont="1" applyFill="1" applyBorder="1" applyAlignment="1" applyProtection="1">
      <alignment horizontal="center" vertical="center"/>
    </xf>
    <xf numFmtId="15" fontId="5" fillId="2" borderId="11" xfId="2" quotePrefix="1" applyNumberFormat="1" applyFont="1" applyFill="1" applyBorder="1" applyAlignment="1" applyProtection="1">
      <alignment horizontal="center" vertical="center"/>
    </xf>
    <xf numFmtId="0" fontId="5" fillId="2" borderId="11" xfId="2" quotePrefix="1" applyNumberFormat="1" applyFont="1" applyFill="1" applyBorder="1" applyAlignment="1" applyProtection="1">
      <alignment horizontal="center" vertical="center"/>
      <protection locked="0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22" xfId="2" applyFont="1" applyFill="1" applyBorder="1" applyAlignment="1" applyProtection="1">
      <alignment vertical="center"/>
    </xf>
    <xf numFmtId="0" fontId="11" fillId="0" borderId="22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Border="1" applyAlignment="1" applyProtection="1">
      <alignment horizontal="center" vertical="center" wrapText="1"/>
    </xf>
    <xf numFmtId="0" fontId="5" fillId="0" borderId="22" xfId="0" applyNumberFormat="1" applyFont="1" applyBorder="1" applyAlignment="1" applyProtection="1">
      <alignment horizontal="left" vertical="center" wrapText="1"/>
    </xf>
    <xf numFmtId="167" fontId="19" fillId="0" borderId="22" xfId="2" quotePrefix="1" applyNumberFormat="1" applyFont="1" applyFill="1" applyBorder="1" applyAlignment="1">
      <alignment horizontal="center" vertical="center"/>
    </xf>
    <xf numFmtId="0" fontId="19" fillId="0" borderId="22" xfId="2" applyNumberFormat="1" applyFont="1" applyFill="1" applyBorder="1" applyAlignment="1">
      <alignment horizontal="center" vertical="center" wrapText="1"/>
    </xf>
    <xf numFmtId="0" fontId="19" fillId="0" borderId="11" xfId="2" applyNumberFormat="1" applyFont="1" applyFill="1" applyBorder="1" applyAlignment="1" applyProtection="1">
      <alignment horizontal="center" vertical="center"/>
    </xf>
    <xf numFmtId="167" fontId="19" fillId="0" borderId="11" xfId="2" applyNumberFormat="1" applyFont="1" applyFill="1" applyBorder="1" applyAlignment="1" applyProtection="1">
      <alignment horizontal="center" vertical="center"/>
    </xf>
    <xf numFmtId="0" fontId="19" fillId="0" borderId="22" xfId="2" applyNumberFormat="1" applyFont="1" applyFill="1" applyBorder="1" applyAlignment="1" applyProtection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22" xfId="0" applyNumberFormat="1" applyFont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15" fontId="5" fillId="0" borderId="11" xfId="2" applyNumberFormat="1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40" xfId="0" applyNumberFormat="1" applyFont="1" applyBorder="1" applyAlignment="1" applyProtection="1">
      <alignment horizontal="left" vertical="center" wrapText="1"/>
    </xf>
    <xf numFmtId="0" fontId="5" fillId="0" borderId="40" xfId="0" applyNumberFormat="1" applyFont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13" fillId="0" borderId="11" xfId="3" applyNumberFormat="1" applyFont="1" applyFill="1" applyBorder="1" applyAlignment="1">
      <alignment horizontal="center" vertical="center"/>
    </xf>
    <xf numFmtId="14" fontId="19" fillId="0" borderId="28" xfId="2" quotePrefix="1" applyNumberFormat="1" applyFont="1" applyFill="1" applyBorder="1" applyAlignment="1">
      <alignment horizontal="center" vertical="center"/>
    </xf>
    <xf numFmtId="0" fontId="19" fillId="0" borderId="22" xfId="2" applyNumberFormat="1" applyFont="1" applyFill="1" applyBorder="1" applyAlignment="1">
      <alignment horizontal="center" vertical="center"/>
    </xf>
    <xf numFmtId="15" fontId="5" fillId="0" borderId="0" xfId="2" quotePrefix="1" applyNumberFormat="1" applyFont="1" applyFill="1" applyBorder="1" applyAlignment="1">
      <alignment horizontal="center" vertical="center"/>
    </xf>
    <xf numFmtId="15" fontId="5" fillId="3" borderId="0" xfId="2" quotePrefix="1" applyNumberFormat="1" applyFont="1" applyFill="1" applyBorder="1" applyAlignment="1">
      <alignment horizontal="center" vertical="center"/>
    </xf>
    <xf numFmtId="0" fontId="5" fillId="3" borderId="0" xfId="2" applyFont="1" applyFill="1" applyBorder="1" applyAlignment="1">
      <alignment horizontal="center" vertical="center" wrapText="1"/>
    </xf>
    <xf numFmtId="167" fontId="5" fillId="3" borderId="0" xfId="2" applyNumberFormat="1" applyFont="1" applyFill="1" applyBorder="1" applyAlignment="1">
      <alignment horizontal="center" vertical="center"/>
    </xf>
    <xf numFmtId="0" fontId="9" fillId="3" borderId="0" xfId="2" applyNumberFormat="1" applyFont="1" applyFill="1" applyBorder="1" applyAlignment="1">
      <alignment horizontal="center" vertical="center"/>
    </xf>
    <xf numFmtId="167" fontId="9" fillId="3" borderId="0" xfId="2" quotePrefix="1" applyNumberFormat="1" applyFont="1" applyFill="1" applyBorder="1" applyAlignment="1">
      <alignment horizontal="center" vertical="center"/>
    </xf>
    <xf numFmtId="0" fontId="5" fillId="3" borderId="0" xfId="2" applyFont="1" applyFill="1" applyBorder="1" applyAlignment="1">
      <alignment horizontal="center" vertical="center"/>
    </xf>
    <xf numFmtId="167" fontId="5" fillId="3" borderId="0" xfId="2" quotePrefix="1" applyNumberFormat="1" applyFont="1" applyFill="1" applyBorder="1" applyAlignment="1">
      <alignment horizontal="center" vertical="center"/>
    </xf>
    <xf numFmtId="14" fontId="8" fillId="3" borderId="0" xfId="2" quotePrefix="1" applyNumberFormat="1" applyFont="1" applyFill="1" applyBorder="1" applyAlignment="1">
      <alignment horizontal="center" vertical="center"/>
    </xf>
    <xf numFmtId="165" fontId="18" fillId="0" borderId="0" xfId="0" applyFont="1" applyAlignment="1">
      <alignment horizontal="center" vertical="center"/>
    </xf>
    <xf numFmtId="165" fontId="18" fillId="0" borderId="22" xfId="0" applyFont="1" applyBorder="1" applyAlignment="1">
      <alignment horizontal="center" vertical="center"/>
    </xf>
    <xf numFmtId="0" fontId="5" fillId="6" borderId="22" xfId="0" applyNumberFormat="1" applyFont="1" applyFill="1" applyBorder="1" applyAlignment="1" applyProtection="1">
      <alignment horizontal="left" vertical="center" wrapText="1"/>
    </xf>
    <xf numFmtId="0" fontId="5" fillId="6" borderId="22" xfId="0" applyNumberFormat="1" applyFont="1" applyFill="1" applyBorder="1" applyAlignment="1" applyProtection="1">
      <alignment horizontal="center" vertical="center" wrapText="1"/>
    </xf>
    <xf numFmtId="15" fontId="5" fillId="7" borderId="22" xfId="2" quotePrefix="1" applyNumberFormat="1" applyFont="1" applyFill="1" applyBorder="1" applyAlignment="1">
      <alignment horizontal="center" vertical="center"/>
    </xf>
    <xf numFmtId="0" fontId="5" fillId="7" borderId="22" xfId="2" applyNumberFormat="1" applyFont="1" applyFill="1" applyBorder="1" applyAlignment="1">
      <alignment horizontal="center" vertical="center"/>
    </xf>
    <xf numFmtId="15" fontId="5" fillId="7" borderId="11" xfId="2" quotePrefix="1" applyNumberFormat="1" applyFont="1" applyFill="1" applyBorder="1" applyAlignment="1" applyProtection="1">
      <alignment horizontal="center" vertical="center"/>
    </xf>
    <xf numFmtId="15" fontId="5" fillId="7" borderId="22" xfId="2" quotePrefix="1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1" fontId="5" fillId="0" borderId="11" xfId="2" quotePrefix="1" applyNumberFormat="1" applyFont="1" applyFill="1" applyBorder="1" applyAlignment="1" applyProtection="1">
      <alignment horizontal="center" vertical="center"/>
    </xf>
    <xf numFmtId="167" fontId="5" fillId="0" borderId="11" xfId="2" applyNumberFormat="1" applyFont="1" applyFill="1" applyBorder="1" applyAlignment="1" applyProtection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40" xfId="0" applyNumberFormat="1" applyFont="1" applyBorder="1" applyAlignment="1" applyProtection="1">
      <alignment horizontal="center" vertical="center" wrapText="1"/>
    </xf>
    <xf numFmtId="0" fontId="5" fillId="2" borderId="11" xfId="0" applyNumberFormat="1" applyFont="1" applyFill="1" applyBorder="1" applyAlignment="1" applyProtection="1">
      <alignment horizontal="left" vertical="center" wrapText="1"/>
    </xf>
    <xf numFmtId="0" fontId="5" fillId="0" borderId="4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19" fillId="0" borderId="11" xfId="2" applyNumberFormat="1" applyFont="1" applyFill="1" applyBorder="1" applyAlignment="1">
      <alignment horizontal="center" vertical="center"/>
    </xf>
    <xf numFmtId="0" fontId="5" fillId="0" borderId="22" xfId="2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left" vertical="center" wrapText="1"/>
    </xf>
    <xf numFmtId="0" fontId="5" fillId="0" borderId="40" xfId="0" applyNumberFormat="1" applyFont="1" applyFill="1" applyBorder="1" applyAlignment="1" applyProtection="1">
      <alignment vertical="center" wrapText="1"/>
    </xf>
    <xf numFmtId="0" fontId="12" fillId="0" borderId="22" xfId="3" applyNumberFormat="1" applyFill="1" applyBorder="1" applyAlignment="1" applyProtection="1">
      <alignment horizontal="center" vertical="center"/>
    </xf>
    <xf numFmtId="0" fontId="12" fillId="0" borderId="22" xfId="3" applyNumberFormat="1" applyFill="1" applyBorder="1" applyAlignment="1">
      <alignment horizontal="center" vertical="center"/>
    </xf>
    <xf numFmtId="0" fontId="5" fillId="0" borderId="44" xfId="2" applyNumberFormat="1" applyFont="1" applyFill="1" applyBorder="1" applyAlignment="1" applyProtection="1">
      <alignment horizontal="center" vertical="center" wrapText="1"/>
    </xf>
    <xf numFmtId="0" fontId="12" fillId="9" borderId="22" xfId="3" applyNumberFormat="1" applyFill="1" applyBorder="1" applyAlignment="1">
      <alignment horizontal="center" vertical="center"/>
    </xf>
    <xf numFmtId="0" fontId="5" fillId="0" borderId="22" xfId="3" applyNumberFormat="1" applyFont="1" applyFill="1" applyBorder="1" applyAlignment="1">
      <alignment horizontal="center" vertical="center" wrapText="1"/>
    </xf>
    <xf numFmtId="0" fontId="9" fillId="0" borderId="11" xfId="2" applyNumberFormat="1" applyFont="1" applyFill="1" applyBorder="1" applyAlignment="1" applyProtection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11" xfId="2" applyFont="1" applyFill="1" applyBorder="1" applyAlignment="1">
      <alignment horizontal="center" vertical="center"/>
    </xf>
    <xf numFmtId="0" fontId="12" fillId="0" borderId="22" xfId="3" applyNumberFormat="1" applyFill="1" applyBorder="1" applyAlignment="1">
      <alignment horizontal="center" vertical="center" wrapText="1"/>
    </xf>
    <xf numFmtId="14" fontId="5" fillId="0" borderId="12" xfId="2" quotePrefix="1" applyNumberFormat="1" applyFont="1" applyFill="1" applyBorder="1" applyAlignment="1">
      <alignment horizontal="center" vertical="center" wrapText="1"/>
    </xf>
    <xf numFmtId="167" fontId="12" fillId="0" borderId="22" xfId="3" applyNumberFormat="1" applyFill="1" applyBorder="1" applyAlignment="1">
      <alignment horizontal="center" vertical="center"/>
    </xf>
    <xf numFmtId="0" fontId="5" fillId="0" borderId="11" xfId="2" applyNumberFormat="1" applyFont="1" applyFill="1" applyBorder="1" applyAlignment="1" applyProtection="1">
      <alignment horizontal="center" vertical="center" wrapText="1"/>
    </xf>
    <xf numFmtId="167" fontId="5" fillId="0" borderId="29" xfId="2" quotePrefix="1" applyNumberFormat="1" applyFont="1" applyFill="1" applyBorder="1" applyAlignment="1">
      <alignment horizontal="center" vertical="center"/>
    </xf>
    <xf numFmtId="167" fontId="12" fillId="0" borderId="29" xfId="3" quotePrefix="1" applyNumberForma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vertical="center" wrapText="1"/>
    </xf>
    <xf numFmtId="0" fontId="5" fillId="0" borderId="29" xfId="2" applyFont="1" applyFill="1" applyBorder="1" applyAlignment="1">
      <alignment horizontal="center" vertical="center" wrapText="1"/>
    </xf>
    <xf numFmtId="0" fontId="5" fillId="0" borderId="11" xfId="2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12" fillId="0" borderId="11" xfId="3" applyNumberForma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14" fontId="5" fillId="0" borderId="11" xfId="2" quotePrefix="1" applyNumberFormat="1" applyFont="1" applyFill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 wrapText="1"/>
    </xf>
    <xf numFmtId="0" fontId="5" fillId="0" borderId="16" xfId="2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4" borderId="11" xfId="2" applyFont="1" applyFill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2" borderId="11" xfId="2" applyNumberFormat="1" applyFont="1" applyFill="1" applyBorder="1" applyAlignment="1" applyProtection="1">
      <alignment horizontal="center" vertical="center"/>
    </xf>
    <xf numFmtId="0" fontId="20" fillId="0" borderId="22" xfId="3" applyNumberFormat="1" applyFont="1" applyFill="1" applyBorder="1" applyAlignment="1">
      <alignment horizontal="center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165" fontId="5" fillId="0" borderId="0" xfId="0" applyFont="1" applyAlignment="1">
      <alignment horizontal="center" vertical="center"/>
    </xf>
    <xf numFmtId="165" fontId="5" fillId="0" borderId="22" xfId="0" applyFont="1" applyBorder="1" applyAlignment="1">
      <alignment horizontal="center" vertical="center"/>
    </xf>
    <xf numFmtId="165" fontId="21" fillId="0" borderId="22" xfId="0" applyFont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165" fontId="5" fillId="0" borderId="50" xfId="0" applyFont="1" applyBorder="1" applyAlignment="1">
      <alignment horizontal="left" vertical="center" wrapText="1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5" fillId="0" borderId="35" xfId="2" quotePrefix="1" applyNumberFormat="1" applyFont="1" applyFill="1" applyBorder="1" applyAlignment="1" applyProtection="1">
      <alignment horizontal="center" vertical="center"/>
      <protection hidden="1"/>
    </xf>
    <xf numFmtId="0" fontId="5" fillId="0" borderId="22" xfId="2" quotePrefix="1" applyNumberFormat="1" applyFont="1" applyFill="1" applyBorder="1" applyAlignment="1" applyProtection="1">
      <alignment horizontal="center" vertical="center" wrapText="1"/>
      <protection locked="0"/>
    </xf>
    <xf numFmtId="165" fontId="21" fillId="0" borderId="0" xfId="0" applyFont="1" applyAlignment="1">
      <alignment horizontal="center" vertical="center"/>
    </xf>
    <xf numFmtId="0" fontId="5" fillId="2" borderId="22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165" fontId="12" fillId="0" borderId="0" xfId="3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165" fontId="21" fillId="0" borderId="0" xfId="0" applyFont="1" applyAlignment="1">
      <alignment horizontal="center" vertical="center" wrapText="1"/>
    </xf>
    <xf numFmtId="0" fontId="5" fillId="0" borderId="22" xfId="2" applyFont="1" applyFill="1" applyBorder="1" applyAlignment="1">
      <alignment horizontal="left" vertical="center" wrapText="1"/>
    </xf>
    <xf numFmtId="0" fontId="5" fillId="0" borderId="22" xfId="2" applyFont="1" applyFill="1" applyBorder="1" applyAlignment="1">
      <alignment horizontal="left" vertical="center" wrapText="1"/>
    </xf>
    <xf numFmtId="0" fontId="5" fillId="0" borderId="40" xfId="2" applyFont="1" applyFill="1" applyBorder="1" applyAlignment="1">
      <alignment horizontal="center" vertical="center"/>
    </xf>
    <xf numFmtId="0" fontId="5" fillId="0" borderId="11" xfId="2" applyFont="1" applyFill="1" applyBorder="1" applyAlignment="1">
      <alignment horizontal="center" vertical="center"/>
    </xf>
    <xf numFmtId="0" fontId="5" fillId="0" borderId="40" xfId="2" applyFont="1" applyFill="1" applyBorder="1" applyAlignment="1">
      <alignment horizontal="center" vertical="center" wrapText="1"/>
    </xf>
    <xf numFmtId="0" fontId="5" fillId="0" borderId="11" xfId="2" applyFont="1" applyFill="1" applyBorder="1" applyAlignment="1">
      <alignment horizontal="center" vertical="center" wrapText="1"/>
    </xf>
    <xf numFmtId="0" fontId="11" fillId="0" borderId="40" xfId="2" applyFont="1" applyFill="1" applyBorder="1" applyAlignment="1">
      <alignment horizontal="left" vertical="center" wrapText="1"/>
    </xf>
    <xf numFmtId="0" fontId="11" fillId="0" borderId="11" xfId="2" applyFont="1" applyFill="1" applyBorder="1" applyAlignment="1">
      <alignment horizontal="left" vertical="center" wrapText="1"/>
    </xf>
    <xf numFmtId="0" fontId="11" fillId="0" borderId="40" xfId="2" applyFont="1" applyFill="1" applyBorder="1" applyAlignment="1">
      <alignment horizontal="center" vertical="center"/>
    </xf>
    <xf numFmtId="0" fontId="11" fillId="0" borderId="11" xfId="2" applyFont="1" applyFill="1" applyBorder="1" applyAlignment="1">
      <alignment horizontal="center" vertical="center"/>
    </xf>
    <xf numFmtId="0" fontId="5" fillId="2" borderId="40" xfId="2" applyFont="1" applyFill="1" applyBorder="1" applyAlignment="1">
      <alignment horizontal="left" vertical="center" wrapText="1"/>
    </xf>
    <xf numFmtId="0" fontId="5" fillId="2" borderId="11" xfId="2" applyFont="1" applyFill="1" applyBorder="1" applyAlignment="1">
      <alignment horizontal="left" vertical="center" wrapText="1"/>
    </xf>
    <xf numFmtId="0" fontId="5" fillId="0" borderId="14" xfId="2" applyFont="1" applyFill="1" applyBorder="1" applyAlignment="1">
      <alignment horizontal="center" vertical="center"/>
    </xf>
    <xf numFmtId="0" fontId="5" fillId="0" borderId="40" xfId="2" applyFont="1" applyFill="1" applyBorder="1" applyAlignment="1">
      <alignment horizontal="left" vertical="center" wrapText="1"/>
    </xf>
    <xf numFmtId="0" fontId="5" fillId="0" borderId="14" xfId="2" applyFont="1" applyFill="1" applyBorder="1" applyAlignment="1">
      <alignment horizontal="left" vertical="center" wrapText="1"/>
    </xf>
    <xf numFmtId="0" fontId="5" fillId="0" borderId="11" xfId="2" applyFont="1" applyFill="1" applyBorder="1" applyAlignment="1">
      <alignment horizontal="left" vertical="center" wrapText="1"/>
    </xf>
    <xf numFmtId="0" fontId="5" fillId="2" borderId="14" xfId="2" applyFont="1" applyFill="1" applyBorder="1" applyAlignment="1">
      <alignment horizontal="left" vertical="center" wrapText="1"/>
    </xf>
    <xf numFmtId="0" fontId="5" fillId="0" borderId="39" xfId="2" applyFont="1" applyFill="1" applyBorder="1" applyAlignment="1">
      <alignment horizontal="center" vertical="center"/>
    </xf>
    <xf numFmtId="0" fontId="5" fillId="0" borderId="16" xfId="2" applyFont="1" applyFill="1" applyBorder="1" applyAlignment="1">
      <alignment horizontal="center" vertical="center"/>
    </xf>
    <xf numFmtId="0" fontId="6" fillId="0" borderId="7" xfId="2" applyFont="1" applyFill="1" applyBorder="1" applyAlignment="1">
      <alignment horizontal="center" vertical="center" wrapText="1"/>
    </xf>
    <xf numFmtId="0" fontId="6" fillId="0" borderId="8" xfId="2" applyFon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6" fillId="0" borderId="20" xfId="2" applyFont="1" applyFill="1" applyBorder="1" applyAlignment="1">
      <alignment horizontal="center" vertical="center"/>
    </xf>
    <xf numFmtId="165" fontId="5" fillId="0" borderId="14" xfId="0" applyFont="1" applyFill="1" applyBorder="1"/>
    <xf numFmtId="165" fontId="5" fillId="0" borderId="17" xfId="0" applyFont="1" applyFill="1" applyBorder="1"/>
    <xf numFmtId="0" fontId="6" fillId="0" borderId="20" xfId="2" applyFont="1" applyFill="1" applyBorder="1" applyAlignment="1">
      <alignment horizontal="center" vertical="center" wrapText="1"/>
    </xf>
    <xf numFmtId="0" fontId="6" fillId="0" borderId="14" xfId="2" applyFont="1" applyFill="1" applyBorder="1" applyAlignment="1">
      <alignment horizontal="center" vertical="center" wrapText="1"/>
    </xf>
    <xf numFmtId="0" fontId="6" fillId="0" borderId="17" xfId="2" applyFont="1" applyFill="1" applyBorder="1" applyAlignment="1">
      <alignment horizontal="center" vertical="center" wrapText="1"/>
    </xf>
    <xf numFmtId="0" fontId="6" fillId="0" borderId="14" xfId="2" applyFont="1" applyFill="1" applyBorder="1" applyAlignment="1">
      <alignment horizontal="center" vertical="center"/>
    </xf>
    <xf numFmtId="0" fontId="6" fillId="0" borderId="17" xfId="2" applyFont="1" applyFill="1" applyBorder="1" applyAlignment="1">
      <alignment horizontal="center" vertical="center"/>
    </xf>
    <xf numFmtId="0" fontId="5" fillId="2" borderId="20" xfId="2" applyFont="1" applyFill="1" applyBorder="1" applyAlignment="1">
      <alignment horizontal="left" vertical="center"/>
    </xf>
    <xf numFmtId="0" fontId="5" fillId="2" borderId="11" xfId="2" applyFont="1" applyFill="1" applyBorder="1" applyAlignment="1">
      <alignment horizontal="left" vertical="center"/>
    </xf>
    <xf numFmtId="0" fontId="5" fillId="0" borderId="20" xfId="2" applyFont="1" applyFill="1" applyBorder="1" applyAlignment="1">
      <alignment horizontal="center" vertical="center"/>
    </xf>
    <xf numFmtId="0" fontId="6" fillId="0" borderId="22" xfId="2" applyFont="1" applyFill="1" applyBorder="1" applyAlignment="1">
      <alignment horizontal="center" vertical="center"/>
    </xf>
    <xf numFmtId="0" fontId="6" fillId="0" borderId="29" xfId="2" applyFont="1" applyFill="1" applyBorder="1" applyAlignment="1">
      <alignment horizontal="center" vertical="center" wrapText="1"/>
    </xf>
    <xf numFmtId="0" fontId="6" fillId="0" borderId="31" xfId="2" applyFont="1" applyFill="1" applyBorder="1" applyAlignment="1">
      <alignment horizontal="center" vertical="center" wrapText="1"/>
    </xf>
    <xf numFmtId="0" fontId="4" fillId="4" borderId="36" xfId="2" applyFont="1" applyFill="1" applyBorder="1" applyAlignment="1">
      <alignment horizontal="left" vertical="center"/>
    </xf>
    <xf numFmtId="0" fontId="4" fillId="4" borderId="48" xfId="2" applyFont="1" applyFill="1" applyBorder="1" applyAlignment="1">
      <alignment horizontal="left" vertical="center"/>
    </xf>
    <xf numFmtId="0" fontId="7" fillId="4" borderId="15" xfId="2" applyFont="1" applyFill="1" applyBorder="1" applyAlignment="1">
      <alignment horizontal="center" vertical="center"/>
    </xf>
    <xf numFmtId="0" fontId="7" fillId="4" borderId="0" xfId="2" applyFont="1" applyFill="1" applyBorder="1" applyAlignment="1">
      <alignment horizontal="center" vertical="center"/>
    </xf>
    <xf numFmtId="0" fontId="7" fillId="0" borderId="0" xfId="2" applyFont="1" applyFill="1" applyBorder="1" applyAlignment="1">
      <alignment horizontal="center" vertical="center"/>
    </xf>
    <xf numFmtId="0" fontId="7" fillId="4" borderId="32" xfId="2" applyFont="1" applyFill="1" applyBorder="1" applyAlignment="1">
      <alignment horizontal="center" vertical="center"/>
    </xf>
    <xf numFmtId="0" fontId="10" fillId="4" borderId="29" xfId="1" applyNumberFormat="1" applyFont="1" applyFill="1" applyBorder="1" applyAlignment="1">
      <alignment horizontal="left" vertical="center"/>
    </xf>
    <xf numFmtId="0" fontId="10" fillId="4" borderId="33" xfId="1" applyNumberFormat="1" applyFont="1" applyFill="1" applyBorder="1" applyAlignment="1">
      <alignment horizontal="left" vertical="center"/>
    </xf>
    <xf numFmtId="0" fontId="10" fillId="4" borderId="31" xfId="1" applyNumberFormat="1" applyFont="1" applyFill="1" applyBorder="1" applyAlignment="1">
      <alignment horizontal="left" vertical="center"/>
    </xf>
    <xf numFmtId="0" fontId="4" fillId="4" borderId="36" xfId="2" applyNumberFormat="1" applyFont="1" applyFill="1" applyBorder="1" applyAlignment="1">
      <alignment horizontal="left" vertical="center"/>
    </xf>
    <xf numFmtId="0" fontId="4" fillId="4" borderId="37" xfId="2" applyNumberFormat="1" applyFont="1" applyFill="1" applyBorder="1" applyAlignment="1">
      <alignment horizontal="left" vertical="center"/>
    </xf>
    <xf numFmtId="0" fontId="4" fillId="4" borderId="38" xfId="2" applyNumberFormat="1" applyFont="1" applyFill="1" applyBorder="1" applyAlignment="1">
      <alignment horizontal="left" vertical="center"/>
    </xf>
    <xf numFmtId="0" fontId="6" fillId="3" borderId="21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 wrapText="1"/>
    </xf>
    <xf numFmtId="0" fontId="6" fillId="3" borderId="31" xfId="2" applyFont="1" applyFill="1" applyBorder="1" applyAlignment="1">
      <alignment horizontal="center" vertical="center" wrapText="1"/>
    </xf>
    <xf numFmtId="0" fontId="6" fillId="0" borderId="33" xfId="2" applyFont="1" applyFill="1" applyBorder="1" applyAlignment="1">
      <alignment horizontal="center" vertical="center" wrapText="1"/>
    </xf>
    <xf numFmtId="0" fontId="6" fillId="0" borderId="33" xfId="2" applyFont="1" applyFill="1" applyBorder="1" applyAlignment="1">
      <alignment horizontal="center" vertical="center"/>
    </xf>
    <xf numFmtId="0" fontId="6" fillId="0" borderId="31" xfId="2" applyFont="1" applyFill="1" applyBorder="1" applyAlignment="1">
      <alignment horizontal="center" vertical="center"/>
    </xf>
    <xf numFmtId="0" fontId="4" fillId="4" borderId="29" xfId="2" applyNumberFormat="1" applyFont="1" applyFill="1" applyBorder="1" applyAlignment="1">
      <alignment horizontal="left" vertical="center"/>
    </xf>
    <xf numFmtId="0" fontId="4" fillId="4" borderId="30" xfId="2" applyNumberFormat="1" applyFont="1" applyFill="1" applyBorder="1" applyAlignment="1">
      <alignment horizontal="left" vertical="center"/>
    </xf>
    <xf numFmtId="0" fontId="7" fillId="4" borderId="19" xfId="2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0" fontId="7" fillId="0" borderId="3" xfId="2" applyFont="1" applyFill="1" applyBorder="1" applyAlignment="1">
      <alignment horizontal="center" vertical="center"/>
    </xf>
    <xf numFmtId="0" fontId="7" fillId="4" borderId="43" xfId="2" applyFont="1" applyFill="1" applyBorder="1" applyAlignment="1">
      <alignment horizontal="center" vertical="center"/>
    </xf>
    <xf numFmtId="168" fontId="4" fillId="4" borderId="34" xfId="2" applyNumberFormat="1" applyFont="1" applyFill="1" applyBorder="1" applyAlignment="1">
      <alignment horizontal="left" vertical="center"/>
    </xf>
    <xf numFmtId="168" fontId="4" fillId="4" borderId="47" xfId="2" applyNumberFormat="1" applyFont="1" applyFill="1" applyBorder="1" applyAlignment="1">
      <alignment horizontal="left" vertical="center"/>
    </xf>
    <xf numFmtId="0" fontId="6" fillId="0" borderId="21" xfId="2" applyFont="1" applyFill="1" applyBorder="1" applyAlignment="1">
      <alignment horizontal="center" vertical="center" wrapText="1"/>
    </xf>
    <xf numFmtId="0" fontId="4" fillId="4" borderId="29" xfId="1" applyNumberFormat="1" applyFont="1" applyFill="1" applyBorder="1" applyAlignment="1">
      <alignment horizontal="left" vertical="center"/>
    </xf>
    <xf numFmtId="0" fontId="4" fillId="4" borderId="33" xfId="1" applyNumberFormat="1" applyFont="1" applyFill="1" applyBorder="1" applyAlignment="1">
      <alignment horizontal="left" vertical="center"/>
    </xf>
    <xf numFmtId="0" fontId="4" fillId="4" borderId="31" xfId="1" applyNumberFormat="1" applyFont="1" applyFill="1" applyBorder="1" applyAlignment="1">
      <alignment horizontal="left" vertical="center"/>
    </xf>
    <xf numFmtId="0" fontId="7" fillId="4" borderId="13" xfId="2" applyFont="1" applyFill="1" applyBorder="1" applyAlignment="1">
      <alignment horizontal="center" vertical="center"/>
    </xf>
    <xf numFmtId="0" fontId="7" fillId="4" borderId="2" xfId="2" applyFont="1" applyFill="1" applyBorder="1" applyAlignment="1">
      <alignment horizontal="center" vertical="center"/>
    </xf>
    <xf numFmtId="0" fontId="7" fillId="0" borderId="2" xfId="2" applyFont="1" applyFill="1" applyBorder="1" applyAlignment="1">
      <alignment horizontal="center" vertical="center"/>
    </xf>
    <xf numFmtId="0" fontId="7" fillId="4" borderId="42" xfId="2" applyFont="1" applyFill="1" applyBorder="1" applyAlignment="1">
      <alignment horizontal="center" vertical="center"/>
    </xf>
    <xf numFmtId="0" fontId="4" fillId="4" borderId="34" xfId="1" applyNumberFormat="1" applyFont="1" applyFill="1" applyBorder="1" applyAlignment="1">
      <alignment horizontal="left" vertical="center"/>
    </xf>
    <xf numFmtId="0" fontId="4" fillId="4" borderId="45" xfId="1" applyNumberFormat="1" applyFont="1" applyFill="1" applyBorder="1" applyAlignment="1">
      <alignment horizontal="left" vertical="center"/>
    </xf>
    <xf numFmtId="0" fontId="4" fillId="4" borderId="46" xfId="1" applyNumberFormat="1" applyFont="1" applyFill="1" applyBorder="1" applyAlignment="1">
      <alignment horizontal="left" vertical="center"/>
    </xf>
    <xf numFmtId="0" fontId="6" fillId="0" borderId="10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 wrapText="1"/>
    </xf>
    <xf numFmtId="0" fontId="4" fillId="0" borderId="36" xfId="2" applyNumberFormat="1" applyFont="1" applyFill="1" applyBorder="1" applyAlignment="1">
      <alignment horizontal="left" vertical="center"/>
    </xf>
    <xf numFmtId="0" fontId="4" fillId="0" borderId="37" xfId="2" applyNumberFormat="1" applyFont="1" applyFill="1" applyBorder="1" applyAlignment="1">
      <alignment horizontal="left" vertical="center"/>
    </xf>
    <xf numFmtId="0" fontId="4" fillId="0" borderId="38" xfId="2" applyNumberFormat="1" applyFont="1" applyFill="1" applyBorder="1" applyAlignment="1">
      <alignment horizontal="left" vertical="center"/>
    </xf>
    <xf numFmtId="0" fontId="4" fillId="0" borderId="36" xfId="2" applyFont="1" applyFill="1" applyBorder="1" applyAlignment="1">
      <alignment horizontal="left" vertical="center"/>
    </xf>
    <xf numFmtId="0" fontId="4" fillId="0" borderId="48" xfId="2" applyFont="1" applyFill="1" applyBorder="1" applyAlignment="1">
      <alignment horizontal="left" vertical="center"/>
    </xf>
    <xf numFmtId="0" fontId="10" fillId="0" borderId="29" xfId="1" applyNumberFormat="1" applyFont="1" applyFill="1" applyBorder="1" applyAlignment="1">
      <alignment horizontal="left" vertical="center"/>
    </xf>
    <xf numFmtId="0" fontId="10" fillId="0" borderId="33" xfId="1" applyNumberFormat="1" applyFont="1" applyFill="1" applyBorder="1" applyAlignment="1">
      <alignment horizontal="left" vertical="center"/>
    </xf>
    <xf numFmtId="0" fontId="10" fillId="0" borderId="31" xfId="1" applyNumberFormat="1" applyFont="1" applyFill="1" applyBorder="1" applyAlignment="1">
      <alignment horizontal="left" vertical="center"/>
    </xf>
    <xf numFmtId="0" fontId="4" fillId="0" borderId="29" xfId="2" applyNumberFormat="1" applyFont="1" applyBorder="1" applyAlignment="1">
      <alignment horizontal="left" vertical="center"/>
    </xf>
    <xf numFmtId="0" fontId="4" fillId="0" borderId="30" xfId="2" applyNumberFormat="1" applyFont="1" applyBorder="1" applyAlignment="1">
      <alignment horizontal="left" vertical="center"/>
    </xf>
    <xf numFmtId="0" fontId="4" fillId="0" borderId="29" xfId="1" applyNumberFormat="1" applyFont="1" applyFill="1" applyBorder="1" applyAlignment="1">
      <alignment horizontal="left" vertical="center"/>
    </xf>
    <xf numFmtId="0" fontId="4" fillId="0" borderId="33" xfId="1" applyNumberFormat="1" applyFont="1" applyFill="1" applyBorder="1" applyAlignment="1">
      <alignment horizontal="left" vertical="center"/>
    </xf>
    <xf numFmtId="0" fontId="4" fillId="0" borderId="31" xfId="1" applyNumberFormat="1" applyFont="1" applyFill="1" applyBorder="1" applyAlignment="1">
      <alignment horizontal="left" vertical="center"/>
    </xf>
    <xf numFmtId="0" fontId="6" fillId="3" borderId="10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33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6" fillId="3" borderId="22" xfId="2" applyFont="1" applyFill="1" applyBorder="1" applyAlignment="1">
      <alignment horizontal="center" vertical="center"/>
    </xf>
    <xf numFmtId="0" fontId="6" fillId="3" borderId="33" xfId="2" applyFont="1" applyFill="1" applyBorder="1" applyAlignment="1">
      <alignment horizontal="center" vertical="center"/>
    </xf>
    <xf numFmtId="0" fontId="6" fillId="3" borderId="31" xfId="2" applyFont="1" applyFill="1" applyBorder="1" applyAlignment="1">
      <alignment horizontal="center" vertical="center"/>
    </xf>
    <xf numFmtId="0" fontId="4" fillId="0" borderId="34" xfId="1" applyNumberFormat="1" applyFont="1" applyFill="1" applyBorder="1" applyAlignment="1">
      <alignment horizontal="left" vertical="center"/>
    </xf>
    <xf numFmtId="0" fontId="4" fillId="0" borderId="45" xfId="1" applyNumberFormat="1" applyFont="1" applyFill="1" applyBorder="1" applyAlignment="1">
      <alignment horizontal="left" vertical="center"/>
    </xf>
    <xf numFmtId="0" fontId="4" fillId="0" borderId="46" xfId="1" applyNumberFormat="1" applyFont="1" applyFill="1" applyBorder="1" applyAlignment="1">
      <alignment horizontal="left" vertical="center"/>
    </xf>
    <xf numFmtId="168" fontId="4" fillId="0" borderId="34" xfId="2" applyNumberFormat="1" applyFont="1" applyBorder="1" applyAlignment="1">
      <alignment horizontal="left" vertical="center"/>
    </xf>
    <xf numFmtId="168" fontId="4" fillId="0" borderId="47" xfId="2" applyNumberFormat="1" applyFont="1" applyBorder="1" applyAlignment="1">
      <alignment horizontal="left" vertical="center"/>
    </xf>
    <xf numFmtId="0" fontId="6" fillId="3" borderId="29" xfId="2" applyFont="1" applyFill="1" applyBorder="1" applyAlignment="1">
      <alignment horizontal="center" vertical="center"/>
    </xf>
    <xf numFmtId="0" fontId="6" fillId="0" borderId="29" xfId="2" applyFont="1" applyFill="1" applyBorder="1" applyAlignment="1">
      <alignment horizontal="center" vertical="center"/>
    </xf>
    <xf numFmtId="0" fontId="6" fillId="0" borderId="36" xfId="2" applyFont="1" applyFill="1" applyBorder="1" applyAlignment="1">
      <alignment horizontal="center" vertical="center" wrapText="1"/>
    </xf>
    <xf numFmtId="0" fontId="6" fillId="0" borderId="37" xfId="2" applyFont="1" applyFill="1" applyBorder="1" applyAlignment="1">
      <alignment horizontal="center" vertical="center" wrapText="1"/>
    </xf>
    <xf numFmtId="0" fontId="6" fillId="0" borderId="38" xfId="2" applyFont="1" applyFill="1" applyBorder="1" applyAlignment="1">
      <alignment horizontal="center" vertical="center" wrapText="1"/>
    </xf>
    <xf numFmtId="0" fontId="5" fillId="0" borderId="40" xfId="2" applyFont="1" applyFill="1" applyBorder="1" applyAlignment="1">
      <alignment horizontal="left" vertical="center"/>
    </xf>
    <xf numFmtId="0" fontId="5" fillId="0" borderId="14" xfId="2" applyFont="1" applyFill="1" applyBorder="1" applyAlignment="1">
      <alignment horizontal="left" vertical="center"/>
    </xf>
    <xf numFmtId="0" fontId="5" fillId="0" borderId="11" xfId="2" applyFont="1" applyFill="1" applyBorder="1" applyAlignment="1">
      <alignment horizontal="left" vertical="center"/>
    </xf>
    <xf numFmtId="0" fontId="6" fillId="0" borderId="11" xfId="2" applyFont="1" applyFill="1" applyBorder="1" applyAlignment="1">
      <alignment horizontal="center" vertical="center"/>
    </xf>
    <xf numFmtId="0" fontId="5" fillId="0" borderId="22" xfId="2" applyFont="1" applyFill="1" applyBorder="1" applyAlignment="1">
      <alignment horizontal="left" vertical="center" wrapText="1"/>
    </xf>
    <xf numFmtId="0" fontId="5" fillId="0" borderId="22" xfId="2" applyFont="1" applyFill="1" applyBorder="1" applyAlignment="1">
      <alignment horizontal="center" vertical="center"/>
    </xf>
    <xf numFmtId="0" fontId="5" fillId="0" borderId="8" xfId="2" applyFont="1" applyFill="1" applyBorder="1" applyAlignment="1">
      <alignment horizontal="center" vertical="center"/>
    </xf>
    <xf numFmtId="0" fontId="5" fillId="4" borderId="40" xfId="2" applyFont="1" applyFill="1" applyBorder="1" applyAlignment="1">
      <alignment horizontal="center" vertical="center" wrapText="1"/>
    </xf>
    <xf numFmtId="0" fontId="5" fillId="4" borderId="14" xfId="2" applyFont="1" applyFill="1" applyBorder="1" applyAlignment="1">
      <alignment horizontal="center" vertical="center" wrapText="1"/>
    </xf>
    <xf numFmtId="0" fontId="5" fillId="4" borderId="11" xfId="2" applyFont="1" applyFill="1" applyBorder="1" applyAlignment="1">
      <alignment horizontal="center" vertical="center" wrapText="1"/>
    </xf>
    <xf numFmtId="0" fontId="5" fillId="0" borderId="14" xfId="2" applyFont="1" applyFill="1" applyBorder="1" applyAlignment="1">
      <alignment horizontal="center" vertical="center" wrapText="1"/>
    </xf>
    <xf numFmtId="0" fontId="5" fillId="2" borderId="40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5" fillId="2" borderId="20" xfId="2" applyFont="1" applyFill="1" applyBorder="1" applyAlignment="1">
      <alignment horizontal="center" vertical="center" wrapText="1"/>
    </xf>
    <xf numFmtId="0" fontId="5" fillId="0" borderId="20" xfId="2" applyFont="1" applyFill="1" applyBorder="1" applyAlignment="1">
      <alignment horizontal="center" vertical="center" wrapText="1"/>
    </xf>
    <xf numFmtId="0" fontId="4" fillId="0" borderId="22" xfId="1" applyNumberFormat="1" applyFont="1" applyFill="1" applyBorder="1" applyAlignment="1">
      <alignment horizontal="left" vertical="center"/>
    </xf>
    <xf numFmtId="168" fontId="4" fillId="0" borderId="22" xfId="2" applyNumberFormat="1" applyFont="1" applyBorder="1" applyAlignment="1">
      <alignment horizontal="left" vertical="center"/>
    </xf>
    <xf numFmtId="168" fontId="4" fillId="0" borderId="28" xfId="2" applyNumberFormat="1" applyFont="1" applyBorder="1" applyAlignment="1">
      <alignment horizontal="left" vertical="center"/>
    </xf>
    <xf numFmtId="0" fontId="10" fillId="0" borderId="22" xfId="1" applyNumberFormat="1" applyFont="1" applyFill="1" applyBorder="1" applyAlignment="1">
      <alignment horizontal="left" vertical="center"/>
    </xf>
    <xf numFmtId="0" fontId="4" fillId="0" borderId="22" xfId="2" applyNumberFormat="1" applyFont="1" applyBorder="1" applyAlignment="1">
      <alignment horizontal="left" vertical="center"/>
    </xf>
    <xf numFmtId="0" fontId="4" fillId="0" borderId="28" xfId="2" applyNumberFormat="1" applyFont="1" applyBorder="1" applyAlignment="1">
      <alignment horizontal="left" vertical="center"/>
    </xf>
    <xf numFmtId="0" fontId="4" fillId="0" borderId="21" xfId="2" applyNumberFormat="1" applyFont="1" applyFill="1" applyBorder="1" applyAlignment="1">
      <alignment horizontal="left" vertical="center"/>
    </xf>
    <xf numFmtId="0" fontId="4" fillId="0" borderId="21" xfId="2" applyFont="1" applyFill="1" applyBorder="1" applyAlignment="1">
      <alignment horizontal="left" vertical="center"/>
    </xf>
    <xf numFmtId="0" fontId="4" fillId="0" borderId="26" xfId="2" applyFont="1" applyFill="1" applyBorder="1" applyAlignment="1">
      <alignment horizontal="left" vertical="center"/>
    </xf>
    <xf numFmtId="0" fontId="7" fillId="0" borderId="15" xfId="2" applyFont="1" applyFill="1" applyBorder="1" applyAlignment="1">
      <alignment horizontal="center" vertical="center"/>
    </xf>
    <xf numFmtId="0" fontId="7" fillId="0" borderId="32" xfId="2" applyFont="1" applyFill="1" applyBorder="1" applyAlignment="1">
      <alignment horizontal="center" vertical="center"/>
    </xf>
    <xf numFmtId="0" fontId="7" fillId="0" borderId="13" xfId="2" applyFont="1" applyFill="1" applyBorder="1" applyAlignment="1">
      <alignment horizontal="center" vertical="center"/>
    </xf>
    <xf numFmtId="0" fontId="7" fillId="0" borderId="19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center"/>
    </xf>
    <xf numFmtId="0" fontId="7" fillId="0" borderId="0" xfId="2" applyFont="1" applyBorder="1" applyAlignment="1">
      <alignment horizontal="center" vertical="center"/>
    </xf>
    <xf numFmtId="0" fontId="6" fillId="0" borderId="26" xfId="2" applyFont="1" applyFill="1" applyBorder="1" applyAlignment="1">
      <alignment horizontal="center" vertical="center"/>
    </xf>
    <xf numFmtId="0" fontId="6" fillId="0" borderId="28" xfId="2" applyFont="1" applyFill="1" applyBorder="1" applyAlignment="1">
      <alignment horizontal="center" vertical="center"/>
    </xf>
    <xf numFmtId="0" fontId="6" fillId="0" borderId="41" xfId="2" applyFont="1" applyFill="1" applyBorder="1" applyAlignment="1">
      <alignment horizontal="center" vertical="center"/>
    </xf>
    <xf numFmtId="0" fontId="6" fillId="0" borderId="24" xfId="2" applyFont="1" applyFill="1" applyBorder="1" applyAlignment="1">
      <alignment horizontal="center" vertical="center"/>
    </xf>
    <xf numFmtId="0" fontId="5" fillId="0" borderId="40" xfId="2" applyNumberFormat="1" applyFont="1" applyFill="1" applyBorder="1" applyAlignment="1">
      <alignment horizontal="center" vertical="center"/>
    </xf>
    <xf numFmtId="0" fontId="5" fillId="0" borderId="11" xfId="2" applyNumberFormat="1" applyFont="1" applyFill="1" applyBorder="1" applyAlignment="1">
      <alignment horizontal="center" vertical="center"/>
    </xf>
    <xf numFmtId="0" fontId="6" fillId="0" borderId="25" xfId="2" applyFont="1" applyFill="1" applyBorder="1" applyAlignment="1">
      <alignment horizontal="center" vertical="center" wrapText="1"/>
    </xf>
    <xf numFmtId="0" fontId="6" fillId="0" borderId="27" xfId="2" applyFont="1" applyFill="1" applyBorder="1" applyAlignment="1">
      <alignment horizontal="center" vertical="center"/>
    </xf>
    <xf numFmtId="0" fontId="6" fillId="0" borderId="39" xfId="2" applyFont="1" applyFill="1" applyBorder="1" applyAlignment="1">
      <alignment horizontal="center" vertical="center"/>
    </xf>
    <xf numFmtId="0" fontId="6" fillId="0" borderId="23" xfId="2" applyFont="1" applyFill="1" applyBorder="1" applyAlignment="1">
      <alignment horizontal="center" vertical="center"/>
    </xf>
    <xf numFmtId="0" fontId="6" fillId="0" borderId="21" xfId="2" applyFont="1" applyFill="1" applyBorder="1" applyAlignment="1">
      <alignment horizontal="center" vertical="center"/>
    </xf>
    <xf numFmtId="165" fontId="5" fillId="0" borderId="22" xfId="0" applyFont="1" applyFill="1" applyBorder="1"/>
    <xf numFmtId="165" fontId="5" fillId="0" borderId="40" xfId="0" applyFont="1" applyFill="1" applyBorder="1"/>
    <xf numFmtId="165" fontId="5" fillId="0" borderId="4" xfId="0" applyFont="1" applyFill="1" applyBorder="1"/>
    <xf numFmtId="0" fontId="6" fillId="0" borderId="22" xfId="2" applyFont="1" applyFill="1" applyBorder="1" applyAlignment="1">
      <alignment horizontal="center" vertical="center" wrapText="1"/>
    </xf>
    <xf numFmtId="0" fontId="6" fillId="0" borderId="40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40" xfId="2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5" fillId="0" borderId="4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Border="1" applyAlignment="1" applyProtection="1">
      <alignment horizontal="center" vertical="center" wrapText="1"/>
    </xf>
    <xf numFmtId="0" fontId="5" fillId="0" borderId="40" xfId="2" applyFont="1" applyFill="1" applyBorder="1" applyAlignment="1" applyProtection="1">
      <alignment horizontal="center" vertical="center"/>
    </xf>
    <xf numFmtId="0" fontId="5" fillId="0" borderId="11" xfId="2" applyFont="1" applyFill="1" applyBorder="1" applyAlignment="1" applyProtection="1">
      <alignment horizontal="center" vertical="center"/>
    </xf>
    <xf numFmtId="0" fontId="5" fillId="0" borderId="14" xfId="2" applyFont="1" applyFill="1" applyBorder="1" applyAlignment="1" applyProtection="1">
      <alignment horizontal="center" vertical="center"/>
    </xf>
    <xf numFmtId="0" fontId="5" fillId="6" borderId="40" xfId="0" applyNumberFormat="1" applyFont="1" applyFill="1" applyBorder="1" applyAlignment="1" applyProtection="1">
      <alignment horizontal="center" vertical="center" wrapText="1"/>
    </xf>
    <xf numFmtId="0" fontId="5" fillId="6" borderId="14" xfId="0" applyNumberFormat="1" applyFont="1" applyFill="1" applyBorder="1" applyAlignment="1" applyProtection="1">
      <alignment horizontal="center" vertical="center" wrapText="1"/>
    </xf>
    <xf numFmtId="0" fontId="5" fillId="6" borderId="11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40" xfId="0" applyNumberFormat="1" applyFont="1" applyBorder="1" applyAlignment="1" applyProtection="1">
      <alignment horizontal="center" vertical="center" wrapText="1"/>
    </xf>
    <xf numFmtId="0" fontId="5" fillId="0" borderId="11" xfId="0" applyNumberFormat="1" applyFont="1" applyBorder="1" applyAlignment="1" applyProtection="1">
      <alignment horizontal="center" vertical="center" wrapText="1"/>
    </xf>
    <xf numFmtId="0" fontId="5" fillId="2" borderId="40" xfId="0" applyNumberFormat="1" applyFont="1" applyFill="1" applyBorder="1" applyAlignment="1" applyProtection="1">
      <alignment horizontal="left" vertical="center" wrapText="1"/>
    </xf>
    <xf numFmtId="0" fontId="5" fillId="2" borderId="11" xfId="0" applyNumberFormat="1" applyFont="1" applyFill="1" applyBorder="1" applyAlignment="1" applyProtection="1">
      <alignment horizontal="left" vertical="center" wrapText="1"/>
    </xf>
    <xf numFmtId="0" fontId="5" fillId="0" borderId="40" xfId="0" applyNumberFormat="1" applyFont="1" applyBorder="1" applyAlignment="1" applyProtection="1">
      <alignment horizontal="left" vertical="center" wrapText="1"/>
    </xf>
    <xf numFmtId="0" fontId="5" fillId="0" borderId="11" xfId="0" applyNumberFormat="1" applyFont="1" applyBorder="1" applyAlignment="1" applyProtection="1">
      <alignment horizontal="left" vertical="center" wrapText="1"/>
    </xf>
    <xf numFmtId="0" fontId="5" fillId="2" borderId="22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Border="1" applyAlignment="1" applyProtection="1">
      <alignment horizontal="left" vertical="center" wrapText="1"/>
    </xf>
    <xf numFmtId="0" fontId="5" fillId="0" borderId="40" xfId="0" applyNumberFormat="1" applyFont="1" applyFill="1" applyBorder="1" applyAlignment="1" applyProtection="1">
      <alignment horizontal="left" vertical="center" wrapText="1"/>
    </xf>
    <xf numFmtId="0" fontId="5" fillId="0" borderId="14" xfId="0" applyNumberFormat="1" applyFont="1" applyFill="1" applyBorder="1" applyAlignment="1" applyProtection="1">
      <alignment horizontal="left" vertical="center" wrapText="1"/>
    </xf>
    <xf numFmtId="0" fontId="5" fillId="0" borderId="11" xfId="0" applyNumberFormat="1" applyFont="1" applyFill="1" applyBorder="1" applyAlignment="1" applyProtection="1">
      <alignment horizontal="left" vertical="center" wrapText="1"/>
    </xf>
    <xf numFmtId="0" fontId="6" fillId="0" borderId="7" xfId="2" applyFont="1" applyFill="1" applyBorder="1" applyAlignment="1" applyProtection="1">
      <alignment horizontal="center" vertical="center" wrapText="1"/>
    </xf>
    <xf numFmtId="0" fontId="6" fillId="0" borderId="8" xfId="2" applyFont="1" applyFill="1" applyBorder="1" applyAlignment="1" applyProtection="1">
      <alignment horizontal="center" vertical="center" wrapText="1"/>
    </xf>
    <xf numFmtId="0" fontId="6" fillId="0" borderId="9" xfId="2" applyFont="1" applyFill="1" applyBorder="1" applyAlignment="1" applyProtection="1">
      <alignment horizontal="center" vertical="center" wrapText="1"/>
    </xf>
    <xf numFmtId="0" fontId="6" fillId="0" borderId="20" xfId="2" applyFont="1" applyFill="1" applyBorder="1" applyAlignment="1" applyProtection="1">
      <alignment horizontal="center" vertical="center" wrapText="1"/>
    </xf>
    <xf numFmtId="165" fontId="5" fillId="0" borderId="14" xfId="0" applyFont="1" applyFill="1" applyBorder="1" applyAlignment="1" applyProtection="1">
      <alignment wrapText="1"/>
    </xf>
    <xf numFmtId="165" fontId="5" fillId="0" borderId="17" xfId="0" applyFont="1" applyFill="1" applyBorder="1" applyAlignment="1" applyProtection="1">
      <alignment wrapText="1"/>
    </xf>
    <xf numFmtId="0" fontId="6" fillId="0" borderId="14" xfId="2" applyFont="1" applyFill="1" applyBorder="1" applyAlignment="1" applyProtection="1">
      <alignment horizontal="center" vertical="center" wrapText="1"/>
    </xf>
    <xf numFmtId="0" fontId="6" fillId="0" borderId="17" xfId="2" applyFont="1" applyFill="1" applyBorder="1" applyAlignment="1" applyProtection="1">
      <alignment horizontal="center" vertical="center" wrapText="1"/>
    </xf>
    <xf numFmtId="0" fontId="6" fillId="0" borderId="19" xfId="2" applyFont="1" applyFill="1" applyBorder="1" applyAlignment="1" applyProtection="1">
      <alignment horizontal="center" vertical="center" wrapText="1"/>
    </xf>
    <xf numFmtId="0" fontId="6" fillId="0" borderId="15" xfId="2" applyFont="1" applyFill="1" applyBorder="1" applyAlignment="1" applyProtection="1">
      <alignment horizontal="center" vertical="center" wrapText="1"/>
    </xf>
    <xf numFmtId="0" fontId="6" fillId="0" borderId="13" xfId="2" applyFont="1" applyFill="1" applyBorder="1" applyAlignment="1" applyProtection="1">
      <alignment horizontal="center" vertical="center" wrapText="1"/>
    </xf>
    <xf numFmtId="0" fontId="6" fillId="0" borderId="21" xfId="2" applyFont="1" applyFill="1" applyBorder="1" applyAlignment="1" applyProtection="1">
      <alignment horizontal="center" vertical="center" wrapText="1"/>
    </xf>
    <xf numFmtId="0" fontId="6" fillId="0" borderId="22" xfId="2" applyFont="1" applyFill="1" applyBorder="1" applyAlignment="1" applyProtection="1">
      <alignment horizontal="center" vertical="center" wrapText="1"/>
    </xf>
    <xf numFmtId="0" fontId="6" fillId="0" borderId="4" xfId="2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7" fillId="0" borderId="19" xfId="2" applyFont="1" applyBorder="1" applyAlignment="1" applyProtection="1">
      <alignment horizontal="center" vertical="center"/>
    </xf>
    <xf numFmtId="0" fontId="7" fillId="0" borderId="3" xfId="2" applyFont="1" applyBorder="1" applyAlignment="1" applyProtection="1">
      <alignment horizontal="center" vertical="center"/>
    </xf>
    <xf numFmtId="0" fontId="7" fillId="0" borderId="15" xfId="2" applyFont="1" applyBorder="1" applyAlignment="1" applyProtection="1">
      <alignment horizontal="center" vertical="center"/>
    </xf>
    <xf numFmtId="0" fontId="7" fillId="0" borderId="0" xfId="2" applyFont="1" applyBorder="1" applyAlignment="1" applyProtection="1">
      <alignment horizontal="center" vertical="center"/>
    </xf>
    <xf numFmtId="0" fontId="7" fillId="0" borderId="15" xfId="2" applyFont="1" applyFill="1" applyBorder="1" applyAlignment="1" applyProtection="1">
      <alignment horizontal="center" vertical="center"/>
    </xf>
    <xf numFmtId="0" fontId="7" fillId="0" borderId="0" xfId="2" applyFont="1" applyFill="1" applyBorder="1" applyAlignment="1" applyProtection="1">
      <alignment horizontal="center" vertical="center"/>
    </xf>
    <xf numFmtId="0" fontId="7" fillId="0" borderId="13" xfId="2" applyFont="1" applyFill="1" applyBorder="1" applyAlignment="1" applyProtection="1">
      <alignment horizontal="center" vertical="center"/>
    </xf>
    <xf numFmtId="0" fontId="7" fillId="0" borderId="2" xfId="2" applyFont="1" applyFill="1" applyBorder="1" applyAlignment="1" applyProtection="1">
      <alignment horizontal="center" vertical="center"/>
    </xf>
    <xf numFmtId="0" fontId="4" fillId="0" borderId="21" xfId="2" applyNumberFormat="1" applyFont="1" applyFill="1" applyBorder="1" applyAlignment="1" applyProtection="1">
      <alignment horizontal="left" vertical="center"/>
    </xf>
    <xf numFmtId="0" fontId="10" fillId="0" borderId="22" xfId="1" applyNumberFormat="1" applyFont="1" applyFill="1" applyBorder="1" applyAlignment="1" applyProtection="1">
      <alignment horizontal="left" vertical="center"/>
    </xf>
    <xf numFmtId="0" fontId="4" fillId="0" borderId="22" xfId="1" applyNumberFormat="1" applyFont="1" applyFill="1" applyBorder="1" applyAlignment="1" applyProtection="1">
      <alignment horizontal="left" vertical="center"/>
    </xf>
    <xf numFmtId="0" fontId="6" fillId="0" borderId="29" xfId="2" applyFont="1" applyFill="1" applyBorder="1" applyAlignment="1" applyProtection="1">
      <alignment horizontal="center" vertical="center" wrapText="1"/>
    </xf>
    <xf numFmtId="0" fontId="6" fillId="0" borderId="33" xfId="2" applyFont="1" applyFill="1" applyBorder="1" applyAlignment="1" applyProtection="1">
      <alignment horizontal="center" vertical="center" wrapText="1"/>
    </xf>
    <xf numFmtId="0" fontId="6" fillId="0" borderId="31" xfId="2" applyFont="1" applyFill="1" applyBorder="1" applyAlignment="1" applyProtection="1">
      <alignment horizontal="center" vertical="center" wrapText="1"/>
    </xf>
    <xf numFmtId="0" fontId="6" fillId="0" borderId="11" xfId="2" applyFont="1" applyFill="1" applyBorder="1" applyAlignment="1" applyProtection="1">
      <alignment horizontal="center" vertical="center" wrapText="1"/>
    </xf>
    <xf numFmtId="0" fontId="6" fillId="0" borderId="35" xfId="2" applyFont="1" applyFill="1" applyBorder="1" applyAlignment="1" applyProtection="1">
      <alignment horizontal="center" vertical="center" wrapText="1"/>
    </xf>
    <xf numFmtId="0" fontId="6" fillId="0" borderId="29" xfId="2" applyFont="1" applyFill="1" applyBorder="1" applyAlignment="1" applyProtection="1">
      <alignment horizontal="center" vertical="center"/>
    </xf>
    <xf numFmtId="0" fontId="6" fillId="0" borderId="33" xfId="2" applyFont="1" applyFill="1" applyBorder="1" applyAlignment="1" applyProtection="1">
      <alignment horizontal="center" vertical="center"/>
    </xf>
    <xf numFmtId="0" fontId="6" fillId="0" borderId="31" xfId="2" applyFont="1" applyFill="1" applyBorder="1" applyAlignment="1" applyProtection="1">
      <alignment horizontal="center" vertical="center"/>
    </xf>
    <xf numFmtId="0" fontId="6" fillId="0" borderId="43" xfId="2" applyFont="1" applyFill="1" applyBorder="1" applyAlignment="1" applyProtection="1">
      <alignment horizontal="center" vertical="center" wrapText="1"/>
    </xf>
    <xf numFmtId="0" fontId="6" fillId="0" borderId="32" xfId="2" applyFont="1" applyFill="1" applyBorder="1" applyAlignment="1" applyProtection="1">
      <alignment horizontal="center" vertical="center" wrapText="1"/>
    </xf>
    <xf numFmtId="0" fontId="6" fillId="0" borderId="42" xfId="2" applyFont="1" applyFill="1" applyBorder="1" applyAlignment="1" applyProtection="1">
      <alignment horizontal="center" vertical="center" wrapText="1"/>
    </xf>
    <xf numFmtId="0" fontId="6" fillId="0" borderId="36" xfId="2" applyFont="1" applyFill="1" applyBorder="1" applyAlignment="1" applyProtection="1">
      <alignment horizontal="center" vertical="center" wrapText="1"/>
    </xf>
    <xf numFmtId="0" fontId="6" fillId="0" borderId="37" xfId="2" applyFont="1" applyFill="1" applyBorder="1" applyAlignment="1" applyProtection="1">
      <alignment horizontal="center" vertical="center" wrapText="1"/>
    </xf>
    <xf numFmtId="0" fontId="6" fillId="0" borderId="38" xfId="2" applyFont="1" applyFill="1" applyBorder="1" applyAlignment="1" applyProtection="1">
      <alignment horizontal="center" vertical="center" wrapText="1"/>
    </xf>
    <xf numFmtId="0" fontId="6" fillId="0" borderId="22" xfId="2" applyFont="1" applyFill="1" applyBorder="1" applyAlignment="1" applyProtection="1">
      <alignment horizontal="center" vertical="center"/>
    </xf>
    <xf numFmtId="0" fontId="4" fillId="0" borderId="21" xfId="2" applyFont="1" applyFill="1" applyBorder="1" applyAlignment="1" applyProtection="1">
      <alignment horizontal="left" vertical="center"/>
    </xf>
    <xf numFmtId="0" fontId="4" fillId="0" borderId="26" xfId="2" applyFont="1" applyFill="1" applyBorder="1" applyAlignment="1" applyProtection="1">
      <alignment horizontal="left" vertical="center"/>
    </xf>
    <xf numFmtId="0" fontId="4" fillId="0" borderId="22" xfId="2" applyNumberFormat="1" applyFont="1" applyBorder="1" applyAlignment="1" applyProtection="1">
      <alignment horizontal="left" vertical="center"/>
    </xf>
    <xf numFmtId="0" fontId="4" fillId="0" borderId="28" xfId="2" applyNumberFormat="1" applyFont="1" applyBorder="1" applyAlignment="1" applyProtection="1">
      <alignment horizontal="left" vertical="center"/>
    </xf>
    <xf numFmtId="0" fontId="4" fillId="0" borderId="29" xfId="2" applyNumberFormat="1" applyFont="1" applyBorder="1" applyAlignment="1" applyProtection="1">
      <alignment horizontal="left" vertical="center"/>
    </xf>
    <xf numFmtId="0" fontId="4" fillId="0" borderId="30" xfId="2" applyNumberFormat="1" applyFont="1" applyBorder="1" applyAlignment="1" applyProtection="1">
      <alignment horizontal="left" vertical="center"/>
    </xf>
    <xf numFmtId="168" fontId="4" fillId="0" borderId="22" xfId="2" applyNumberFormat="1" applyFont="1" applyBorder="1" applyAlignment="1" applyProtection="1">
      <alignment horizontal="left" vertical="center"/>
    </xf>
    <xf numFmtId="168" fontId="4" fillId="0" borderId="28" xfId="2" applyNumberFormat="1" applyFont="1" applyBorder="1" applyAlignment="1" applyProtection="1">
      <alignment horizontal="left" vertical="center"/>
    </xf>
    <xf numFmtId="0" fontId="6" fillId="3" borderId="21" xfId="2" applyFont="1" applyFill="1" applyBorder="1" applyAlignment="1" applyProtection="1">
      <alignment horizontal="center" vertical="center" wrapText="1"/>
    </xf>
    <xf numFmtId="0" fontId="6" fillId="3" borderId="10" xfId="2" applyFont="1" applyFill="1" applyBorder="1" applyAlignment="1" applyProtection="1">
      <alignment horizontal="center" vertical="center"/>
    </xf>
    <xf numFmtId="0" fontId="6" fillId="3" borderId="5" xfId="2" applyFont="1" applyFill="1" applyBorder="1" applyAlignment="1" applyProtection="1">
      <alignment horizontal="center" vertical="center"/>
    </xf>
    <xf numFmtId="0" fontId="6" fillId="3" borderId="6" xfId="2" applyFont="1" applyFill="1" applyBorder="1" applyAlignment="1" applyProtection="1">
      <alignment horizontal="center" vertical="center"/>
    </xf>
    <xf numFmtId="0" fontId="6" fillId="3" borderId="29" xfId="2" applyFont="1" applyFill="1" applyBorder="1" applyAlignment="1" applyProtection="1">
      <alignment horizontal="center" vertical="center"/>
    </xf>
    <xf numFmtId="0" fontId="6" fillId="3" borderId="33" xfId="2" applyFont="1" applyFill="1" applyBorder="1" applyAlignment="1" applyProtection="1">
      <alignment horizontal="center" vertical="center"/>
    </xf>
    <xf numFmtId="0" fontId="6" fillId="3" borderId="31" xfId="2" applyFont="1" applyFill="1" applyBorder="1" applyAlignment="1" applyProtection="1">
      <alignment horizontal="center" vertical="center"/>
    </xf>
    <xf numFmtId="0" fontId="6" fillId="3" borderId="22" xfId="2" applyFont="1" applyFill="1" applyBorder="1" applyAlignment="1" applyProtection="1">
      <alignment horizontal="center" vertical="center"/>
    </xf>
    <xf numFmtId="0" fontId="6" fillId="0" borderId="10" xfId="2" applyFont="1" applyFill="1" applyBorder="1" applyAlignment="1" applyProtection="1">
      <alignment horizontal="center" vertical="center" wrapText="1"/>
    </xf>
    <xf numFmtId="0" fontId="6" fillId="0" borderId="5" xfId="2" applyFont="1" applyFill="1" applyBorder="1" applyAlignment="1" applyProtection="1">
      <alignment horizontal="center" vertical="center" wrapText="1"/>
    </xf>
    <xf numFmtId="0" fontId="6" fillId="0" borderId="6" xfId="2" applyFont="1" applyFill="1" applyBorder="1" applyAlignment="1" applyProtection="1">
      <alignment horizontal="center" vertical="center" wrapText="1"/>
    </xf>
    <xf numFmtId="0" fontId="4" fillId="0" borderId="29" xfId="1" applyNumberFormat="1" applyFont="1" applyFill="1" applyBorder="1" applyAlignment="1" applyProtection="1">
      <alignment horizontal="left" vertical="center"/>
    </xf>
    <xf numFmtId="0" fontId="4" fillId="0" borderId="33" xfId="1" applyNumberFormat="1" applyFont="1" applyFill="1" applyBorder="1" applyAlignment="1" applyProtection="1">
      <alignment horizontal="left" vertical="center"/>
    </xf>
    <xf numFmtId="0" fontId="4" fillId="0" borderId="31" xfId="1" applyNumberFormat="1" applyFont="1" applyFill="1" applyBorder="1" applyAlignment="1" applyProtection="1">
      <alignment horizontal="left" vertical="center"/>
    </xf>
    <xf numFmtId="0" fontId="5" fillId="0" borderId="14" xfId="0" applyNumberFormat="1" applyFont="1" applyBorder="1" applyAlignment="1" applyProtection="1">
      <alignment horizontal="center" vertical="center" wrapText="1"/>
    </xf>
    <xf numFmtId="0" fontId="6" fillId="3" borderId="29" xfId="2" applyFont="1" applyFill="1" applyBorder="1" applyAlignment="1" applyProtection="1">
      <alignment horizontal="center" vertical="center" wrapText="1"/>
    </xf>
    <xf numFmtId="0" fontId="6" fillId="3" borderId="33" xfId="2" applyFont="1" applyFill="1" applyBorder="1" applyAlignment="1" applyProtection="1">
      <alignment horizontal="center" vertical="center" wrapText="1"/>
    </xf>
    <xf numFmtId="0" fontId="6" fillId="3" borderId="31" xfId="2" applyFont="1" applyFill="1" applyBorder="1" applyAlignment="1" applyProtection="1">
      <alignment horizontal="center" vertical="center" wrapText="1"/>
    </xf>
    <xf numFmtId="0" fontId="6" fillId="3" borderId="11" xfId="2" applyFont="1" applyFill="1" applyBorder="1" applyAlignment="1" applyProtection="1">
      <alignment horizontal="center" vertical="center"/>
    </xf>
    <xf numFmtId="0" fontId="5" fillId="2" borderId="40" xfId="0" applyNumberFormat="1" applyFont="1" applyFill="1" applyBorder="1" applyAlignment="1" applyProtection="1">
      <alignment horizontal="center" vertical="center" wrapText="1"/>
    </xf>
    <xf numFmtId="0" fontId="5" fillId="2" borderId="11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Border="1" applyAlignment="1" applyProtection="1">
      <alignment horizontal="left" vertical="center" wrapText="1"/>
    </xf>
    <xf numFmtId="0" fontId="5" fillId="0" borderId="39" xfId="2" applyFont="1" applyFill="1" applyBorder="1" applyAlignment="1" applyProtection="1">
      <alignment horizontal="center" vertical="center"/>
    </xf>
    <xf numFmtId="0" fontId="5" fillId="0" borderId="8" xfId="2" applyFont="1" applyFill="1" applyBorder="1" applyAlignment="1" applyProtection="1">
      <alignment horizontal="center" vertical="center"/>
    </xf>
    <xf numFmtId="0" fontId="5" fillId="0" borderId="16" xfId="2" applyFont="1" applyFill="1" applyBorder="1" applyAlignment="1" applyProtection="1">
      <alignment horizontal="center" vertical="center"/>
    </xf>
  </cellXfs>
  <cellStyles count="7">
    <cellStyle name="Comma" xfId="1" builtinId="3"/>
    <cellStyle name="Comma 2" xfId="6"/>
    <cellStyle name="Hyperlink" xfId="3" builtinId="8"/>
    <cellStyle name="Normal" xfId="0" builtinId="0"/>
    <cellStyle name="Normal 2" xfId="5"/>
    <cellStyle name="Normal 3" xfId="4"/>
    <cellStyle name="Normal_11161" xfId="2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114300</xdr:rowOff>
    </xdr:from>
    <xdr:to>
      <xdr:col>1</xdr:col>
      <xdr:colOff>1355704</xdr:colOff>
      <xdr:row>3</xdr:row>
      <xdr:rowOff>28575</xdr:rowOff>
    </xdr:to>
    <xdr:pic>
      <xdr:nvPicPr>
        <xdr:cNvPr id="5" name="Picture 4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0" y="114300"/>
          <a:ext cx="1574779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1428750</xdr:colOff>
      <xdr:row>0</xdr:row>
      <xdr:rowOff>200025</xdr:rowOff>
    </xdr:from>
    <xdr:to>
      <xdr:col>1</xdr:col>
      <xdr:colOff>2609850</xdr:colOff>
      <xdr:row>2</xdr:row>
      <xdr:rowOff>180975</xdr:rowOff>
    </xdr:to>
    <xdr:pic>
      <xdr:nvPicPr>
        <xdr:cNvPr id="4" name="Picture 3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200025"/>
          <a:ext cx="118110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133350</xdr:rowOff>
    </xdr:from>
    <xdr:to>
      <xdr:col>1</xdr:col>
      <xdr:colOff>1285875</xdr:colOff>
      <xdr:row>3</xdr:row>
      <xdr:rowOff>38359</xdr:rowOff>
    </xdr:to>
    <xdr:pic>
      <xdr:nvPicPr>
        <xdr:cNvPr id="7" name="Picture 6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25" y="133350"/>
          <a:ext cx="1552575" cy="647959"/>
        </a:xfrm>
        <a:prstGeom prst="rect">
          <a:avLst/>
        </a:prstGeom>
      </xdr:spPr>
    </xdr:pic>
    <xdr:clientData/>
  </xdr:twoCellAnchor>
  <xdr:twoCellAnchor editAs="oneCell">
    <xdr:from>
      <xdr:col>1</xdr:col>
      <xdr:colOff>1400175</xdr:colOff>
      <xdr:row>1</xdr:row>
      <xdr:rowOff>9525</xdr:rowOff>
    </xdr:from>
    <xdr:to>
      <xdr:col>1</xdr:col>
      <xdr:colOff>2581275</xdr:colOff>
      <xdr:row>2</xdr:row>
      <xdr:rowOff>238125</xdr:rowOff>
    </xdr:to>
    <xdr:pic>
      <xdr:nvPicPr>
        <xdr:cNvPr id="4" name="Picture 3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257175"/>
          <a:ext cx="118110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180975</xdr:rowOff>
    </xdr:from>
    <xdr:to>
      <xdr:col>1</xdr:col>
      <xdr:colOff>1427945</xdr:colOff>
      <xdr:row>3</xdr:row>
      <xdr:rowOff>133350</xdr:rowOff>
    </xdr:to>
    <xdr:pic>
      <xdr:nvPicPr>
        <xdr:cNvPr id="6" name="Picture 5" descr="ADMA-OPC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80975"/>
          <a:ext cx="166607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1514475</xdr:colOff>
      <xdr:row>1</xdr:row>
      <xdr:rowOff>0</xdr:rowOff>
    </xdr:from>
    <xdr:to>
      <xdr:col>1</xdr:col>
      <xdr:colOff>2695575</xdr:colOff>
      <xdr:row>2</xdr:row>
      <xdr:rowOff>228600</xdr:rowOff>
    </xdr:to>
    <xdr:pic>
      <xdr:nvPicPr>
        <xdr:cNvPr id="4" name="Picture 3" descr="D:\NPCC LOGO Material etc\NPCC logo- full color identity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247650"/>
          <a:ext cx="118110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2207/DOCUMENTS/PIPELINE%20&amp;%20CABLE/DAVIT%20LIFT%20ANALYSIS/WHT1-WHT3/2207-NN-RP-020%206%20inch/Rev%20B/REPORT" TargetMode="External"/><Relationship Id="rId299" Type="http://schemas.openxmlformats.org/officeDocument/2006/relationships/hyperlink" Target="..\DOCUMENTS\PIPELINE%20AND%20CABLE\SEAFASTENING%20DESIGN%20REPORTS\2207-NN-RP-153%20CC%20PIPES%20ON%20AWALCO-1\COMMENTS\Rev%20B\GMC" TargetMode="External"/><Relationship Id="rId21" Type="http://schemas.openxmlformats.org/officeDocument/2006/relationships/hyperlink" Target="../../2207/DOCUMENTS/PIPELINE%20&amp;%20CABLE/SEAFASTENING%20DESIGN%20REPORTS/2207-NN-RP-054%20PIPES%20FOR%20AWALCO-1%20(TRIP-1)/COMMENTS/CLIENT" TargetMode="External"/><Relationship Id="rId63" Type="http://schemas.openxmlformats.org/officeDocument/2006/relationships/hyperlink" Target="../../2207/DOCUMENTS/PIPELINE%20&amp;%20CABLE/PIPELAY%20ANALYSIS/WHT-2%20TO%20WHT-5/2207-NN-RP-014%206%20INCH/COMMENTS/Rev%20B/CLIENT" TargetMode="External"/><Relationship Id="rId159" Type="http://schemas.openxmlformats.org/officeDocument/2006/relationships/hyperlink" Target="../../2207/DOCUMENTS/PIPELINE%20&amp;%20CABLE/DAVIT%20LIFT%20ANALYSIS/WHT5-ULRP/2207-NN-RP-024%206%20inch/REV%200/REPORT" TargetMode="External"/><Relationship Id="rId324" Type="http://schemas.openxmlformats.org/officeDocument/2006/relationships/hyperlink" Target="../DOCUMENTS/PIPELINE%20AND%20CABLE/PIPELAY%20ANALYSIS/WHT6-ULRP/2207-NN-RP-109%208INCH/REPORT/Rev%20B" TargetMode="External"/><Relationship Id="rId366" Type="http://schemas.openxmlformats.org/officeDocument/2006/relationships/hyperlink" Target="../DOCUMENTS/PIPELINE%20AND%20CABLE/DAVIT%20LIFT%20ANALYSIS/WHT7%20to%20WHT8/2207-NN-RP-117%2016%20inch/COMMENTS/Rev%20B/CLIENT" TargetMode="External"/><Relationship Id="rId531" Type="http://schemas.openxmlformats.org/officeDocument/2006/relationships/hyperlink" Target="..\DOCUMENTS\PIPELINE%20AND%20CABLE\RISER%20LIFT%20ANALYSIS%20REPORTS\2207-NN-RP-136\COMMENTS\Rev%20B\CLIENT" TargetMode="External"/><Relationship Id="rId573" Type="http://schemas.openxmlformats.org/officeDocument/2006/relationships/hyperlink" Target="../DOCUMENTS/PIPELINE%20AND%20CABLE/RISER%20LIFT%20ANALYSIS%20REPORTS/2207-NN-RP-128/COMMENTS/Rev%20B/CLIENT" TargetMode="External"/><Relationship Id="rId170" Type="http://schemas.openxmlformats.org/officeDocument/2006/relationships/hyperlink" Target="../../2207/DOCUMENTS/PIPELINE%20&amp;%20CABLE/DAVIT%20LIFT%20ANALYSIS/WHT1-WHT3/2207-NN-RP-018%2016%20inch/COMMENTS/Rev%20B/CLIENT" TargetMode="External"/><Relationship Id="rId226" Type="http://schemas.openxmlformats.org/officeDocument/2006/relationships/hyperlink" Target="../../2207/DOCUMENTS/PIPELINE%20&amp;%20CABLE/RISER%20LIFT%20ANALYSIS%20REPORTS/2207-NN-RP-029%2016INCH%20ULRP%20TO%20WHT-5%20(@WHT-5)/COMMENTS/Rev%20B/CLIENT" TargetMode="External"/><Relationship Id="rId433" Type="http://schemas.openxmlformats.org/officeDocument/2006/relationships/hyperlink" Target="..\DOCUMENTS\PIPELINE%20AND%20CABLE\DAVIT%20LIFT%20ANALYSIS\WHT7%20to%20WHT8\2207-NN-RP-118%2010%20inch\COMMENTS\Rev%200\GMC" TargetMode="External"/><Relationship Id="rId268" Type="http://schemas.openxmlformats.org/officeDocument/2006/relationships/hyperlink" Target="../DOCUMENTS/PIPELINE%20AND%20CABLE/RISER%20LIFT%20ANALYSIS%20REPORTS/2207-NN-RP-134/Rev%20B" TargetMode="External"/><Relationship Id="rId475" Type="http://schemas.openxmlformats.org/officeDocument/2006/relationships/hyperlink" Target="../DOCUMENTS/PIPELINE%20AND%20CABLE/RISER%20LIFT%20ANALYSIS%20REPORTS/2207-NN-RP-158-%20cancelled/COMMENTS/Rev%20B/GMC" TargetMode="External"/><Relationship Id="rId32" Type="http://schemas.openxmlformats.org/officeDocument/2006/relationships/hyperlink" Target="../../2207/DOCUMENTS/PIPELINE%20&amp;%20CABLE/PIPELAY%20ANALYSIS/WHT-5%20TO%20ULRP/2207-NN-RP-011%206inch/REPORT/Rev%20B" TargetMode="External"/><Relationship Id="rId74" Type="http://schemas.openxmlformats.org/officeDocument/2006/relationships/hyperlink" Target="../../2207/DOCUMENTS/PIPELINE%20&amp;%20CABLE/PIPELAY%20ANALYSIS/WHT-1%20TO%20WHT-3/2207-NN-RP-005%2016INCH/REPORT/Rev%200" TargetMode="External"/><Relationship Id="rId128" Type="http://schemas.openxmlformats.org/officeDocument/2006/relationships/hyperlink" Target="../../2207/DOCUMENTS/PIPELINE%20&amp;%20CABLE/DAVIT%20LIFT%20ANALYSIS/WHT1-WHT3/2207-NN-RP-018%2016%20inch/Rev%20B/REPORT" TargetMode="External"/><Relationship Id="rId335" Type="http://schemas.openxmlformats.org/officeDocument/2006/relationships/hyperlink" Target="../DOCUMENTS/PIPELINE%20AND%20CABLE/PIPELAY%20ANALYSIS/WHT7-WHT8/2207-NN-RP-104%2010%20INCH/REPORT/REV%200" TargetMode="External"/><Relationship Id="rId377" Type="http://schemas.openxmlformats.org/officeDocument/2006/relationships/hyperlink" Target="../DOCUMENTS/PIPELINE%20AND%20CABLE/DAVIT%20LIFT%20ANALYSIS/WHT7%20to%20WHT8/2207-NN-RP-117%2016%20inch/COMMENTS/Rev%200/CLIENT" TargetMode="External"/><Relationship Id="rId500" Type="http://schemas.openxmlformats.org/officeDocument/2006/relationships/hyperlink" Target="../DOCUMENTS/PIPELINE%20AND%20CABLE/DAVIT%20LIFT%20ANALYSIS/WHT7%20to%20WHT8/2207-NN-RP-117%2016%20inch/COMMENTS/Rev%201/MWS" TargetMode="External"/><Relationship Id="rId542" Type="http://schemas.openxmlformats.org/officeDocument/2006/relationships/hyperlink" Target="../DOCUMENTS/PIPELINE%20AND%20CABLE/LIFTING%20WITH%20AIRBAGS/2207-NN-RP-163/COMMENTS/Rev%201/MWS" TargetMode="External"/><Relationship Id="rId584" Type="http://schemas.openxmlformats.org/officeDocument/2006/relationships/hyperlink" Target="../DOCUMENTS/PIPELINE%20AND%20CABLE/DAVIT%20LIFT%20ANALYSIS/WHT-6%20to%20ULRP/2207-NN-RP-124%206%20inch/COMMENTS/Rev%201/CLIENT" TargetMode="External"/><Relationship Id="rId5" Type="http://schemas.openxmlformats.org/officeDocument/2006/relationships/hyperlink" Target="../../2207/DOCUMENTS/PIPELINE%20&amp;%20CABLE/2207-NN-RP-059%20PIPE%20STACKING%20FOR%20SARB3/COMMENTS/Rev%20B/GMC" TargetMode="External"/><Relationship Id="rId181" Type="http://schemas.openxmlformats.org/officeDocument/2006/relationships/hyperlink" Target="../../2207/DOCUMENTS/PIPELINE%20&amp;%20CABLE/RISER%20LIFT%20ANALYSIS%20REPORTS/2207-NN-RP-043%2010%20INCH%20WHT-3%20TO%20ULRP%20(@ULRP)/COMMENTS/Rev%20B/CLIENT" TargetMode="External"/><Relationship Id="rId237" Type="http://schemas.openxmlformats.org/officeDocument/2006/relationships/hyperlink" Target="../../2207/DOCUMENTS/PIPELINE%20&amp;%20CABLE/RISER%20LIFT%20ANALYSIS%20REPORTS/2207-NN-RP-051%2010%20INCH%20WHT-5%20TO%20WHT-2%20(@WHT-2)/Rev%20B" TargetMode="External"/><Relationship Id="rId402" Type="http://schemas.openxmlformats.org/officeDocument/2006/relationships/hyperlink" Target="../DOCUMENTS/PIPELINE%20AND%20CABLE/RISER%20LIFT%20ANALYSIS%20REPORTS/2207-NN-RP-138/Rev%20B" TargetMode="External"/><Relationship Id="rId279" Type="http://schemas.openxmlformats.org/officeDocument/2006/relationships/hyperlink" Target="../DOCUMENTS/PIPELINE%20AND%20CABLE/RISER%20LIFT%20ANALYSIS%20REPORTS/2207-NN-RP-131/COMMENTS/Rev%20B/CLIENT" TargetMode="External"/><Relationship Id="rId444" Type="http://schemas.openxmlformats.org/officeDocument/2006/relationships/hyperlink" Target="../DOCUMENTS/PIPELINE%20AND%20CABLE/DAVIT%20LIFT%20ANALYSIS/WHT-6%20to%20ULRP/2207-NN-RP-122%2010%20inch/COMMENTS/Rev%20B/CLIENT" TargetMode="External"/><Relationship Id="rId486" Type="http://schemas.openxmlformats.org/officeDocument/2006/relationships/hyperlink" Target="../DOCUMENTS/PIPELINE%20AND%20CABLE/RISER%20LIFT%20ANALYSIS%20REPORTS/2207-NN-RP-152/COMMENTS/Rev%20B/GMC" TargetMode="External"/><Relationship Id="rId43" Type="http://schemas.openxmlformats.org/officeDocument/2006/relationships/hyperlink" Target="../../2207/DOCUMENTS/PIPELINE%20&amp;%20CABLE/PIPELAY%20ANALYSIS/WHT-3%20TO%20ULRP/2207-NN-RP-010%206INCH/REPORT/Rev%200" TargetMode="External"/><Relationship Id="rId139" Type="http://schemas.openxmlformats.org/officeDocument/2006/relationships/hyperlink" Target="../../2207/DOCUMENTS/PIPELINE%20&amp;%20CABLE/DAVIT%20LIFT%20ANALYSIS/WHT3-ULRP/2207-NN-RP-021%20(8%20inch)/COMMENTS/Rev%20B/CLIENT" TargetMode="External"/><Relationship Id="rId290" Type="http://schemas.openxmlformats.org/officeDocument/2006/relationships/hyperlink" Target="../DOCUMENTS/PIPELINE%20AND%20CABLE/PIPELAY%20ANALYSIS/WHT-4%20TO%20WHT-6/2207-NN-RP-111%2010INCH/REPORT/Rev%201" TargetMode="External"/><Relationship Id="rId304" Type="http://schemas.openxmlformats.org/officeDocument/2006/relationships/hyperlink" Target="../DOCUMENTS/PIPELINE%20AND%20CABLE/SEAFASTENING%20DESIGN%20REPORTS/2207-NN-RP-154%20CC%20PIPES%20GOGAS-250/Rev%20B" TargetMode="External"/><Relationship Id="rId346" Type="http://schemas.openxmlformats.org/officeDocument/2006/relationships/hyperlink" Target="../DOCUMENTS/PIPELINE%20AND%20CABLE/PIPELAY%20ANALYSIS/WHT6-ULRP/2207-NN-RP-110%206INCH/COMMENTS/Rev%200/CLIENT" TargetMode="External"/><Relationship Id="rId388" Type="http://schemas.openxmlformats.org/officeDocument/2006/relationships/hyperlink" Target="../DOCUMENTS/PIPELINE%20AND%20CABLE/DAVIT%20LIFT%20ANALYSIS/ULRP%20to%20WHT7/2207-NN-RP-120%206%20inch/COMMENTS/Rev%20B/CLIENT" TargetMode="External"/><Relationship Id="rId511" Type="http://schemas.openxmlformats.org/officeDocument/2006/relationships/hyperlink" Target="../DOCUMENTS/PIPELINE%20AND%20CABLE/SEAFASTENING%20DESIGN%20REPORTS/2207-NN-RP-154%20CC%20PIPES%20GOGAS-250/COMMENTS/Rev%200/GMC" TargetMode="External"/><Relationship Id="rId553" Type="http://schemas.openxmlformats.org/officeDocument/2006/relationships/hyperlink" Target="../DOCUMENTS/PIPELINE%20AND%20CABLE/DAVIT%20LIFT%20ANALYSIS/WHT-6%20to%20ULRP/2207-NN-RP-123%208%20inch/COMMENTS/Rev%201/CLIENT" TargetMode="External"/><Relationship Id="rId609" Type="http://schemas.openxmlformats.org/officeDocument/2006/relationships/drawing" Target="../drawings/drawing1.xml"/><Relationship Id="rId85" Type="http://schemas.openxmlformats.org/officeDocument/2006/relationships/hyperlink" Target="../../2207/DOCUMENTS/PIPELINE%20&amp;%20CABLE/PIPELAY%20ANALYSIS/WHT-1%20TO%20WHT-3/2207-NN-RP-005%2016INCH/COMMENTS/Rev%200/CLIENT" TargetMode="External"/><Relationship Id="rId150" Type="http://schemas.openxmlformats.org/officeDocument/2006/relationships/hyperlink" Target="../../2207/DOCUMENTS/PIPELINE%20&amp;%20CABLE/DAVIT%20LIFT%20ANALYSIS/WHT3-ULRP/2207-NN-RP-023%20(6%20inch)/Rev%200/REPORT" TargetMode="External"/><Relationship Id="rId192" Type="http://schemas.openxmlformats.org/officeDocument/2006/relationships/hyperlink" Target="../../2207/DOCUMENTS/PIPELINE%20&amp;%20CABLE/RISER%20LIFT%20ANALYSIS%20REPORTS/2207-NN-RP-050%2010%20INCH%20WHT-5%20TO%20WHT-2%20(@WHT-5)/COMMENTS/Rev%20B/GMC" TargetMode="External"/><Relationship Id="rId206" Type="http://schemas.openxmlformats.org/officeDocument/2006/relationships/hyperlink" Target="../../2207/DOCUMENTS/PIPELINE%20&amp;%20CABLE/DAVIT%20LIFT%20ANALYSIS/WHT3-ULRP/2207-NN-RP-021%20(8%20inch)/COMMENTS/Rev%200/GMC" TargetMode="External"/><Relationship Id="rId413" Type="http://schemas.openxmlformats.org/officeDocument/2006/relationships/hyperlink" Target="..\DOCUMENTS\PIPELINE%20AND%20CABLE\RISER%20LIFT%20ANALYSIS%20REPORTS\2207-NN-RP-142\Rev%20B" TargetMode="External"/><Relationship Id="rId595" Type="http://schemas.openxmlformats.org/officeDocument/2006/relationships/hyperlink" Target="..\DOCUMENTS\PIPELINE%20AND%20CABLE\RISER%20LIFT%20ANALYSIS%20REPORTS\2207-NN-RP-146\REV-C" TargetMode="External"/><Relationship Id="rId248" Type="http://schemas.openxmlformats.org/officeDocument/2006/relationships/hyperlink" Target="../../2207/DOCUMENTS/PIPELINE%20&amp;%20CABLE/RISER%20LIFT%20ANALYSIS%20REPORTS/2207-NN-RP-051%2010%20INCH%20WHT-5%20TO%20WHT-2%20(@WHT-2)/COMMENTS/Rev%20B/GMC" TargetMode="External"/><Relationship Id="rId455" Type="http://schemas.openxmlformats.org/officeDocument/2006/relationships/hyperlink" Target="..\DOCUMENTS\PIPELINE%20AND%20CABLE\DAVIT%20LIFT%20ANALYSIS\20%20Inch%20MOL\2207-NN-RP-127\REV%20B\Report" TargetMode="External"/><Relationship Id="rId497" Type="http://schemas.openxmlformats.org/officeDocument/2006/relationships/hyperlink" Target="../DOCUMENTS/PIPELINE%20AND%20CABLE/DAVIT%20LIFT%20ANALYSIS/WHT-6%20to%20ULRP/2207-NN-RP-123%208%20inch/COMMENTS/Rev%200/GMC" TargetMode="External"/><Relationship Id="rId12" Type="http://schemas.openxmlformats.org/officeDocument/2006/relationships/hyperlink" Target="../../2207/DOCUMENTS/PIPELINE%20&amp;%20CABLE/SEAFASTENING%20DESIGN%20REPORTS/2207-NN-RP-054%20PIPES%20FOR%20AWALCO-1%20(TRIP-1)/Rev%20B" TargetMode="External"/><Relationship Id="rId108" Type="http://schemas.openxmlformats.org/officeDocument/2006/relationships/hyperlink" Target="../../2207/DOCUMENTS/PIPELINE%20&amp;%20CABLE/DAVIT%20LIFT%20ANALYSIS/WHT5-ULRP/2207-NN-RP-025%2010%20inch/Rev%20B/REPORT" TargetMode="External"/><Relationship Id="rId315" Type="http://schemas.openxmlformats.org/officeDocument/2006/relationships/hyperlink" Target="../DOCUMENTS/PIPELINE%20AND%20CABLE/PIPELAY%20ANALYSIS/ULRP-WHT-7/2207-NN-RP-106%206INCH/COMMENTS/Rev%200/CLIENT" TargetMode="External"/><Relationship Id="rId357" Type="http://schemas.openxmlformats.org/officeDocument/2006/relationships/hyperlink" Target="../DOCUMENTS/PIPELINE%20AND%20CABLE/DAVIT%20LIFT%20ANALYSIS/WHT7%20to%20WHT8/2207-NN-RP-118%2010%20inch/Rev%200/01%20Report" TargetMode="External"/><Relationship Id="rId522" Type="http://schemas.openxmlformats.org/officeDocument/2006/relationships/hyperlink" Target="..\DOCUMENTS\PIPELINE%20AND%20CABLE\LIFTING%20WITH%20AIRBAGS\2207-NN-RP-162\COMMENTS\Rev%200\CLIENT" TargetMode="External"/><Relationship Id="rId54" Type="http://schemas.openxmlformats.org/officeDocument/2006/relationships/hyperlink" Target="../../2207/DOCUMENTS/PIPELINE%20&amp;%20CABLE/PIPELAY%20ANALYSIS/WHT-5%20TO%20ULRP/2207-NN-RP-012%2010inch/COMMENTS/Rev%200/GMC" TargetMode="External"/><Relationship Id="rId96" Type="http://schemas.openxmlformats.org/officeDocument/2006/relationships/hyperlink" Target="../../2207/DOCUMENTS/PIPELINE%20&amp;%20CABLE/DAVIT%20LIFT%20ANALYSIS/WHT3-ULRP/2207-NN-RP-017%20(16%20inch)/COMMENTS/Rev%20B/CLIENT" TargetMode="External"/><Relationship Id="rId161" Type="http://schemas.openxmlformats.org/officeDocument/2006/relationships/hyperlink" Target="../../2207/DOCUMENTS/PIPELINE%20&amp;%20CABLE/DAVIT%20LIFT%20ANALYSIS/WHT2-WHT5/2207-NN-RP-026%2010%20inch/Rev%200/REPORT" TargetMode="External"/><Relationship Id="rId217" Type="http://schemas.openxmlformats.org/officeDocument/2006/relationships/hyperlink" Target="../../2207/DOCUMENTS/PIPELINE%20&amp;%20CABLE/RISER%20LIFT%20ANALYSIS%20REPORTS/2207-NN-RP-048%2010%20INCH%20ULRP%20TO%20WHT-5(@ULRP)/COMMENTS/Rev%20B/GMC" TargetMode="External"/><Relationship Id="rId399" Type="http://schemas.openxmlformats.org/officeDocument/2006/relationships/hyperlink" Target="..\DOCUMENTS\PIPELINE%20AND%20CABLE\DAVIT%20LIFT%20ANALYSIS\WHT-6%20to%20WHT-4\2207-NN-RP-125%2010%20inch\Rev%20B\01%20Report" TargetMode="External"/><Relationship Id="rId564" Type="http://schemas.openxmlformats.org/officeDocument/2006/relationships/hyperlink" Target="../DOCUMENTS/PIPELINE%20AND%20CABLE/DAVIT%20LIFT%20ANALYSIS/WHT-6%20to%20ULRP/2207-NN-RP-123%208%20inch/COMMENTS/Rev%201/MWS" TargetMode="External"/><Relationship Id="rId259" Type="http://schemas.openxmlformats.org/officeDocument/2006/relationships/hyperlink" Target="..\DOCUMENTS\PIPELINE%20AND%20CABLE\2207-NN-RP-100%20PIPE%20STACKING%20CAMPAIGN-2\REPORT\COMMENTS\Rev%20B\GMC" TargetMode="External"/><Relationship Id="rId424" Type="http://schemas.openxmlformats.org/officeDocument/2006/relationships/hyperlink" Target="../DOCUMENTS/PIPELINE%20AND%20CABLE/RISER%20LIFT%20ANALYSIS%20REPORTS/2207-NN-RP-137/COMMENTS/Rev%20C/MWS" TargetMode="External"/><Relationship Id="rId466" Type="http://schemas.openxmlformats.org/officeDocument/2006/relationships/hyperlink" Target="..\DOCUMENTS\PIPELINE%20AND%20CABLE\DAVIT%20LIFT%20ANALYSIS\WHT7%20to%20WHT8\2207-NN-RP-117%2016%20inch\COMMENTS\Rev%201\CLIENT" TargetMode="External"/><Relationship Id="rId23" Type="http://schemas.openxmlformats.org/officeDocument/2006/relationships/hyperlink" Target="../../2207/DOCUMENTS/PIPELINE%20&amp;%20CABLE/PIPELAY%20ANALYSIS/WHT-3%20TO%20ULRP/2207-NN-RP-008%208INCH/REPORT/Rev%20C" TargetMode="External"/><Relationship Id="rId119" Type="http://schemas.openxmlformats.org/officeDocument/2006/relationships/hyperlink" Target="../../2207/DOCUMENTS/PIPELINE%20&amp;%20CABLE/RISER%20LIFT%20ANALYSIS%20REPORTS/2207-NN-RP-044%206INCH%20WHT-3%20TO%20ULRP%20(@WHT-3)/COMMENTS/Rev%20B/CLIENT" TargetMode="External"/><Relationship Id="rId270" Type="http://schemas.openxmlformats.org/officeDocument/2006/relationships/hyperlink" Target="../DOCUMENTS/PIPELINE%20AND%20CABLE/RISER%20LIFT%20ANALYSIS%20REPORTS/2207-NN-RP-132/COMMENTS/REV%20B/CLEINT" TargetMode="External"/><Relationship Id="rId326" Type="http://schemas.openxmlformats.org/officeDocument/2006/relationships/hyperlink" Target="../DOCUMENTS/PIPELINE%20AND%20CABLE/SEAFASTENING%20DESIGN%20REPORTS/2207-NN-RP-153%20CC%20PIPES%20ON%20AWALCO-1/Rev%200" TargetMode="External"/><Relationship Id="rId533" Type="http://schemas.openxmlformats.org/officeDocument/2006/relationships/hyperlink" Target="../DOCUMENTS/PIPELINE%20AND%20CABLE/DAVIT%20LIFT%20ANALYSIS/WHT-6%20to%20WHT-4/2207-NN-RP-125%2010%20inch/COMMENTS/Rev%200/CLIENT" TargetMode="External"/><Relationship Id="rId65" Type="http://schemas.openxmlformats.org/officeDocument/2006/relationships/hyperlink" Target="../../2207/DOCUMENTS/PIPELINE%20&amp;%20CABLE/PIPELAY%20ANALYSIS/WHT-1%20TO%20WHT-3/2207-NN-RP-006%2010INCH/COMMENTS/Rev%20B/CLIENT" TargetMode="External"/><Relationship Id="rId130" Type="http://schemas.openxmlformats.org/officeDocument/2006/relationships/hyperlink" Target="../../2207/DOCUMENTS/PIPELINE%20&amp;%20CABLE/RISER%20LIFT%20ANALYSIS%20REPORTS/2207-NN-RP-037%2010INCH%20WHT-1%20TO%20WHT-3%20(@WHT-3)/COMMENTS/Rev%20B/GMC" TargetMode="External"/><Relationship Id="rId368" Type="http://schemas.openxmlformats.org/officeDocument/2006/relationships/hyperlink" Target="../DOCUMENTS/PIPELINE%20AND%20CABLE/DAVIT%20LIFT%20ANALYSIS/WHT7%20to%20WHT8/2207-NN-RP-119%206in/COMMENTS/Rev%20B/CLIENT" TargetMode="External"/><Relationship Id="rId575" Type="http://schemas.openxmlformats.org/officeDocument/2006/relationships/hyperlink" Target="../DOCUMENTS/PIPELINE%20AND%20CABLE/DAVIT%20LIFT%20ANALYSIS/WHT-6%20to%20WHT-4/2207-NN-RP-126%206%20inch/COMMENTS/Rev%201/CLIENT" TargetMode="External"/><Relationship Id="rId172" Type="http://schemas.openxmlformats.org/officeDocument/2006/relationships/hyperlink" Target="../../2207/DOCUMENTS/PIPELINE%20&amp;%20CABLE/RISER%20LIFT%20ANALYSIS%20REPORTS/2207-NN-RP-030%2016%20INCH%20WHT-5%20TO%20WHT-2(@WHT-5/COMMENTS/Rev%20B/CLIENT" TargetMode="External"/><Relationship Id="rId228" Type="http://schemas.openxmlformats.org/officeDocument/2006/relationships/hyperlink" Target="../../2207/DOCUMENTS/PIPELINE%20&amp;%20CABLE/RISER%20LIFT%20ANALYSIS%20REPORTS/2207-NN-RP-028%2016%20INCH%20ULRP%20TO%20WHT-5%20(@ULRP)/COMMENTS/Rev%20B/CLIENT" TargetMode="External"/><Relationship Id="rId435" Type="http://schemas.openxmlformats.org/officeDocument/2006/relationships/hyperlink" Target="../DOCUMENTS/PIPELINE%20AND%20CABLE/DAVIT%20LIFT%20ANALYSIS/ULRP%20to%20WHT7/2207-NN-RP-120%206%20inch/COMMENTS/Rev%200/GMC" TargetMode="External"/><Relationship Id="rId477" Type="http://schemas.openxmlformats.org/officeDocument/2006/relationships/hyperlink" Target="../DOCUMENTS/PIPELINE%20AND%20CABLE/DAVIT%20LIFT%20ANALYSIS/WHT-6%20to%20ULRP/2207-NN-RP-122%2010%20inch/COMMENTS/Rev%200/CLIENT" TargetMode="External"/><Relationship Id="rId600" Type="http://schemas.openxmlformats.org/officeDocument/2006/relationships/hyperlink" Target="..\DOCUMENTS\PIPELINE%20AND%20CABLE\RISER%20LIFT%20ANALYSIS%20REPORTS\2207-NN-RP-148\COMMENTS\Rev%20C\CLIENT" TargetMode="External"/><Relationship Id="rId281" Type="http://schemas.openxmlformats.org/officeDocument/2006/relationships/hyperlink" Target="../DOCUMENTS/PIPELINE%20AND%20CABLE/RISER%20LIFT%20ANALYSIS%20REPORTS/2207-NN-RP-134/COMMENTS/Rev%20B/CLIENT" TargetMode="External"/><Relationship Id="rId337" Type="http://schemas.openxmlformats.org/officeDocument/2006/relationships/hyperlink" Target="../DOCUMENTS/PIPELINE%20AND%20CABLE/PIPELAY%20ANALYSIS/WHT6-ULRP/2207-NN-RP-109%208INCH/REPORT/Rev%200" TargetMode="External"/><Relationship Id="rId502" Type="http://schemas.openxmlformats.org/officeDocument/2006/relationships/hyperlink" Target="../DOCUMENTS/PIPELINE%20AND%20CABLE/DAVIT%20LIFT%20ANALYSIS/WHT7%20to%20WHT8/2207-NN-RP-119%206in/COMMENTS/Rev%201/MWS" TargetMode="External"/><Relationship Id="rId34" Type="http://schemas.openxmlformats.org/officeDocument/2006/relationships/hyperlink" Target="../../2207/DOCUMENTS/PIPELINE%20&amp;%20CABLE/2207-NN-RP-001%20PIPE%20STACKING%201ST%20CAMPAIGN/REPORT/Rev%20C" TargetMode="External"/><Relationship Id="rId76" Type="http://schemas.openxmlformats.org/officeDocument/2006/relationships/hyperlink" Target="../../2207/DOCUMENTS/PIPELINE%20&amp;%20CABLE/DAVIT%20LIFT%20ANALYSIS/WHT3-ULRP/2207-NN-RP-017%20(16%20inch)/Rev%20B/REPORT" TargetMode="External"/><Relationship Id="rId141" Type="http://schemas.openxmlformats.org/officeDocument/2006/relationships/hyperlink" Target="../../2207/DOCUMENTS/PIPELINE%20&amp;%20CABLE/RISER%20LIFT%20ANALYSIS%20REPORTS/2207-NN-RP-033%2016%20INCH%20WHT-3%20TO%20ULRP%20(@ULRP)/Rev%20B" TargetMode="External"/><Relationship Id="rId379" Type="http://schemas.openxmlformats.org/officeDocument/2006/relationships/hyperlink" Target="../DOCUMENTS/PIPELINE%20AND%20CABLE/DAVIT%20LIFT%20ANALYSIS/WHT7%20to%20WHT8/2207-NN-RP-119%206in/COMMENTS/Rev%200/CLIENT" TargetMode="External"/><Relationship Id="rId544" Type="http://schemas.openxmlformats.org/officeDocument/2006/relationships/hyperlink" Target="../DOCUMENTS/PIPELINE%20AND%20CABLE/DAVIT%20LIFT%20ANALYSIS/WHT-6%20to%20ULRP/2207-NN-RP-115%2018%20inch/Rev%201/01%20Report" TargetMode="External"/><Relationship Id="rId586" Type="http://schemas.openxmlformats.org/officeDocument/2006/relationships/hyperlink" Target="..\DOCUMENTS\PIPELINE%20AND%20CABLE\CABLE%20REPAIR\REV-B" TargetMode="External"/><Relationship Id="rId7" Type="http://schemas.openxmlformats.org/officeDocument/2006/relationships/hyperlink" Target="../../2207/DOCUMENTS/PIPELINE%20&amp;%20CABLE/PIPELAY%20ANALYSIS/WHT-3%20TO%20ULRP/2207-NN-RP-008%208INCH/REPORT/Rev%20B" TargetMode="External"/><Relationship Id="rId183" Type="http://schemas.openxmlformats.org/officeDocument/2006/relationships/hyperlink" Target="../../2207/DOCUMENTS/PIPELINE%20&amp;%20CABLE/DAVIT%20LIFT%20ANALYSIS/WHT5-ULRP/2207-NN-RP-024%206%20inch/COMMENTS/Rev%200/CLIENT" TargetMode="External"/><Relationship Id="rId239" Type="http://schemas.openxmlformats.org/officeDocument/2006/relationships/hyperlink" Target="../../2207/DOCUMENTS/PIPELINE%20&amp;%20CABLE/DAVIT%20LIFT%20ANALYSIS/WHT1-WHT3/2207-NN-RP-018%2016%20inch/COMMENTS/Rev%200/CLIENT" TargetMode="External"/><Relationship Id="rId390" Type="http://schemas.openxmlformats.org/officeDocument/2006/relationships/hyperlink" Target="..\DOCUMENTS\PIPELINE%20AND%20CABLE\DAVIT%20LIFT%20ANALYSIS\ULRP%20to%20WHT7\2207-NN-RP-121%2010%20inch\Rev%200\01%20Report" TargetMode="External"/><Relationship Id="rId404" Type="http://schemas.openxmlformats.org/officeDocument/2006/relationships/hyperlink" Target="../DOCUMENTS/PIPELINE%20AND%20CABLE/SEAFASTENING%20DESIGN%20REPORTS/2207-NN-RP-160%20CC%20PIPES%20GAC-67/Rev%20B" TargetMode="External"/><Relationship Id="rId446" Type="http://schemas.openxmlformats.org/officeDocument/2006/relationships/hyperlink" Target="../DOCUMENTS/PIPELINE%20AND%20CABLE/DAVIT%20LIFT%20ANALYSIS/WHT-6%20to%20ULRP/2207-NN-RP-124%206%20inch/COMMENTS/Rev%20B/CLIENT" TargetMode="External"/><Relationship Id="rId250" Type="http://schemas.openxmlformats.org/officeDocument/2006/relationships/hyperlink" Target="..\Rev%20B" TargetMode="External"/><Relationship Id="rId292" Type="http://schemas.openxmlformats.org/officeDocument/2006/relationships/hyperlink" Target="../DOCUMENTS/PIPELINE%20AND%20CABLE/PIPELAY%20ANALYSIS/WHT-4%20TO%20WHT-6/2207-NN-RP-111%2010INCH/COMMENTS/Rev%201/CLIENT" TargetMode="External"/><Relationship Id="rId306" Type="http://schemas.openxmlformats.org/officeDocument/2006/relationships/hyperlink" Target="../DOCUMENTS/PIPELINE%20AND%20CABLE/PIPELAY%20ANALYSIS/WHT7-WHT8/2207-NN-RP-103%2016INCH/REPORT/Rev%20B" TargetMode="External"/><Relationship Id="rId488" Type="http://schemas.openxmlformats.org/officeDocument/2006/relationships/hyperlink" Target="../DOCUMENTS/PIPELINE%20AND%20CABLE/RISER%20LIFT%20ANALYSIS%20REPORTS/2207-NN-RP-149/COMMENTS/Rev%20B/GMC" TargetMode="External"/><Relationship Id="rId45" Type="http://schemas.openxmlformats.org/officeDocument/2006/relationships/hyperlink" Target="../../2207/DOCUMENTS/PIPELINE%20&amp;%20CABLE/PIPELAY%20ANALYSIS/WHT-5%20TO%20ULRP/2207-NN-RP-012%2010inch/COMMENTS/Rev%200/CLIENT" TargetMode="External"/><Relationship Id="rId87" Type="http://schemas.openxmlformats.org/officeDocument/2006/relationships/hyperlink" Target="../../2207/DOCUMENTS/PIPELINE%20&amp;%20CABLE/PIPELAY%20ANALYSIS/WHT-2%20TO%20WHT-5/2207-NN-RP-003%2016INCH/COMMENTS/Rev%200/GMC" TargetMode="External"/><Relationship Id="rId110" Type="http://schemas.openxmlformats.org/officeDocument/2006/relationships/hyperlink" Target="../../2207/DOCUMENTS/PIPELINE%20&amp;%20CABLE/PIPELAY%20ANALYSIS/WHT-1%20TO%20WHT-3/2207-NN-RP-005%2016INCH/COMMENTS/Rev%201/GMC" TargetMode="External"/><Relationship Id="rId348" Type="http://schemas.openxmlformats.org/officeDocument/2006/relationships/hyperlink" Target="../DOCUMENTS/PIPELINE%20AND%20CABLE/DAVIT%20LIFT%20ANALYSIS/WHT7%20to%20WHT8/2207-NN-RP-119%206in%20davit%20lift/01%20Report" TargetMode="External"/><Relationship Id="rId513" Type="http://schemas.openxmlformats.org/officeDocument/2006/relationships/hyperlink" Target="../DOCUMENTS/PIPELINE%20AND%20CABLE/SEAFASTENING%20DESIGN%20REPORTS/2207-NN-RP-160%20CC%20PIPES%20GAC-67/COMMENTS/Rev%20B/GMC" TargetMode="External"/><Relationship Id="rId555" Type="http://schemas.openxmlformats.org/officeDocument/2006/relationships/hyperlink" Target="../DOCUMENTS/PIPELINE%20AND%20CABLE/RISER%20LIFT%20ANALYSIS%20REPORTS/2207-NN-RP-143/COMMENTS/Rev%20B/GMC" TargetMode="External"/><Relationship Id="rId597" Type="http://schemas.openxmlformats.org/officeDocument/2006/relationships/hyperlink" Target="..\DOCUMENTS\PIPELINE%20AND%20CABLE\RISER%20LIFT%20ANALYSIS%20REPORTS\2207-NN-RP-144\COMMENTS\Rev%20C\CLIENT" TargetMode="External"/><Relationship Id="rId152" Type="http://schemas.openxmlformats.org/officeDocument/2006/relationships/hyperlink" Target="../../2207/DOCUMENTS/PIPELINE%20&amp;%20CABLE/RISER%20LIFT%20ANALYSIS%20REPORTS/2207-NN-RP-048%2010%20INCH%20ULRP%20TO%20WHT-5(@ULRP)/Rev%20B" TargetMode="External"/><Relationship Id="rId194" Type="http://schemas.openxmlformats.org/officeDocument/2006/relationships/hyperlink" Target="../../2207/DOCUMENTS/PIPELINE%20&amp;%20CABLE/RISER%20LIFT%20ANALYSIS%20REPORTS/2207-NN-RP-029%2016INCH%20ULRP%20TO%20WHT-5%20(@WHT-5)/COMMENTS/Rev%20B/GMC" TargetMode="External"/><Relationship Id="rId208" Type="http://schemas.openxmlformats.org/officeDocument/2006/relationships/hyperlink" Target="../../2207/DOCUMENTS/PIPELINE%20&amp;%20CABLE/DAVIT%20LIFT%20ANALYSIS/WHT3-ULRP/2207-NN-RP-023%20(6%20inch)/COMMENTS/Rev%200/GMC" TargetMode="External"/><Relationship Id="rId415" Type="http://schemas.openxmlformats.org/officeDocument/2006/relationships/hyperlink" Target="..\DOCUMENTS\PIPELINE%20AND%20CABLE\RISER%20LIFT%20ANALYSIS%20REPORTS\2207-NN-RP-135\COMMENTS\Rev%20B\CLIENT" TargetMode="External"/><Relationship Id="rId457" Type="http://schemas.openxmlformats.org/officeDocument/2006/relationships/hyperlink" Target="..\DOCUMENTS\PIPELINE%20AND%20CABLE\RISER%20LIFT%20ANALYSIS%20REPORTS\2207-NN-RP-145\COMMENTS\Rev%20B\GMC" TargetMode="External"/><Relationship Id="rId261" Type="http://schemas.openxmlformats.org/officeDocument/2006/relationships/hyperlink" Target="../DOCUMENTS/PIPELINE%20AND%20CABLE/PIPELAY%20ANALYSIS/ULRP-WHT-7/2207-NN-RP-102%2016INCH/Rev%20B/REPORT" TargetMode="External"/><Relationship Id="rId499" Type="http://schemas.openxmlformats.org/officeDocument/2006/relationships/hyperlink" Target="../DOCUMENTS/PIPELINE%20AND%20CABLE/DAVIT%20LIFT%20ANALYSIS/WHT-6%20to%20ULRP/2207-NN-RP-115%2018%20inch/COMMENTS/Rev%200/GMC" TargetMode="External"/><Relationship Id="rId14" Type="http://schemas.openxmlformats.org/officeDocument/2006/relationships/hyperlink" Target="../../2207/DOCUMENTS/PIPELINE%20&amp;%20CABLE/SEAFASTENING%20DESIGN%20REPORTS/2207-NN-RP-055%20CC%20PIPES%20FOR%20GOGAS-252%20(TRIP-2)/COMMENTS/Rev%20B/GMC" TargetMode="External"/><Relationship Id="rId56" Type="http://schemas.openxmlformats.org/officeDocument/2006/relationships/hyperlink" Target="../../2207/DOCUMENTS/PIPELINE%20&amp;%20CABLE/PIPELAY%20ANALYSIS/WHT-5%20TO%20ULRP/2207-NN-RP-011%206inch/COMMENTS/Rev%200/GMC" TargetMode="External"/><Relationship Id="rId317" Type="http://schemas.openxmlformats.org/officeDocument/2006/relationships/hyperlink" Target="../DOCUMENTS/PIPELINE%20AND%20CABLE/PIPELAY%20ANALYSIS/WHT7-WHT8/2207-NN-RP-105%206INCH/REPORT/Rev%200" TargetMode="External"/><Relationship Id="rId359" Type="http://schemas.openxmlformats.org/officeDocument/2006/relationships/hyperlink" Target="../DOCUMENTS/PIPELINE%20AND%20CABLE/RISER%20LIFT%20ANALYSIS%20REPORTS/2207-NN-RP-132/Rev%20C" TargetMode="External"/><Relationship Id="rId524" Type="http://schemas.openxmlformats.org/officeDocument/2006/relationships/hyperlink" Target="../DOCUMENTS/PIPELINE%20AND%20CABLE/LIFTING%20WITH%20AIRBAGS/2207-NN-RP-163/COMMENTS/Rev%20B/CLIENT" TargetMode="External"/><Relationship Id="rId566" Type="http://schemas.openxmlformats.org/officeDocument/2006/relationships/hyperlink" Target="../DOCUMENTS/PIPELINE%20AND%20CABLE/DAVIT%20LIFT%20ANALYSIS/WHT-6%20to%20WHT-4/2207-NN-RP-125%2010%20inch/COMMENTS/Rev%201/CLIENT" TargetMode="External"/><Relationship Id="rId98" Type="http://schemas.openxmlformats.org/officeDocument/2006/relationships/hyperlink" Target="../../2207/DOCUMENTS/PIPELINE%20&amp;%20CABLE/PIPELAY%20ANALYSIS/WHT-1%20TO%20WHT-3/2207-NN-RP-007%206INCH/COMMENTS/Rev%200/CLIENT" TargetMode="External"/><Relationship Id="rId121" Type="http://schemas.openxmlformats.org/officeDocument/2006/relationships/hyperlink" Target="../../2207/DOCUMENTS/PIPELINE%20&amp;%20CABLE/DAVIT%20LIFT%20ANALYSIS/WHT3-ULRP/2207-NN-RP-023%20(6%20inch)/COMMENTS/Rev%20B/GMC" TargetMode="External"/><Relationship Id="rId163" Type="http://schemas.openxmlformats.org/officeDocument/2006/relationships/hyperlink" Target="../../2207/DOCUMENTS/PIPELINE%20&amp;%20CABLE/RISER%20LIFT%20ANALYSIS%20REPORTS/2207-NN-RP-035%2016INCH%20WHT-1%20TO%20WHT-3%20(@WHT-3)/COMMENTS/Rev%20B/CLIENT" TargetMode="External"/><Relationship Id="rId219" Type="http://schemas.openxmlformats.org/officeDocument/2006/relationships/hyperlink" Target="../../2207/DOCUMENTS/PIPELINE%20&amp;%20CABLE/RISER%20LIFT%20ANALYSIS%20REPORTS/2207-NN-RP-046%206%20INCH%20ULRP%20TO%20WHT-5%20(@ULRP)/COMMENTS/Rev%20B/CLIENT" TargetMode="External"/><Relationship Id="rId370" Type="http://schemas.openxmlformats.org/officeDocument/2006/relationships/hyperlink" Target="../DOCUMENTS/PIPELINE%20AND%20CABLE/RISER%20LIFT%20ANALYSIS%20REPORTS/2207-NN-RP-137/COMMENTS/Rev%20C/CLIENT" TargetMode="External"/><Relationship Id="rId426" Type="http://schemas.openxmlformats.org/officeDocument/2006/relationships/hyperlink" Target="../DOCUMENTS/PIPELINE%20AND%20CABLE/RISER%20LIFT%20ANALYSIS%20REPORTS/2207-NN-RP-139/COMMENTS/Rev%20B/GMC" TargetMode="External"/><Relationship Id="rId230" Type="http://schemas.openxmlformats.org/officeDocument/2006/relationships/hyperlink" Target="../../2207/DOCUMENTS/PIPELINE%20&amp;%20CABLE/RISER%20LIFT%20ANALYSIS%20REPORTS/2207-NN-RP-038%206%20INCH%20WHT-1%20TO%20WHT-3%20(@WHT-1)/Rev%20B" TargetMode="External"/><Relationship Id="rId468" Type="http://schemas.openxmlformats.org/officeDocument/2006/relationships/hyperlink" Target="..\DOCUMENTS\PIPELINE%20AND%20CABLE\DAVIT%20LIFT%20ANALYSIS\WHT7%20to%20WHT8\2207-NN-RP-119%206in\COMMENTS\Rev%201\CLIENT" TargetMode="External"/><Relationship Id="rId25" Type="http://schemas.openxmlformats.org/officeDocument/2006/relationships/hyperlink" Target="../../2207/DOCUMENTS/PIPELINE%20&amp;%20CABLE/PIPELAY%20ANALYSIS/WHT-3%20TO%20ULRP/2207-NN-RP-004%2016INCH/COMMENTS/Rev%20C/GMC" TargetMode="External"/><Relationship Id="rId67" Type="http://schemas.openxmlformats.org/officeDocument/2006/relationships/hyperlink" Target="../../2207/DOCUMENTS/PIPELINE%20&amp;%20CABLE/PIPELAY%20ANALYSIS/WHT-2%20TO%20WHT-5/2207-NN-RP-014%206%20INCH/REPORT/Rev%200" TargetMode="External"/><Relationship Id="rId272" Type="http://schemas.openxmlformats.org/officeDocument/2006/relationships/hyperlink" Target="../DOCUMENTS/PIPELINE%20AND%20CABLE/RISER%20LIFT%20ANALYSIS%20REPORTS/2207-NN-RP-134/COMMENTS/Rev%20B/MWS" TargetMode="External"/><Relationship Id="rId328" Type="http://schemas.openxmlformats.org/officeDocument/2006/relationships/hyperlink" Target="..\DOCUMENTS\PIPELINE%20AND%20CABLE\PIPELAY%20ANALYSIS\WHT6-ULRP\2207-NN-RP-108%2010%20INCH\COMMENTS\Rev%20B\GMC" TargetMode="External"/><Relationship Id="rId535" Type="http://schemas.openxmlformats.org/officeDocument/2006/relationships/hyperlink" Target="..\DOCUMENTS\PIPELINE%20AND%20CABLE\LIFTING%20WITH%20AIRBAGS\2207-NN-RP-163\COMMENTS\Rev%200\CLIENT" TargetMode="External"/><Relationship Id="rId577" Type="http://schemas.openxmlformats.org/officeDocument/2006/relationships/hyperlink" Target="../DOCUMENTS/PIPELINE%20AND%20CABLE/RISER%20LIFT%20ANALYSIS%20REPORTS/2207-NN-RP-144/COMMENTS/Rev%20B/CLIENT" TargetMode="External"/><Relationship Id="rId132" Type="http://schemas.openxmlformats.org/officeDocument/2006/relationships/hyperlink" Target="../../2207/DOCUMENTS/PIPELINE%20&amp;%20CABLE/RISER%20LIFT%20ANALYSIS%20REPORTS/2207-NN-RP-030%2016%20INCH%20WHT-5%20TO%20WHT-2(@WHT-5/Rev%20B" TargetMode="External"/><Relationship Id="rId174" Type="http://schemas.openxmlformats.org/officeDocument/2006/relationships/hyperlink" Target="../../2207/DOCUMENTS/PIPELINE%20&amp;%20CABLE/DAVIT%20LIFT%20ANALYSIS/WHT3-ULRP/2207-NN-RP-021%20(8%20inch)/COMMENTS/Rev%200/CLIENT" TargetMode="External"/><Relationship Id="rId381" Type="http://schemas.openxmlformats.org/officeDocument/2006/relationships/hyperlink" Target="../DOCUMENTS/PIPELINE%20AND%20CABLE/PIPELAY%20ANALYSIS/2207-NN-RP-113%2020%20inch%20MOL/COMMENTS/Rev%200/GMC" TargetMode="External"/><Relationship Id="rId602" Type="http://schemas.openxmlformats.org/officeDocument/2006/relationships/hyperlink" Target="..\DOCUMENTS\PIPELINE%20AND%20CABLE\DAVIT%20LIFT%20ANALYSIS\All%20WHT-6%20risers\COMMENTS\REV-B\CLIENT" TargetMode="External"/><Relationship Id="rId241" Type="http://schemas.openxmlformats.org/officeDocument/2006/relationships/hyperlink" Target="../../2207/DOCUMENTS/PIPELINE%20&amp;%20CABLE/RISER%20LIFT%20ANALYSIS%20REPORTS/2207-NN-RP-031%2016%20INCH%20WHT-5%20TO%20WHT-2(@WHT-2)/COMMENTS/Rev%20B/CLIENT" TargetMode="External"/><Relationship Id="rId437" Type="http://schemas.openxmlformats.org/officeDocument/2006/relationships/hyperlink" Target="..\DOCUMENTS\PIPELINE%20AND%20CABLE\DAVIT%20LIFT%20ANALYSIS\WHT-6%20to%20WHT-4\2207-NN-RP-125%2010%20inch\COMMENTS\Rev%20B\GMC" TargetMode="External"/><Relationship Id="rId479" Type="http://schemas.openxmlformats.org/officeDocument/2006/relationships/hyperlink" Target="../DOCUMENTS/PIPELINE%20AND%20CABLE/DAVIT%20LIFT%20ANALYSIS/WHT-6%20to%20ULRP/2207-NN-RP-124%206%20inch/COMMENTS/Rev%200/CLIENT" TargetMode="External"/><Relationship Id="rId36" Type="http://schemas.openxmlformats.org/officeDocument/2006/relationships/hyperlink" Target="../../2207/DOCUMENTS/PIPELINE%20&amp;%20CABLE/PIPELAY%20ANALYSIS/WHT-5%20TO%20ULRP/2207-NN-RP-012%2010inch/REPORT/Rev%200" TargetMode="External"/><Relationship Id="rId283" Type="http://schemas.openxmlformats.org/officeDocument/2006/relationships/hyperlink" Target="../DOCUMENTS/PIPELINE%20AND%20CABLE/PIPELAY%20ANALYSIS/WHT-4%20TO%20WHT-6/2207-NN-RP-111%2010INCH/COMMENTS/Rev%200/CLIENT" TargetMode="External"/><Relationship Id="rId339" Type="http://schemas.openxmlformats.org/officeDocument/2006/relationships/hyperlink" Target="../DOCUMENTS/PIPELINE%20AND%20CABLE/SEAFASTENING%20DESIGN%20REPORTS/2207-NN-RP-153%20CC%20PIPES%20ON%20AWALCO-1/COMMENTS/Rev%200/CLIENT" TargetMode="External"/><Relationship Id="rId490" Type="http://schemas.openxmlformats.org/officeDocument/2006/relationships/hyperlink" Target="../DOCUMENTS/PIPELINE%20AND%20CABLE/SEAFASTENING%20DESIGN%20REPORTS/2207-NN-RP-155%20CC%20PIPES%20GAC-82/COMMENTS/Rev%20B/CLIENT" TargetMode="External"/><Relationship Id="rId504" Type="http://schemas.openxmlformats.org/officeDocument/2006/relationships/hyperlink" Target="../DOCUMENTS/PIPELINE%20AND%20CABLE/PIPELAY%20ANALYSIS/WHT7-WHT8/2207-NN-RP-104%2010%20INCH/COMMENTS/Rev%200/GMC" TargetMode="External"/><Relationship Id="rId546" Type="http://schemas.openxmlformats.org/officeDocument/2006/relationships/hyperlink" Target="../DOCUMENTS/PIPELINE%20AND%20CABLE/DAVIT%20LIFT%20ANALYSIS/WHT-6%20to%20ULRP/2207-NN-RP-124%206%20inch/Rev%201/Report" TargetMode="External"/><Relationship Id="rId78" Type="http://schemas.openxmlformats.org/officeDocument/2006/relationships/hyperlink" Target="../../2207/DOCUMENTS/PIPELINE%20&amp;%20CABLE/RISER%20LIFT%20ANALYSIS%20REPORTS/2207-NN-RP-032%2016%20INCH%20WHT-3%20TO%20ULRP%20(@WHT-3)/COMMENTS/Rev%200/GMC" TargetMode="External"/><Relationship Id="rId101" Type="http://schemas.openxmlformats.org/officeDocument/2006/relationships/hyperlink" Target="../../2207/DOCUMENTS/PIPELINE%20&amp;%20CABLE/DAVIT%20LIFT%20ANALYSIS/WHT3-ULRP/2207-NN-RP-021%20(8%20inch)/Rev%20B/REPORT" TargetMode="External"/><Relationship Id="rId143" Type="http://schemas.openxmlformats.org/officeDocument/2006/relationships/hyperlink" Target="../../2207/DOCUMENTS/PIPELINE%20&amp;%20CABLE/DAVIT%20LIFT%20ANALYSIS/WHT5-ULRP/2207-NN-RP-015%2016%20inch/COMMENTS/Rev%20B/CLIENT" TargetMode="External"/><Relationship Id="rId185" Type="http://schemas.openxmlformats.org/officeDocument/2006/relationships/hyperlink" Target="../../2207/DOCUMENTS/PIPELINE%20&amp;%20CABLE/DAVIT%20LIFT%20ANALYSIS/WHT2-WHT5/2207-NN-RP-016%2016%20inch/COMMENTS/Rev%200/CLIENT" TargetMode="External"/><Relationship Id="rId350" Type="http://schemas.openxmlformats.org/officeDocument/2006/relationships/hyperlink" Target="../DOCUMENTS/PIPELINE%20AND%20CABLE/DAVIT%20LIFT%20ANALYSIS/WHT7%20to%20WHT8/2207-NN-RP-118%2010%20inch/01%20Report" TargetMode="External"/><Relationship Id="rId406" Type="http://schemas.openxmlformats.org/officeDocument/2006/relationships/hyperlink" Target="..\DOCUMENTS\PIPELINE%20AND%20CABLE\RISER%20LIFT%20ANALYSIS%20REPORTS\2207-NN-RP-136\COMMENTS\Rev%20B\CLIENT" TargetMode="External"/><Relationship Id="rId588" Type="http://schemas.openxmlformats.org/officeDocument/2006/relationships/hyperlink" Target="..\DOCUMENTS\PIPELINE%20AND%20CABLE\CABLE%20REPAIR\REV-B\Comments\client" TargetMode="External"/><Relationship Id="rId9" Type="http://schemas.openxmlformats.org/officeDocument/2006/relationships/hyperlink" Target="../../2207/DOCUMENTS/PIPELINE%20&amp;%20CABLE/PIPELAY%20ANALYSIS/WHT-3%20TO%20ULRP/2207-NN-RP-009%2010INCH/REPORT/Rev%20B" TargetMode="External"/><Relationship Id="rId210" Type="http://schemas.openxmlformats.org/officeDocument/2006/relationships/hyperlink" Target="../../2207/DOCUMENTS/PIPELINE%20&amp;%20CABLE/DAVIT%20LIFT%20ANALYSIS/WHT2-WHT5/2207-NN-RP-027%206%20inch/COMMENTS/Rev%200/GMC" TargetMode="External"/><Relationship Id="rId392" Type="http://schemas.openxmlformats.org/officeDocument/2006/relationships/hyperlink" Target="../DOCUMENTS/PIPELINE%20AND%20CABLE/DAVIT%20LIFT%20ANALYSIS/ULRP%20to%20WHT7/2207-NN-RP-116%2016%20inch/Rev%200/01%20Report" TargetMode="External"/><Relationship Id="rId448" Type="http://schemas.openxmlformats.org/officeDocument/2006/relationships/hyperlink" Target="..\DOCUMENTS\PIPELINE%20AND%20CABLE\DAVIT%20LIFT%20ANALYSIS\WHT-6%20to%20ULRP\2207-NN-RP-122%2010%20inch\Rev%200\01%20Report" TargetMode="External"/><Relationship Id="rId252" Type="http://schemas.openxmlformats.org/officeDocument/2006/relationships/hyperlink" Target="../../2207/DOCUMENTS/PIPELINE%20&amp;%20CABLE/SEAFASTENING%20DESIGN%20REPORTS/2207-NN-RP-061%20CABLE%20BASKET%20ON%20CB-7/COMMENTS/Rev%20B/GMC" TargetMode="External"/><Relationship Id="rId294" Type="http://schemas.openxmlformats.org/officeDocument/2006/relationships/hyperlink" Target="../DOCUMENTS/PIPELINE%20AND%20CABLE/PIPELAY%20ANALYSIS/WHT-4%20TO%20WHT-6/2207-NN-RP-112%206INCH/COMMENTS/Rev%200/CLIENT" TargetMode="External"/><Relationship Id="rId308" Type="http://schemas.openxmlformats.org/officeDocument/2006/relationships/hyperlink" Target="../DOCUMENTS/PIPELINE%20AND%20CABLE/PIPELAY%20ANALYSIS/ULRP-WHT-7/2207-NN-RP-106%206INCH/REPORT/Rev%200" TargetMode="External"/><Relationship Id="rId515" Type="http://schemas.openxmlformats.org/officeDocument/2006/relationships/hyperlink" Target="../DOCUMENTS/PIPELINE%20AND%20CABLE/PIPELAY%20ANALYSIS/WHT-4%20TO%20WHT-6/2207-NN-RP-111%2010INCH/COMMENTS/Rev%201/MWS" TargetMode="External"/><Relationship Id="rId47" Type="http://schemas.openxmlformats.org/officeDocument/2006/relationships/hyperlink" Target="../../2207/DOCUMENTS/PIPELINE%20&amp;%20CABLE/RISER%20LIFT%20ANALYSIS%20REPORTS/2207-NN-RP-032%2016INCH%20WHT-3%20TO%20ULRP%20(@WHT-3)/COMMENTS/Rev%20B/CLIENT" TargetMode="External"/><Relationship Id="rId89" Type="http://schemas.openxmlformats.org/officeDocument/2006/relationships/hyperlink" Target="../../2207/DOCUMENTS/PIPELINE%20&amp;%20CABLE/PIPELAY%20ANALYSIS/WHT-1%20TO%20WHT-3/2207-NN-RP-005%2016INCH/REPORT/Rev%201" TargetMode="External"/><Relationship Id="rId112" Type="http://schemas.openxmlformats.org/officeDocument/2006/relationships/hyperlink" Target="../../2207/DOCUMENTS/PIPELINE%20&amp;%20CABLE/DAVIT%20LIFT%20ANALYSIS/WHT2-WHT5/2207-NN-RP-016%2016%20inch/Rev%20B/REPORT" TargetMode="External"/><Relationship Id="rId154" Type="http://schemas.openxmlformats.org/officeDocument/2006/relationships/hyperlink" Target="../../2207/DOCUMENTS/PIPELINE%20&amp;%20CABLE/RISER%20LIFT%20ANALYSIS%20REPORTS/2207-NN-RP-041%208%20INCH%20WHT-3%20TO%20ULRP%20(@ULRP)/Rev%20B" TargetMode="External"/><Relationship Id="rId361" Type="http://schemas.openxmlformats.org/officeDocument/2006/relationships/hyperlink" Target="../DOCUMENTS/PIPELINE%20AND%20CABLE/DAVIT%20LIFT%20ANALYSIS/WHT7%20to%20WHT8/2207-NN-RP-118%2010%20inch/COMMENTS/Rev%20B/GMC" TargetMode="External"/><Relationship Id="rId557" Type="http://schemas.openxmlformats.org/officeDocument/2006/relationships/hyperlink" Target="../DOCUMENTS/PIPELINE%20AND%20CABLE/RISER%20LIFT%20ANALYSIS%20REPORTS/2207-NN-RP-128/COMMENTS/Rev%20B/GMC" TargetMode="External"/><Relationship Id="rId599" Type="http://schemas.openxmlformats.org/officeDocument/2006/relationships/hyperlink" Target="..\DOCUMENTS\PIPELINE%20AND%20CABLE\RISER%20LIFT%20ANALYSIS%20REPORTS\2207-NN-RP-128\COMMENTS\Rev%20C\CLIENT" TargetMode="External"/><Relationship Id="rId196" Type="http://schemas.openxmlformats.org/officeDocument/2006/relationships/hyperlink" Target="../../2207/DOCUMENTS/PIPELINE%20&amp;%20CABLE/RISER%20LIFT%20ANALYSIS%20REPORTS/2207-NN-RP-033%2016%20INCH%20WHT-3%20TO%20ULRP%20(@ULRP)/COMMENTS/Rev%20B/GMC" TargetMode="External"/><Relationship Id="rId417" Type="http://schemas.openxmlformats.org/officeDocument/2006/relationships/hyperlink" Target="../DOCUMENTS/PIPELINE%20AND%20CABLE/RISER%20LIFT%20ANALYSIS%20REPORTS/2207-NN-RP-130/COMMENTS/Rev%20B/GMC" TargetMode="External"/><Relationship Id="rId459" Type="http://schemas.openxmlformats.org/officeDocument/2006/relationships/hyperlink" Target="..\DOCUMENTS\PIPELINE%20AND%20CABLE\DAVIT%20LIFT%20ANALYSIS\WHT-6%20to%20WHT-4\2207-NN-RP-126%206%20inch\COMMENTS\Rev%20B\CLIENT" TargetMode="External"/><Relationship Id="rId16" Type="http://schemas.openxmlformats.org/officeDocument/2006/relationships/hyperlink" Target="../../2207/DOCUMENTS/PIPELINE%20&amp;%20CABLE/PIPELAY%20ANALYSIS/WHT-3%20TO%20ULRP/2207-NN-RP-009%2010INCH/COMMENTS/Rev%20B/GMC" TargetMode="External"/><Relationship Id="rId221" Type="http://schemas.openxmlformats.org/officeDocument/2006/relationships/hyperlink" Target="../../2207/DOCUMENTS/PIPELINE%20&amp;%20CABLE/RISER%20LIFT%20ANALYSIS%20REPORTS/2207-NN-RP-053%206%20INCH%20WHT-5%20TO%20WHT-2%20(@WHT-2)/Rev%20B" TargetMode="External"/><Relationship Id="rId263" Type="http://schemas.openxmlformats.org/officeDocument/2006/relationships/hyperlink" Target="../DOCUMENTS/PIPELINE%20AND%20CABLE/RISER%20LIFT%20ANALYSIS%20REPORTS/2207-NN-RP-133/Rev%20B" TargetMode="External"/><Relationship Id="rId319" Type="http://schemas.openxmlformats.org/officeDocument/2006/relationships/hyperlink" Target="..\DOCUMENTS\PIPELINE%20AND%20CABLE\PIPELAY%20ANALYSIS\ULRP-WHT-7\2207-NN-RP-106%206INCH\COMMENTS\Rev%200\GMC" TargetMode="External"/><Relationship Id="rId470" Type="http://schemas.openxmlformats.org/officeDocument/2006/relationships/hyperlink" Target="../DOCUMENTS/PIPELINE%20AND%20CABLE/RISER%20LIFT%20ANALYSIS%20REPORTS/2207-NN-RP-152/REV-B" TargetMode="External"/><Relationship Id="rId526" Type="http://schemas.openxmlformats.org/officeDocument/2006/relationships/hyperlink" Target="../DOCUMENTS/PIPELINE%20AND%20CABLE/2207-NN-RP-100%20PIPE%20STACKING%20CAMPAIGN-2/REPORT/COMMENTS/Rev%200/GMC" TargetMode="External"/><Relationship Id="rId58" Type="http://schemas.openxmlformats.org/officeDocument/2006/relationships/hyperlink" Target="../../2207/DOCUMENTS/PIPELINE%20&amp;%20CABLE/PIPELAY%20ANALYSIS/WHT-2%20TO%20WHT-5/2207-NN-RP-003%2016INCH/COMMENTS/Rev%20B/GMC" TargetMode="External"/><Relationship Id="rId123" Type="http://schemas.openxmlformats.org/officeDocument/2006/relationships/hyperlink" Target="../../2207/DOCUMENTS/PIPELINE%20&amp;%20CABLE/RISER%20LIFT%20ANALYSIS%20REPORTS/2207-NN-RP-042%2010%20INCH%20WHT-3%20TO%20ULRP%20(@WHT-3)/COMMENTS/Rev%200/GMC" TargetMode="External"/><Relationship Id="rId330" Type="http://schemas.openxmlformats.org/officeDocument/2006/relationships/hyperlink" Target="../DOCUMENTS/PIPELINE%20AND%20CABLE/PIPELAY%20ANALYSIS/WHT7-WHT8/2207-NN-RP-104%2010%20INCH/COMMENTS/Rev%20B/CLIENT" TargetMode="External"/><Relationship Id="rId568" Type="http://schemas.openxmlformats.org/officeDocument/2006/relationships/hyperlink" Target="../DOCUMENTS/PIPELINE%20AND%20CABLE/DAVIT%20LIFT%20ANALYSIS/WHT-6%20to%20ULRP/2207-NN-RP-115%2018%20inch/Rev%202/Report" TargetMode="External"/><Relationship Id="rId165" Type="http://schemas.openxmlformats.org/officeDocument/2006/relationships/hyperlink" Target="../../2207/DOCUMENTS/PIPELINE%20&amp;%20CABLE/RISER%20LIFT%20ANALYSIS%20REPORTS/2207-NN-RP-047%206%20INCH%20ULRP%20TO%20WHT-5%20(@WHT-5)/COMMENTS/Rev%20B/CLIENT" TargetMode="External"/><Relationship Id="rId372" Type="http://schemas.openxmlformats.org/officeDocument/2006/relationships/hyperlink" Target="../DOCUMENTS/PIPELINE%20AND%20CABLE/DAVIT%20LIFT%20ANALYSIS/ULRP%20to%20WHT7/2207-NN-RP-121%2010%20inch/Rev%20B/01%20Report" TargetMode="External"/><Relationship Id="rId428" Type="http://schemas.openxmlformats.org/officeDocument/2006/relationships/hyperlink" Target="../DOCUMENTS/PIPELINE%20AND%20CABLE/RISER%20LIFT%20ANALYSIS%20REPORTS/2207-NN-RP-141/COMMENTS/Rev%20B/GMC" TargetMode="External"/><Relationship Id="rId211" Type="http://schemas.openxmlformats.org/officeDocument/2006/relationships/hyperlink" Target="../../2207/DOCUMENTS/PIPELINE%20&amp;%20CABLE/DAVIT%20LIFT%20ANALYSIS/WHT2-WHT5/2207-NN-RP-026%2010%20inch/COMMENTS/Rev%200/GMC" TargetMode="External"/><Relationship Id="rId232" Type="http://schemas.openxmlformats.org/officeDocument/2006/relationships/hyperlink" Target="../../2207/DOCUMENTS/PIPELINE%20&amp;%20CABLE/DAVIT%20LIFT%20ANALYSIS/WHT1-WHT3/2207-NN-RP-018%2016%20inch/Rev%200/REPORT" TargetMode="External"/><Relationship Id="rId253" Type="http://schemas.openxmlformats.org/officeDocument/2006/relationships/hyperlink" Target="../../2207/DOCUMENTS/PIPELINE%20&amp;%20CABLE/SEAFASTENING%20DESIGN%20REPORTS/2207-NN-RP-061%20CABLE%20BASKET%20ON%20CB-7/COMMENTS/Rev%20B/CLIENT" TargetMode="External"/><Relationship Id="rId274" Type="http://schemas.openxmlformats.org/officeDocument/2006/relationships/hyperlink" Target="../DOCUMENTS/PIPELINE%20AND%20CABLE/PIPELAY%20ANALYSIS/WHT-4%20TO%20WHT-6/2207-NN-RP-112%206INCH/REPORT/Rev%20B" TargetMode="External"/><Relationship Id="rId295" Type="http://schemas.openxmlformats.org/officeDocument/2006/relationships/hyperlink" Target="..\DOCUMENTS\PIPELINE%20AND%20CABLE\RISER%20LIFT%20ANALYSIS%20REPORTS\2207-NN-RP-130\COMMENTS\Rev%20B\CLIENT" TargetMode="External"/><Relationship Id="rId309" Type="http://schemas.openxmlformats.org/officeDocument/2006/relationships/hyperlink" Target="..\DOCUMENTS\PIPELINE%20AND%20CABLE\SEAFASTENING%20DESIGN%20REPORTS\2207-NN-RP-154%20CC%20PIPES%20GOGAS-250\COMMENTS\Rev%20B\GMC" TargetMode="External"/><Relationship Id="rId460" Type="http://schemas.openxmlformats.org/officeDocument/2006/relationships/hyperlink" Target="..\DOCUMENTS\PIPELINE%20AND%20CABLE\DAVIT%20LIFT%20ANALYSIS\WHT-6%20to%20WHT-4\2207-NN-RP-125%2010%20inch\COMMENTS\Rev%20B\CLIENT" TargetMode="External"/><Relationship Id="rId481" Type="http://schemas.openxmlformats.org/officeDocument/2006/relationships/hyperlink" Target="../DOCUMENTS/PIPELINE%20AND%20CABLE/PIPELAY%20ANALYSIS/2207-NN-RP-161%2020inch%20MOL%20PL%20WELD%20REPAIR/COMMENTS/Rev%20B/CLIENT" TargetMode="External"/><Relationship Id="rId516" Type="http://schemas.openxmlformats.org/officeDocument/2006/relationships/hyperlink" Target="../DOCUMENTS/PIPELINE%20AND%20CABLE/LIFTING%20WITH%20AIRBAGS/2207-NN-RP-162/Rev-B" TargetMode="External"/><Relationship Id="rId27" Type="http://schemas.openxmlformats.org/officeDocument/2006/relationships/hyperlink" Target="../../2207/DOCUMENTS/PIPELINE%20&amp;%20CABLE/PIPELAY%20ANALYSIS/WHT-3%20TO%20ULRP/2207-NN-RP-008%208INCH/COMMENTS/Rev%20C/GMC" TargetMode="External"/><Relationship Id="rId48" Type="http://schemas.openxmlformats.org/officeDocument/2006/relationships/hyperlink" Target="../../2207/DOCUMENTS/PIPELINE%20&amp;%20CABLE/PIPELAY%20ANALYSIS/WHT-2%20TO%20WHT-5/2207-NN-RP-013%2010%20INCH/COMMENTS/Rev%20B/CLIENT" TargetMode="External"/><Relationship Id="rId69" Type="http://schemas.openxmlformats.org/officeDocument/2006/relationships/hyperlink" Target="../../2207/DOCUMENTS/PIPELINE%20&amp;%20CABLE/RISER%20LIFT%20ANALYSIS%20REPORTS/2207-NN-RP-032%2016%20INCH%20WHT-3%20TO%20ULRP%20(@WHT-3)/Rev%200" TargetMode="External"/><Relationship Id="rId113" Type="http://schemas.openxmlformats.org/officeDocument/2006/relationships/hyperlink" Target="../../2207/DOCUMENTS/PIPELINE%20&amp;%20CABLE/DAVIT%20LIFT%20ANALYSIS/WHT2-WHT5/2207-NN-RP-026%2010%20inch/Rev%20B/REPORT" TargetMode="External"/><Relationship Id="rId134" Type="http://schemas.openxmlformats.org/officeDocument/2006/relationships/hyperlink" Target="../../2207/DOCUMENTS/PIPELINE%20&amp;%20CABLE/RISER%20LIFT%20ANALYSIS%20REPORTS/2207-NN-RP-039%206INCH%20WHT-1%20TO%20WHT-3%20(@WHT-3)/COMMENTS/Rev%20B/CLIENT" TargetMode="External"/><Relationship Id="rId320" Type="http://schemas.openxmlformats.org/officeDocument/2006/relationships/hyperlink" Target="../DOCUMENTS/PIPELINE%20AND%20CABLE/PIPELAY%20ANALYSIS/WHT7-WHT8/2207-NN-RP-103%2016INCH/COMMENTS/Rev%20B/CLIENT" TargetMode="External"/><Relationship Id="rId537" Type="http://schemas.openxmlformats.org/officeDocument/2006/relationships/hyperlink" Target="..\DOCUMENTS\PIPELINE%20AND%20CABLE\LIFTING%20WITH%20AIRBAGS\2207-NN-RP-163\Rev%201\Report" TargetMode="External"/><Relationship Id="rId558" Type="http://schemas.openxmlformats.org/officeDocument/2006/relationships/hyperlink" Target="../DOCUMENTS/PIPELINE%20AND%20CABLE/RISER%20LIFT%20ANALYSIS%20REPORTS/2207-NN-RP-148/COMMENTS/Rev%20B/GMC" TargetMode="External"/><Relationship Id="rId579" Type="http://schemas.openxmlformats.org/officeDocument/2006/relationships/hyperlink" Target="../DOCUMENTS/PIPELINE%20AND%20CABLE/RISER%20LIFT%20ANALYSIS%20REPORTS/2207-NN-RP-151/COMMENTS/Rev%20B/CLIENT" TargetMode="External"/><Relationship Id="rId80" Type="http://schemas.openxmlformats.org/officeDocument/2006/relationships/hyperlink" Target="../../2207/DOCUMENTS/PIPELINE%20&amp;%20CABLE/RISER%20LIFT%20ANALYSIS%20REPORTS/2207-NN-RP-040%208%20INCH%20WHT-3%20TO%20ULRP%20(@WHT-3)/Rev%20B" TargetMode="External"/><Relationship Id="rId155" Type="http://schemas.openxmlformats.org/officeDocument/2006/relationships/hyperlink" Target="../../2207/DOCUMENTS/PIPELINE%20&amp;%20CABLE/RISER%20LIFT%20ANALYSIS%20REPORTS/2207-NN-RP-043%2010%20INCH%20WHT-3%20TO%20ULRP%20(@ULRP)/Rev%20B" TargetMode="External"/><Relationship Id="rId176" Type="http://schemas.openxmlformats.org/officeDocument/2006/relationships/hyperlink" Target="../../2207/DOCUMENTS/PIPELINE%20&amp;%20CABLE/DAVIT%20LIFT%20ANALYSIS/WHT3-ULRP/2207-NN-RP-023%20(6%20inch)/COMMENTS/Rev%200/CLIENT" TargetMode="External"/><Relationship Id="rId197" Type="http://schemas.openxmlformats.org/officeDocument/2006/relationships/hyperlink" Target="../../2207/DOCUMENTS/PIPELINE%20&amp;%20CABLE/RISER%20LIFT%20ANALYSIS%20REPORTS/2207-NN-RP-041%208%20INCH%20WHT-3%20TO%20ULRP%20(@ULRP)/COMMENTS/Rev%20B/GMC" TargetMode="External"/><Relationship Id="rId341" Type="http://schemas.openxmlformats.org/officeDocument/2006/relationships/hyperlink" Target="../DOCUMENTS/PIPELINE%20AND%20CABLE/PIPELAY%20ANALYSIS/WHT7-WHT8/2207-NN-RP-104%2010%20INCH/COMMENTS/Rev%200/CLIENT" TargetMode="External"/><Relationship Id="rId362" Type="http://schemas.openxmlformats.org/officeDocument/2006/relationships/hyperlink" Target="../DOCUMENTS/PIPELINE%20AND%20CABLE/DAVIT%20LIFT%20ANALYSIS/WHT7%20to%20WHT8/2207-NN-RP-119%206in/COMMENTS/Rev%20B/GMC" TargetMode="External"/><Relationship Id="rId383" Type="http://schemas.openxmlformats.org/officeDocument/2006/relationships/hyperlink" Target="../DOCUMENTS/PIPELINE%20AND%20CABLE/RISER%20LIFT%20ANALYSIS%20REPORTS/2207-NN-RP-140/Rev%20B" TargetMode="External"/><Relationship Id="rId418" Type="http://schemas.openxmlformats.org/officeDocument/2006/relationships/hyperlink" Target="../DOCUMENTS/PIPELINE%20AND%20CABLE/RISER%20LIFT%20ANALYSIS%20REPORTS/2207-NN-RP-131/COMMENTS/Rev%20C/MWS" TargetMode="External"/><Relationship Id="rId439" Type="http://schemas.openxmlformats.org/officeDocument/2006/relationships/hyperlink" Target="../DOCUMENTS/PIPELINE%20AND%20CABLE/DAVIT%20LIFT%20ANALYSIS/WHT-6%20to%20ULRP/2207-NN-RP-123%208%20inch/COMMENTS/Rev%20B/GMC" TargetMode="External"/><Relationship Id="rId590" Type="http://schemas.openxmlformats.org/officeDocument/2006/relationships/hyperlink" Target="..\DOCUMENTS\PIPELINE%20AND%20CABLE\RISER%20LIFT%20ANALYSIS%20REPORTS\2207-NN-RP-128\REV-C" TargetMode="External"/><Relationship Id="rId604" Type="http://schemas.openxmlformats.org/officeDocument/2006/relationships/hyperlink" Target="..\DOCUMENTS\PIPELINE%20AND%20CABLE\DAVIT%20LIFT%20ANALYSIS\All%20WHT-6%20risers\Rev%20B\COMMENTS\REV-B\MWS" TargetMode="External"/><Relationship Id="rId201" Type="http://schemas.openxmlformats.org/officeDocument/2006/relationships/hyperlink" Target="../../2207/DOCUMENTS/PIPELINE%20&amp;%20CABLE/DAVIT%20LIFT%20ANALYSIS/WHT2-WHT5/2207-NN-RP-026%2010%20inch/COMMENTS/Rev%20B/GMC" TargetMode="External"/><Relationship Id="rId222" Type="http://schemas.openxmlformats.org/officeDocument/2006/relationships/hyperlink" Target="../../2207/DOCUMENTS/PIPELINE%20&amp;%20CABLE/RISER%20LIFT%20ANALYSIS%20REPORTS/2207-NN-RP-046%206%20INCH%20ULRP%20TO%20WHT-5%20(@ULRP)/COMMENTS/Rev%20B/GMC" TargetMode="External"/><Relationship Id="rId243" Type="http://schemas.openxmlformats.org/officeDocument/2006/relationships/hyperlink" Target="../../2207/DOCUMENTS/PIPELINE%20&amp;%20CABLE/DAVIT%20LIFT%20ANALYSIS/WHT1-WHT3/2207-NN-RP-019%2010%20inch/COMMENTS/Rev%200/GMC" TargetMode="External"/><Relationship Id="rId264" Type="http://schemas.openxmlformats.org/officeDocument/2006/relationships/hyperlink" Target="../DOCUMENTS/PIPELINE%20AND%20CABLE/RISER%20LIFT%20ANALYSIS%20REPORTS/2207-NN-RP-132/Rev%20B" TargetMode="External"/><Relationship Id="rId285" Type="http://schemas.openxmlformats.org/officeDocument/2006/relationships/hyperlink" Target="../DOCUMENTS/PIPELINE%20AND%20CABLE/PIPELAY%20ANALYSIS/WHT-4%20TO%20WHT-6/2207-NN-RP-111%2010INCH/COMMENTS/Rev%20B/CLIENT" TargetMode="External"/><Relationship Id="rId450" Type="http://schemas.openxmlformats.org/officeDocument/2006/relationships/hyperlink" Target="..\DOCUMENTS\PIPELINE%20AND%20CABLE\DAVIT%20LIFT%20ANALYSIS\WHT-6%20to%20ULRP\2207-NN-RP-124%206%20inch\Rev%200\01%20Report" TargetMode="External"/><Relationship Id="rId471" Type="http://schemas.openxmlformats.org/officeDocument/2006/relationships/hyperlink" Target="../DOCUMENTS/PIPELINE%20AND%20CABLE/RISER%20LIFT%20ANALYSIS%20REPORTS/2207-NN-RP-150/REV-B" TargetMode="External"/><Relationship Id="rId506" Type="http://schemas.openxmlformats.org/officeDocument/2006/relationships/hyperlink" Target="../DOCUMENTS/PIPELINE%20AND%20CABLE/PIPELAY%20ANALYSIS/WHT6-ULRP/2207-NN-RP-101%2018INCH/COMMENTS/Rev%200/GMC" TargetMode="External"/><Relationship Id="rId17" Type="http://schemas.openxmlformats.org/officeDocument/2006/relationships/hyperlink" Target="../../2207/DOCUMENTS/PIPELINE%20&amp;%20CABLE/PIPELAY%20ANALYSIS/WHT-3%20TO%20ULRP/2207-NN-RP-008%208INCH/COMMENTS/Rev%20B/GMC" TargetMode="External"/><Relationship Id="rId38" Type="http://schemas.openxmlformats.org/officeDocument/2006/relationships/hyperlink" Target="../../2207/DOCUMENTS/PIPELINE%20&amp;%20CABLE/PIPELAY%20ANALYSIS/WHT-5%20TO%20ULRP/2207-NN-RP-012%2010inch/COMMENTS/Rev%20B/GMC" TargetMode="External"/><Relationship Id="rId59" Type="http://schemas.openxmlformats.org/officeDocument/2006/relationships/hyperlink" Target="../../2207/DOCUMENTS/PIPELINE%20&amp;%20CABLE/PIPELAY%20ANALYSIS/WHT-2%20TO%20WHT-5/2207-NN-RP-003%2016INCH/COMMENTS/Rev%20B/CLIENT" TargetMode="External"/><Relationship Id="rId103" Type="http://schemas.openxmlformats.org/officeDocument/2006/relationships/hyperlink" Target="../../2207/DOCUMENTS/PIPELINE%20&amp;%20CABLE/DAVIT%20LIFT%20ANALYSIS/WHT3-ULRP/2207-NN-RP-017%20(16%20inch)/Rev%200/REPORT" TargetMode="External"/><Relationship Id="rId124" Type="http://schemas.openxmlformats.org/officeDocument/2006/relationships/hyperlink" Target="../../2207/DOCUMENTS/PIPELINE%20&amp;%20CABLE/RISER%20LIFT%20ANALYSIS%20REPORTS/2207-NN-RP-040%208%20INCH%20WHT-3%20TO%20ULRP%20(@WHT-3)/COMMENTS/Rev%200/GMC" TargetMode="External"/><Relationship Id="rId310" Type="http://schemas.openxmlformats.org/officeDocument/2006/relationships/hyperlink" Target="../DOCUMENTS/PIPELINE%20AND%20CABLE/PIPELAY%20ANALYSIS/WHT7-WHT8/2207-NN-RP-104%2010%20INCH/REPORT/REV%20B" TargetMode="External"/><Relationship Id="rId492" Type="http://schemas.openxmlformats.org/officeDocument/2006/relationships/hyperlink" Target="..\DOCUMENTS\PIPELINE%20AND%20CABLE\PIPELAY%20ANALYSIS\2207-NN-RP-114%20NEW%2020%20inch%20MOL\REPORT\Rev%20B" TargetMode="External"/><Relationship Id="rId527" Type="http://schemas.openxmlformats.org/officeDocument/2006/relationships/hyperlink" Target="../DOCUMENTS/PIPELINE%20AND%20CABLE/LIFTING%20WITH%20AIRBAGS/2207-NN-RP-162/COMMENTS/Rev%200/GMC" TargetMode="External"/><Relationship Id="rId548" Type="http://schemas.openxmlformats.org/officeDocument/2006/relationships/hyperlink" Target="../DOCUMENTS/PIPELINE%20AND%20CABLE/RISER%20LIFT%20ANALYSIS%20REPORTS/2207-NN-RP-151/REV-A" TargetMode="External"/><Relationship Id="rId569" Type="http://schemas.openxmlformats.org/officeDocument/2006/relationships/hyperlink" Target="../DOCUMENTS/PIPELINE%20AND%20CABLE/DAVIT%20LIFT%20ANALYSIS/WHT-6%20to%20ULRP/2207-NN-RP-122%2010%20inch/Rev%202/Report" TargetMode="External"/><Relationship Id="rId70" Type="http://schemas.openxmlformats.org/officeDocument/2006/relationships/hyperlink" Target="../../2207/DOCUMENTS/PIPELINE%20&amp;%20CABLE/PIPELAY%20ANALYSIS/WHT-2%20TO%20WHT-5/2207-NN-RP-014%206%20INCH/COMMENTS/Rev%200/GMC" TargetMode="External"/><Relationship Id="rId91" Type="http://schemas.openxmlformats.org/officeDocument/2006/relationships/hyperlink" Target="../../2207/DOCUMENTS/PIPELINE%20&amp;%20CABLE/RISER%20LIFT%20ANALYSIS%20REPORTS/2207-NN-RP-035%2016INCH%20WHT-1%20TO%20WHT-3%20(@WHT-3)/Rev%20B" TargetMode="External"/><Relationship Id="rId145" Type="http://schemas.openxmlformats.org/officeDocument/2006/relationships/hyperlink" Target="../../2207/DOCUMENTS/PIPELINE%20&amp;%20CABLE/DAVIT%20LIFT%20ANALYSIS/WHT5-ULRP/2207-NN-RP-025%2010%20inch/COMMENTS/Rev%20B/CLIENT" TargetMode="External"/><Relationship Id="rId166" Type="http://schemas.openxmlformats.org/officeDocument/2006/relationships/hyperlink" Target="../../2207/DOCUMENTS/PIPELINE%20&amp;%20CABLE/DAVIT%20LIFT%20ANALYSIS/WHT1-WHT3/2207-NN-RP-019%2010%20inch/COMMENTS/Rev%20B/CLIENT" TargetMode="External"/><Relationship Id="rId187" Type="http://schemas.openxmlformats.org/officeDocument/2006/relationships/hyperlink" Target="../../2207/DOCUMENTS/PIPELINE%20&amp;%20CABLE/DAVIT%20LIFT%20ANALYSIS/WHT5-ULRP/2207-NN-RP-025%2010%20inch/COMMENTS/Rev%200/CLIENT" TargetMode="External"/><Relationship Id="rId331" Type="http://schemas.openxmlformats.org/officeDocument/2006/relationships/hyperlink" Target="../DOCUMENTS/PIPELINE%20AND%20CABLE/PIPELAY%20ANALYSIS/WHT6-ULRP/2207-NN-RP-108%2010%20INCH/COMMENTS/Rev%20B/CLIENT" TargetMode="External"/><Relationship Id="rId352" Type="http://schemas.openxmlformats.org/officeDocument/2006/relationships/hyperlink" Target="../DOCUMENTS/PIPELINE%20AND%20CABLE/RISER%20LIFT%20ANALYSIS%20REPORTS/2207-NN-RP-134/Rev%20C" TargetMode="External"/><Relationship Id="rId373" Type="http://schemas.openxmlformats.org/officeDocument/2006/relationships/hyperlink" Target="../DOCUMENTS/PIPELINE%20AND%20CABLE/DAVIT%20LIFT%20ANALYSIS/ULRP%20to%20WHT7/2207-NN-RP-120%206%20inch/Rev%20B/01%20Report" TargetMode="External"/><Relationship Id="rId394" Type="http://schemas.openxmlformats.org/officeDocument/2006/relationships/hyperlink" Target="../DOCUMENTS/PIPELINE%20AND%20CABLE/DAVIT%20LIFT%20ANALYSIS/WHT-6%20to%20ULRP/2207-NN-RP-122%2010%20inch/Rev%20B/01%20Report" TargetMode="External"/><Relationship Id="rId408" Type="http://schemas.openxmlformats.org/officeDocument/2006/relationships/hyperlink" Target="..\DOCUMENTS\PIPELINE%20AND%20CABLE\RISER%20LIFT%20ANALYSIS%20REPORTS\2207-NN-RP-129\Rev%20B" TargetMode="External"/><Relationship Id="rId429" Type="http://schemas.openxmlformats.org/officeDocument/2006/relationships/hyperlink" Target="../DOCUMENTS/PIPELINE%20AND%20CABLE/PIPELAY%20ANALYSIS/2207-NN-RP-113%2020%20inch%20MOL/COMMENTS/Rev%201/MWS" TargetMode="External"/><Relationship Id="rId580" Type="http://schemas.openxmlformats.org/officeDocument/2006/relationships/hyperlink" Target="../DOCUMENTS/PIPELINE%20AND%20CABLE/RISER%20LIFT%20ANALYSIS%20REPORTS/2207-NN-RP-148/COMMENTS/Rev%20B/CLIENT" TargetMode="External"/><Relationship Id="rId1" Type="http://schemas.openxmlformats.org/officeDocument/2006/relationships/hyperlink" Target="..\..\2207\DOCUMENTS\PIPELINE%20&amp;%20CABLE\2207-NN-RP-059%20PIPE%20STACKING%20FOR%20SARB3\REPORT\REV-A" TargetMode="External"/><Relationship Id="rId212" Type="http://schemas.openxmlformats.org/officeDocument/2006/relationships/hyperlink" Target="../../2207/DOCUMENTS/PIPELINE%20&amp;%20CABLE/DAVIT%20LIFT%20ANALYSIS/WHT5-ULRP/2207-NN-RP-024%206%20inch/COMMENTS/Rev%200/GMC" TargetMode="External"/><Relationship Id="rId233" Type="http://schemas.openxmlformats.org/officeDocument/2006/relationships/hyperlink" Target="../../2207/DOCUMENTS/PIPELINE%20&amp;%20CABLE/DAVIT%20LIFT%20ANALYSIS/WHT1-WHT3/2207-NN-RP-019%2010%20inch/Rev%200/REPORT" TargetMode="External"/><Relationship Id="rId254" Type="http://schemas.openxmlformats.org/officeDocument/2006/relationships/hyperlink" Target="../../2207/DOCUMENTS/PIPELINE%20&amp;%20CABLE/2207-NN-RP-001%20PIPE%20STACKING%201ST%20CAMPAIGN/COMMENTS/Rev%20B/GMC" TargetMode="External"/><Relationship Id="rId440" Type="http://schemas.openxmlformats.org/officeDocument/2006/relationships/hyperlink" Target="..\DOCUMENTS\PIPELINE%20AND%20CABLE\DAVIT%20LIFT%20ANALYSIS\WHT-6%20to%20ULRP\2207-NN-RP-122%2010%20inch\COMMENTS\Rev%20B\GMC" TargetMode="External"/><Relationship Id="rId28" Type="http://schemas.openxmlformats.org/officeDocument/2006/relationships/hyperlink" Target="../../2207/DOCUMENTS/PIPELINE%20&amp;%20CABLE/PIPELAY%20ANALYSIS/WHT-3%20TO%20ULRP/2207-NN-RP-009%2010INCH/REPORT/Rev%20C" TargetMode="External"/><Relationship Id="rId49" Type="http://schemas.openxmlformats.org/officeDocument/2006/relationships/hyperlink" Target="../../2207/DOCUMENTS/PIPELINE%20&amp;%20CABLE/PIPELAY%20ANALYSIS/WHT-3%20TO%20ULRP/2207-NN-RP-010%206INCH/COMMENTS/REV%200/CLIENT" TargetMode="External"/><Relationship Id="rId114" Type="http://schemas.openxmlformats.org/officeDocument/2006/relationships/hyperlink" Target="../../2207/DOCUMENTS/PIPELINE%20&amp;%20CABLE/DAVIT%20LIFT%20ANALYSIS/WHT2-WHT5/2207-NN-RP-027%206%20inch/Rev%20B/REPORT" TargetMode="External"/><Relationship Id="rId275" Type="http://schemas.openxmlformats.org/officeDocument/2006/relationships/hyperlink" Target="../DOCUMENTS/PIPELINE%20AND%20CABLE/RISER%20LIFT%20ANALYSIS%20REPORTS/2207-NN-RP-131/COMMENTS/Rev%20B/MWS" TargetMode="External"/><Relationship Id="rId296" Type="http://schemas.openxmlformats.org/officeDocument/2006/relationships/hyperlink" Target="../DOCUMENTS/PIPELINE%20AND%20CABLE/PIPELAY%20ANALYSIS/ULRP-WHT-7/2207-NN-RP-102%2016INCH/COMMENTS/Rev%200/GMC" TargetMode="External"/><Relationship Id="rId300" Type="http://schemas.openxmlformats.org/officeDocument/2006/relationships/hyperlink" Target="../DOCUMENTS/PIPELINE%20AND%20CABLE/PIPELAY%20ANALYSIS/WHT6-ULRP/2207-NN-RP-101%2018INCH/COMMENTS/Rev%20B/CLIENT" TargetMode="External"/><Relationship Id="rId461" Type="http://schemas.openxmlformats.org/officeDocument/2006/relationships/hyperlink" Target="../DOCUMENTS/PIPELINE%20AND%20CABLE/RISER%20LIFT%20ANALYSIS%20REPORTS/2207-NN-RP-147/COMMENTS/Rev%20B/CLIENT" TargetMode="External"/><Relationship Id="rId482" Type="http://schemas.openxmlformats.org/officeDocument/2006/relationships/hyperlink" Target="../DOCUMENTS/PIPELINE%20AND%20CABLE/DAVIT%20LIFT%20ANALYSIS/20%20Inch%20MOL/2207-NN-RP-127/COMMENTS/Rev%20B/CLIENT" TargetMode="External"/><Relationship Id="rId517" Type="http://schemas.openxmlformats.org/officeDocument/2006/relationships/hyperlink" Target="../DOCUMENTS/PIPELINE%20AND%20CABLE/LIFTING%20WITH%20AIRBAGS/2207-NN-RP-162/COMMENTS/Rev%20B/CLIENT" TargetMode="External"/><Relationship Id="rId538" Type="http://schemas.openxmlformats.org/officeDocument/2006/relationships/hyperlink" Target="..\DOCUMENTS\PIPELINE%20AND%20CABLE\LIFTING%20WITH%20AIRBAGS\2207-NN-RP-163\COMMENTS\Rev%201\MWS" TargetMode="External"/><Relationship Id="rId559" Type="http://schemas.openxmlformats.org/officeDocument/2006/relationships/hyperlink" Target="../DOCUMENTS/PIPELINE%20AND%20CABLE/DAVIT%20LIFT%20ANALYSIS/WHT-6%20to%20ULRP/2207-NN-RP-124%206%20inch/COMMENTS/Rev%201/MWS" TargetMode="External"/><Relationship Id="rId60" Type="http://schemas.openxmlformats.org/officeDocument/2006/relationships/hyperlink" Target="../../2207/DOCUMENTS/PIPELINE%20&amp;%20CABLE/PIPELAY%20ANALYSIS/WHT-2%20TO%20WHT-5/2207-NN-RP-013%2010%20INCH/COMMENTS/Rev%20B/GMC" TargetMode="External"/><Relationship Id="rId81" Type="http://schemas.openxmlformats.org/officeDocument/2006/relationships/hyperlink" Target="../../2207/DOCUMENTS/PIPELINE%20&amp;%20CABLE/RISER%20LIFT%20ANALYSIS%20REPORTS/2207-NN-RP-044%206INCH%20WHT-3%20TO%20ULRP%20(@WHT-3)/Rev%20B" TargetMode="External"/><Relationship Id="rId135" Type="http://schemas.openxmlformats.org/officeDocument/2006/relationships/hyperlink" Target="../../2207/DOCUMENTS/PIPELINE%20&amp;%20CABLE/RISER%20LIFT%20ANALYSIS%20REPORTS/2207-NN-RP-042%2010%20INCH%20WHT-3%20TO%20ULRP%20(@WHT-3)/COMMENTS/Rev%200/CLIENT" TargetMode="External"/><Relationship Id="rId156" Type="http://schemas.openxmlformats.org/officeDocument/2006/relationships/hyperlink" Target="../../2207/DOCUMENTS/PIPELINE%20&amp;%20CABLE/RISER%20LIFT%20ANALYSIS%20REPORTS/2207-NN-RP-045%206%20INCH%20WHT-3%20TO%20ULRP%20(@ULRP)/Rev%20B" TargetMode="External"/><Relationship Id="rId177" Type="http://schemas.openxmlformats.org/officeDocument/2006/relationships/hyperlink" Target="../../2207/DOCUMENTS/PIPELINE%20&amp;%20CABLE/RISER%20LIFT%20ANALYSIS%20REPORTS/2207-NN-RP-050%2010%20INCH%20WHT-5%20TO%20WHT-2%20(@WHT-5)/COMMENTS/Rev%20B/CLIENT" TargetMode="External"/><Relationship Id="rId198" Type="http://schemas.openxmlformats.org/officeDocument/2006/relationships/hyperlink" Target="../../2207/DOCUMENTS/PIPELINE%20&amp;%20CABLE/RISER%20LIFT%20ANALYSIS%20REPORTS/2207-NN-RP-043%2010%20INCH%20WHT-3%20TO%20ULRP%20(@ULRP)/COMMENTS/Rev%20B/GMC" TargetMode="External"/><Relationship Id="rId321" Type="http://schemas.openxmlformats.org/officeDocument/2006/relationships/hyperlink" Target="../DOCUMENTS/PIPELINE%20AND%20CABLE/SEAFASTENING%20DESIGN%20REPORTS/2207-NN-RP-154%20CC%20PIPES%20GOGAS-250/COMMENTS/Rev%20B/CLIENT" TargetMode="External"/><Relationship Id="rId342" Type="http://schemas.openxmlformats.org/officeDocument/2006/relationships/hyperlink" Target="../DOCUMENTS/PIPELINE%20AND%20CABLE/PIPELAY%20ANALYSIS/WHT6-ULRP/2207-NN-RP-101%2018INCH/COMMENTS/Rev%200/CLIENT" TargetMode="External"/><Relationship Id="rId363" Type="http://schemas.openxmlformats.org/officeDocument/2006/relationships/hyperlink" Target="../DOCUMENTS/PIPELINE%20AND%20CABLE/PIPELAY%20ANALYSIS/2207-NN-RP-113%2020%20inch%20MOL/Rev%200/REPORT" TargetMode="External"/><Relationship Id="rId384" Type="http://schemas.openxmlformats.org/officeDocument/2006/relationships/hyperlink" Target="../DOCUMENTS/PIPELINE%20AND%20CABLE/PIPELAY%20ANALYSIS/2207-NN-RP-113%2020%20inch%20MOL/COMMENTS/Rev%200/CLIENT" TargetMode="External"/><Relationship Id="rId419" Type="http://schemas.openxmlformats.org/officeDocument/2006/relationships/hyperlink" Target="../DOCUMENTS/PIPELINE%20AND%20CABLE/RISER%20LIFT%20ANALYSIS%20REPORTS/2207-NN-RP-132/COMMENTS/Rev%20C/MWS" TargetMode="External"/><Relationship Id="rId570" Type="http://schemas.openxmlformats.org/officeDocument/2006/relationships/hyperlink" Target="../DOCUMENTS/PIPELINE%20AND%20CABLE/DAVIT%20LIFT%20ANALYSIS/WHT-6%20to%20ULRP/2207-NN-RP-123%208%20inch/Rev%202/Report" TargetMode="External"/><Relationship Id="rId591" Type="http://schemas.openxmlformats.org/officeDocument/2006/relationships/hyperlink" Target="..\DOCUMENTS\PIPELINE%20AND%20CABLE\RISER%20LIFT%20ANALYSIS%20REPORTS\2207-NN-RP-148\REV-C" TargetMode="External"/><Relationship Id="rId605" Type="http://schemas.openxmlformats.org/officeDocument/2006/relationships/hyperlink" Target="..\DOCUMENTS\PIPELINE%20AND%20CABLE\PIPELINE%20REPAIR%20ANALYSIS\10IN%20WI%20@%20WHT-6(ULRP%20to%20WHT-6)\REPORT" TargetMode="External"/><Relationship Id="rId202" Type="http://schemas.openxmlformats.org/officeDocument/2006/relationships/hyperlink" Target="../../2207/DOCUMENTS/PIPELINE%20&amp;%20CABLE/DAVIT%20LIFT%20ANALYSIS/WHT2-WHT5/2207-NN-RP-027%206%20inch/COMMENTS/Rev%20B/GMC" TargetMode="External"/><Relationship Id="rId223" Type="http://schemas.openxmlformats.org/officeDocument/2006/relationships/hyperlink" Target="../../2207/DOCUMENTS/PIPELINE%20&amp;%20CABLE/RISER%20LIFT%20ANALYSIS%20REPORTS/2207-NN-RP-036%2010%20INCH%20WHT-1%20TO%20WHT-3%20(@WHT-1)/Rev%20B" TargetMode="External"/><Relationship Id="rId244" Type="http://schemas.openxmlformats.org/officeDocument/2006/relationships/hyperlink" Target="../../2207/DOCUMENTS/PIPELINE%20&amp;%20CABLE/RISER%20LIFT%20ANALYSIS%20REPORTS/2207-NN-RP-051%2010%20INCH%20WHT-5%20TO%20WHT-2%20(@WHT-2)/COMMENTS/Rev%20B/CLIENT" TargetMode="External"/><Relationship Id="rId430" Type="http://schemas.openxmlformats.org/officeDocument/2006/relationships/hyperlink" Target="../DOCUMENTS/PIPELINE%20AND%20CABLE/DAVIT%20LIFT%20ANALYSIS/WHT-6%20to%20ULRP/2207-NN-RP-115%2018%20inch/COMMENTS/Rev%20B/GMC" TargetMode="External"/><Relationship Id="rId18" Type="http://schemas.openxmlformats.org/officeDocument/2006/relationships/hyperlink" Target="../../2207/DOCUMENTS/PIPELINE%20&amp;%20CABLE/PIPELAY%20ANALYSIS/WHT-3%20TO%20ULRP/2207-NN-RP-004%2016INCH/COMMENTS/Rev%20B/CLIENT" TargetMode="External"/><Relationship Id="rId39" Type="http://schemas.openxmlformats.org/officeDocument/2006/relationships/hyperlink" Target="../../2207/DOCUMENTS/PIPELINE%20&amp;%20CABLE/2207-NN-RP-001%20PIPE%20STACKING%201ST%20CAMPAIGN/COMMENTS/Rev%20C/CLIENT" TargetMode="External"/><Relationship Id="rId265" Type="http://schemas.openxmlformats.org/officeDocument/2006/relationships/hyperlink" Target="../DOCUMENTS/PIPELINE%20AND%20CABLE/RISER%20LIFT%20ANALYSIS%20REPORTS/2207-NN-RP-131/Rev%20B" TargetMode="External"/><Relationship Id="rId286" Type="http://schemas.openxmlformats.org/officeDocument/2006/relationships/hyperlink" Target="../DOCUMENTS/PIPELINE%20AND%20CABLE/PIPELAY%20ANALYSIS/ULRP-WHT-7/2207-NN-RP-102%2016INCH/COMMENTS/Rev%200/CLIENT" TargetMode="External"/><Relationship Id="rId451" Type="http://schemas.openxmlformats.org/officeDocument/2006/relationships/hyperlink" Target="../DOCUMENTS/PIPELINE%20AND%20CABLE/RISER%20LIFT%20ANALYSIS%20REPORTS/2207-NN-RP-158-%20cancelled/REV-B" TargetMode="External"/><Relationship Id="rId472" Type="http://schemas.openxmlformats.org/officeDocument/2006/relationships/hyperlink" Target="../DOCUMENTS/PIPELINE%20AND%20CABLE/RISER%20LIFT%20ANALYSIS%20REPORTS/2207-NN-RP-149/REV-B" TargetMode="External"/><Relationship Id="rId493" Type="http://schemas.openxmlformats.org/officeDocument/2006/relationships/hyperlink" Target="../DOCUMENTS/PIPELINE%20AND%20CABLE/PIPELAY%20ANALYSIS/2207-NN-RP-114%20NEW%2020%20inch%20MOL/REPORT/COMMENTS/Rev%20B/GMC" TargetMode="External"/><Relationship Id="rId507" Type="http://schemas.openxmlformats.org/officeDocument/2006/relationships/hyperlink" Target="../DOCUMENTS/PIPELINE%20AND%20CABLE/PIPELAY%20ANALYSIS/WHT6-ULRP/2207-NN-RP-109%208INCH/COMMENTS/Rev%200/GMC" TargetMode="External"/><Relationship Id="rId528" Type="http://schemas.openxmlformats.org/officeDocument/2006/relationships/hyperlink" Target="../DOCUMENTS/PIPELINE%20AND%20CABLE/LIFTING%20WITH%20AIRBAGS/2207-NN-RP-162/COMMENTS/Rev%20B/GMC" TargetMode="External"/><Relationship Id="rId549" Type="http://schemas.openxmlformats.org/officeDocument/2006/relationships/hyperlink" Target="../DOCUMENTS/PIPELINE%20AND%20CABLE/RISER%20LIFT%20ANALYSIS%20REPORTS/2207-NN-RP-144/Rev%20B" TargetMode="External"/><Relationship Id="rId50" Type="http://schemas.openxmlformats.org/officeDocument/2006/relationships/hyperlink" Target="../../2207/DOCUMENTS/PIPELINE%20&amp;%20CABLE/PIPELAY%20ANALYSIS/WHT-1%20TO%20WHT-3/2207-NN-RP-007%206INCH/REPORT" TargetMode="External"/><Relationship Id="rId104" Type="http://schemas.openxmlformats.org/officeDocument/2006/relationships/hyperlink" Target="../../2207/DOCUMENTS/PIPELINE%20&amp;%20CABLE/RISER%20LIFT%20ANALYSIS%20REPORTS/2207-NN-RP-040%208%20INCH%20WHT-3%20TO%20ULRP%20(@WHT-3)/Rev%200" TargetMode="External"/><Relationship Id="rId125" Type="http://schemas.openxmlformats.org/officeDocument/2006/relationships/hyperlink" Target="../../2207/DOCUMENTS/PIPELINE%20&amp;%20CABLE/DAVIT%20LIFT%20ANALYSIS/WHT3-ULRP/2207-NN-RP-021%20(8%20inch)/COMMENTS/Rev%20B/GMC" TargetMode="External"/><Relationship Id="rId146" Type="http://schemas.openxmlformats.org/officeDocument/2006/relationships/hyperlink" Target="../../2207/DOCUMENTS/PIPELINE%20&amp;%20CABLE/RISER%20LIFT%20ANALYSIS%20REPORTS/2207-NN-RP-050%2010%20INCH%20WHT-5%20TO%20WHT-2%20(@WHT-5)/Rev%20B" TargetMode="External"/><Relationship Id="rId167" Type="http://schemas.openxmlformats.org/officeDocument/2006/relationships/hyperlink" Target="../../2207/DOCUMENTS/PIPELINE%20&amp;%20CABLE/DAVIT%20LIFT%20ANALYSIS/WHT2-WHT5/2207-NN-RP-016%2016%20inch/COMMENTS/Rev%20B/CLIENT" TargetMode="External"/><Relationship Id="rId188" Type="http://schemas.openxmlformats.org/officeDocument/2006/relationships/hyperlink" Target="../../2207/DOCUMENTS/PIPELINE%20&amp;%20CABLE/DAVIT%20LIFT%20ANALYSIS/WHT2-WHT5/2207-NN-RP-026%2010%20inch/COMMENTS/Rev%200/CLIENT" TargetMode="External"/><Relationship Id="rId311" Type="http://schemas.openxmlformats.org/officeDocument/2006/relationships/hyperlink" Target="../DOCUMENTS/PIPELINE%20AND%20CABLE/PIPELAY%20ANALYSIS/WHT6-ULRP/2207-NN-RP-108%2010%20INCH/01%20REPORT/Rev%20B" TargetMode="External"/><Relationship Id="rId332" Type="http://schemas.openxmlformats.org/officeDocument/2006/relationships/hyperlink" Target="../DOCUMENTS/PIPELINE%20AND%20CABLE/PIPELAY%20ANALYSIS/WHT7-WHT8/2207-NN-RP-105%206INCH/COMMENTS/Rev%200/CLIENT" TargetMode="External"/><Relationship Id="rId353" Type="http://schemas.openxmlformats.org/officeDocument/2006/relationships/hyperlink" Target="../DOCUMENTS/PIPELINE%20AND%20CABLE/RISER%20LIFT%20ANALYSIS%20REPORTS/2207-NN-RP-137/Rev%20C" TargetMode="External"/><Relationship Id="rId374" Type="http://schemas.openxmlformats.org/officeDocument/2006/relationships/hyperlink" Target="../DOCUMENTS/PIPELINE%20AND%20CABLE/RISER%20LIFT%20ANALYSIS%20REPORTS/2207-NN-RP-139/Rev%20B" TargetMode="External"/><Relationship Id="rId395" Type="http://schemas.openxmlformats.org/officeDocument/2006/relationships/hyperlink" Target="../DOCUMENTS/PIPELINE%20AND%20CABLE/DAVIT%20LIFT%20ANALYSIS/WHT-6%20to%20ULRP/2207-NN-RP-123%208%20inch/Rev%20B/01%20Report" TargetMode="External"/><Relationship Id="rId409" Type="http://schemas.openxmlformats.org/officeDocument/2006/relationships/hyperlink" Target="../DOCUMENTS/PIPELINE%20AND%20CABLE/DAVIT%20LIFT%20ANALYSIS/ULRP%20to%20WHT7/2207-NN-RP-116%2016%20inch/COMMENTS/Rev%200/CLIENT" TargetMode="External"/><Relationship Id="rId560" Type="http://schemas.openxmlformats.org/officeDocument/2006/relationships/hyperlink" Target="../DOCUMENTS/PIPELINE%20AND%20CABLE/DAVIT%20LIFT%20ANALYSIS/WHT-6%20to%20WHT-4/2207-NN-RP-125%2010%20inch/COMMENTS/Rev%201/MWS" TargetMode="External"/><Relationship Id="rId581" Type="http://schemas.openxmlformats.org/officeDocument/2006/relationships/hyperlink" Target="../DOCUMENTS/PIPELINE%20AND%20CABLE/DAVIT%20LIFT%20ANALYSIS/WHT-6%20to%20ULRP/2207-NN-RP-115%2018%20inch/COMMENTS/Rev%202/CLIENT" TargetMode="External"/><Relationship Id="rId71" Type="http://schemas.openxmlformats.org/officeDocument/2006/relationships/hyperlink" Target="../../2207/DOCUMENTS/PIPELINE%20&amp;%20CABLE/PIPELAY%20ANALYSIS/WHT-2%20TO%20WHT-5/2207-NN-RP-014%206%20INCH/COMMENTS/Rev%200/CLIENT" TargetMode="External"/><Relationship Id="rId92" Type="http://schemas.openxmlformats.org/officeDocument/2006/relationships/hyperlink" Target="../../2207/DOCUMENTS/PIPELINE%20&amp;%20CABLE/DAVIT%20LIFT%20ANALYSIS/WHT3-ULRP/2207-NN-RP-017%20(16%20inch)/COMMENTS/Rev%20B/GMC" TargetMode="External"/><Relationship Id="rId213" Type="http://schemas.openxmlformats.org/officeDocument/2006/relationships/hyperlink" Target="../../2207/DOCUMENTS/PIPELINE%20&amp;%20CABLE/DAVIT%20LIFT%20ANALYSIS/WHT5-ULRP/2207-NN-RP-025%2010%20inch/COMMENTS/Rev%200/GMC" TargetMode="External"/><Relationship Id="rId234" Type="http://schemas.openxmlformats.org/officeDocument/2006/relationships/hyperlink" Target="../../2207/DOCUMENTS/PIPELINE%20&amp;%20CABLE/RISER%20LIFT%20ANALYSIS%20REPORTS/2207-NN-RP-031%2016%20INCH%20WHT-5%20TO%20WHT-2(@WHT-2)/Rev%20B" TargetMode="External"/><Relationship Id="rId420" Type="http://schemas.openxmlformats.org/officeDocument/2006/relationships/hyperlink" Target="../DOCUMENTS/PIPELINE%20AND%20CABLE/RISER%20LIFT%20ANALYSIS%20REPORTS/2207-NN-RP-133/COMMENTS/Rev%20C/MWS" TargetMode="External"/><Relationship Id="rId2" Type="http://schemas.openxmlformats.org/officeDocument/2006/relationships/hyperlink" Target="../../2207/DOCUMENTS/PIPELINE%20&amp;%20CABLE/2207-NN-RP-059%20PIPE%20STACKING%20FOR%20SARB3/REPORT/REV-B" TargetMode="External"/><Relationship Id="rId29" Type="http://schemas.openxmlformats.org/officeDocument/2006/relationships/hyperlink" Target="../../2207/DOCUMENTS/PIPELINE%20&amp;%20CABLE/PIPELAY%20ANALYSIS/WHT-5%20TO%20ULRP/2207-NN-RP-012%2010inch/REPORT/Rev%20B" TargetMode="External"/><Relationship Id="rId255" Type="http://schemas.openxmlformats.org/officeDocument/2006/relationships/hyperlink" Target="../../2207/DOCUMENTS/PIPELINE%20&amp;%20CABLE/2207-NN-RP-001%20PIPE%20STACKING%201ST%20CAMPAIGN/COMMENTS/Rev%20B/CLIENT" TargetMode="External"/><Relationship Id="rId276" Type="http://schemas.openxmlformats.org/officeDocument/2006/relationships/hyperlink" Target="../DOCUMENTS/PIPELINE%20AND%20CABLE/RISER%20LIFT%20ANALYSIS%20REPORTS/2207-NN-RP-132/COMMENTS/REV%20B/MWS" TargetMode="External"/><Relationship Id="rId297" Type="http://schemas.openxmlformats.org/officeDocument/2006/relationships/hyperlink" Target="../DOCUMENTS/PIPELINE%20AND%20CABLE/SEAFASTENING%20DESIGN%20REPORTS/2207-NN-RP-153%20CC%20PIPES%20ON%20AWALCO-1/Rev%20B" TargetMode="External"/><Relationship Id="rId441" Type="http://schemas.openxmlformats.org/officeDocument/2006/relationships/hyperlink" Target="../DOCUMENTS/PIPELINE%20AND%20CABLE/RISER%20LIFT%20ANALYSIS%20REPORTS/2207-NN-RP-141/COMMENTS/Rev%20B/CLIENT" TargetMode="External"/><Relationship Id="rId462" Type="http://schemas.openxmlformats.org/officeDocument/2006/relationships/hyperlink" Target="../DOCUMENTS/PIPELINE%20AND%20CABLE/RISER%20LIFT%20ANALYSIS%20REPORTS/2207-NN-RP-145/COMMENTS/Rev%20B/CLIENT" TargetMode="External"/><Relationship Id="rId483" Type="http://schemas.openxmlformats.org/officeDocument/2006/relationships/hyperlink" Target="../DOCUMENTS/PIPELINE%20AND%20CABLE/RISER%20LIFT%20ANALYSIS%20REPORTS/2207-NN-RP-149/COMMENTS/Rev%20B/CLIENT" TargetMode="External"/><Relationship Id="rId518" Type="http://schemas.openxmlformats.org/officeDocument/2006/relationships/hyperlink" Target="../DOCUMENTS/PIPELINE%20AND%20CABLE/2207-NN-RP-100%20PIPE%20STACKING%20CAMPAIGN-2/REPORT/Rev%200" TargetMode="External"/><Relationship Id="rId539" Type="http://schemas.openxmlformats.org/officeDocument/2006/relationships/hyperlink" Target="../DOCUMENTS/PIPELINE%20AND%20CABLE/DAVIT%20LIFT%20ANALYSIS/WHT-6%20to%20WHT-4/2207-NN-RP-126%206%20inch/Rev%200/01%20Report" TargetMode="External"/><Relationship Id="rId40" Type="http://schemas.openxmlformats.org/officeDocument/2006/relationships/hyperlink" Target="../../2207/DOCUMENTS/PIPELINE%20&amp;%20CABLE/PIPELAY%20ANALYSIS/WHT-2%20TO%20WHT-5/2207-NN-RP-013%2010%20INCH/REPORT" TargetMode="External"/><Relationship Id="rId115" Type="http://schemas.openxmlformats.org/officeDocument/2006/relationships/hyperlink" Target="../../2207/DOCUMENTS/PIPELINE%20&amp;%20CABLE/DAVIT%20LIFT%20ANALYSIS/WHT1-WHT3/2207-NN-RP-019%2010%20inch/Rev%20B/REPORT" TargetMode="External"/><Relationship Id="rId136" Type="http://schemas.openxmlformats.org/officeDocument/2006/relationships/hyperlink" Target="../../2207/DOCUMENTS/PIPELINE%20&amp;%20CABLE/DAVIT%20LIFT%20ANALYSIS/WHT3-ULRP/2207-NN-RP-017%20(16%20inch)/COMMENTS/Rev%200/CLIENT" TargetMode="External"/><Relationship Id="rId157" Type="http://schemas.openxmlformats.org/officeDocument/2006/relationships/hyperlink" Target="../../2207/DOCUMENTS/PIPELINE%20&amp;%20CABLE/DAVIT%20LIFT%20ANALYSIS/WHT2-WHT5/2207-NN-RP-016%2016%20inch/Rev%200/REPORT" TargetMode="External"/><Relationship Id="rId178" Type="http://schemas.openxmlformats.org/officeDocument/2006/relationships/hyperlink" Target="../../2207/DOCUMENTS/PIPELINE%20&amp;%20CABLE/RISER%20LIFT%20ANALYSIS%20REPORTS/2207-NN-RP-033%2016%20INCH%20WHT-3%20TO%20ULRP%20(@ULRP)/COMMENTS/Rev%20B/CLIENT" TargetMode="External"/><Relationship Id="rId301" Type="http://schemas.openxmlformats.org/officeDocument/2006/relationships/hyperlink" Target="../DOCUMENTS/PIPELINE%20AND%20CABLE/PIPELAY%20ANALYSIS/ULRP-WHT-7/2207-NN-RP-107%2010INCH/REPORT/Rev%20B" TargetMode="External"/><Relationship Id="rId322" Type="http://schemas.openxmlformats.org/officeDocument/2006/relationships/hyperlink" Target="..\DOCUMENTS\PIPELINE%20AND%20CABLE\PIPELAY%20ANALYSIS\WHT7-WHT8\2207-NN-RP-105%206INCH\COMMENTS\Rev%20B\GMC" TargetMode="External"/><Relationship Id="rId343" Type="http://schemas.openxmlformats.org/officeDocument/2006/relationships/hyperlink" Target="../DOCUMENTS/PIPELINE%20AND%20CABLE/PIPELAY%20ANALYSIS/WHT6-ULRP/2207-NN-RP-108%2010%20INCH/01%20REPORT/Rev%200" TargetMode="External"/><Relationship Id="rId364" Type="http://schemas.openxmlformats.org/officeDocument/2006/relationships/hyperlink" Target="../DOCUMENTS/PIPELINE%20AND%20CABLE/PIPELAY%20ANALYSIS/2207-NN-RP-113%2020%20inch%20MOL/COMMENTS/Rev%20B/CLIENT" TargetMode="External"/><Relationship Id="rId550" Type="http://schemas.openxmlformats.org/officeDocument/2006/relationships/hyperlink" Target="../DOCUMENTS/PIPELINE%20AND%20CABLE/RISER%20LIFT%20ANALYSIS%20REPORTS/2207-NN-RP-143/Rev%20B" TargetMode="External"/><Relationship Id="rId61" Type="http://schemas.openxmlformats.org/officeDocument/2006/relationships/hyperlink" Target="../../2207/DOCUMENTS/PIPELINE%20&amp;%20CABLE/PIPELAY%20ANALYSIS/WHT-1%20TO%20WHT-3/2207-NN-RP-006%2010INCH/COMMENTS/Rev%20B/GMC" TargetMode="External"/><Relationship Id="rId82" Type="http://schemas.openxmlformats.org/officeDocument/2006/relationships/hyperlink" Target="../../2207/DOCUMENTS/PIPELINE%20&amp;%20CABLE/RISER%20LIFT%20ANALYSIS%20REPORTS/2207-NN-RP-037%2010INCH%20WHT-1%20TO%20WHT-3%20(@WHT-3)/Rev%20B" TargetMode="External"/><Relationship Id="rId199" Type="http://schemas.openxmlformats.org/officeDocument/2006/relationships/hyperlink" Target="../../2207/DOCUMENTS/PIPELINE%20&amp;%20CABLE/DAVIT%20LIFT%20ANALYSIS/WHT2-WHT5/2207-NN-RP-016%2016%20inch/COMMENTS/Rev%20B/GMC" TargetMode="External"/><Relationship Id="rId203" Type="http://schemas.openxmlformats.org/officeDocument/2006/relationships/hyperlink" Target="../../2207/DOCUMENTS/PIPELINE%20&amp;%20CABLE/DAVIT%20LIFT%20ANALYSIS/WHT1-WHT3/2207-NN-RP-020%206%20inch/COMMENTS/Rev%20B/GMC" TargetMode="External"/><Relationship Id="rId385" Type="http://schemas.openxmlformats.org/officeDocument/2006/relationships/hyperlink" Target="../DOCUMENTS/PIPELINE%20AND%20CABLE/RISER%20LIFT%20ANALYSIS%20REPORTS/2207-NN-RP-131/COMMENTS/Rev%20C/CLIENT" TargetMode="External"/><Relationship Id="rId571" Type="http://schemas.openxmlformats.org/officeDocument/2006/relationships/hyperlink" Target="../DOCUMENTS/PIPELINE%20AND%20CABLE/DAVIT%20LIFT%20ANALYSIS/WHT-6%20to%20WHT-4/2207-NN-RP-125%2010%20inch/Rev%202/Report" TargetMode="External"/><Relationship Id="rId592" Type="http://schemas.openxmlformats.org/officeDocument/2006/relationships/hyperlink" Target="..\DOCUMENTS\PIPELINE%20AND%20CABLE\RISER%20LIFT%20ANALYSIS%20REPORTS\2207-NN-RP-151\REV-C" TargetMode="External"/><Relationship Id="rId606" Type="http://schemas.openxmlformats.org/officeDocument/2006/relationships/hyperlink" Target="..\DOCUMENTS\PIPELINE%20AND%20CABLE\DAVIT%20LIFT%20ANALYSIS\All%20WHT-6%20risers\Rev%200\COMMENTS\CLIENT" TargetMode="External"/><Relationship Id="rId19" Type="http://schemas.openxmlformats.org/officeDocument/2006/relationships/hyperlink" Target="../../2207/DOCUMENTS/PIPELINE%20&amp;%20CABLE/PIPELAY%20ANALYSIS/WHT-3%20TO%20ULRP/2207-NN-RP-008%208INCH/COMMENTS/Rev%20B/CLIENT" TargetMode="External"/><Relationship Id="rId224" Type="http://schemas.openxmlformats.org/officeDocument/2006/relationships/hyperlink" Target="../../2207/DOCUMENTS/PIPELINE%20&amp;%20CABLE/RISER%20LIFT%20ANALYSIS%20REPORTS/2207-NN-RP-034%2016%20INCH%20WHT-1%20TO%20WHT-3%20(@WHT-1)/COMMENTS/Rev%20B/GMC" TargetMode="External"/><Relationship Id="rId245" Type="http://schemas.openxmlformats.org/officeDocument/2006/relationships/hyperlink" Target="../../2207/DOCUMENTS/PIPELINE%20&amp;%20CABLE/RISER%20LIFT%20ANALYSIS%20REPORTS/2207-NN-RP-038%206%20INCH%20WHT-1%20TO%20WHT-3%20(@WHT-1)/COMMENTS/Rev%20B/GMC" TargetMode="External"/><Relationship Id="rId266" Type="http://schemas.openxmlformats.org/officeDocument/2006/relationships/hyperlink" Target="../DOCUMENTS/PIPELINE%20AND%20CABLE/RISER%20LIFT%20ANALYSIS%20REPORTS/2207-NN-RP-137/Rev%20B" TargetMode="External"/><Relationship Id="rId287" Type="http://schemas.openxmlformats.org/officeDocument/2006/relationships/hyperlink" Target="../DOCUMENTS/PIPELINE%20AND%20CABLE/PIPELAY%20ANALYSIS/WHT6-ULRP/2207-NN-RP-101%2018INCH/REPORT/Rev%20B" TargetMode="External"/><Relationship Id="rId410" Type="http://schemas.openxmlformats.org/officeDocument/2006/relationships/hyperlink" Target="../DOCUMENTS/PIPELINE%20AND%20CABLE/DAVIT%20LIFT%20ANALYSIS/ULRP%20to%20WHT7/2207-NN-RP-120%206%20inch/COMMENTS/Rev%200/CLIENT" TargetMode="External"/><Relationship Id="rId431" Type="http://schemas.openxmlformats.org/officeDocument/2006/relationships/hyperlink" Target="../DOCUMENTS/PIPELINE%20AND%20CABLE/DAVIT%20LIFT%20ANALYSIS/ULRP%20to%20WHT7/2207-NN-RP-116%2016%20inch/COMMENTS/Rev%200/GMC" TargetMode="External"/><Relationship Id="rId452" Type="http://schemas.openxmlformats.org/officeDocument/2006/relationships/hyperlink" Target="../DOCUMENTS/PIPELINE%20AND%20CABLE/DAVIT%20LIFT%20ANALYSIS/WHT7%20to%20WHT8/2207-NN-RP-117%2016%20inch/Rev%201/01%20Report" TargetMode="External"/><Relationship Id="rId473" Type="http://schemas.openxmlformats.org/officeDocument/2006/relationships/hyperlink" Target="../DOCUMENTS/PIPELINE%20AND%20CABLE/PIPELAY%20ANALYSIS/2207-NN-RP-161%2020inch%20MOL%20PL%20WELD%20REPAIR/Rev%20B/Report" TargetMode="External"/><Relationship Id="rId494" Type="http://schemas.openxmlformats.org/officeDocument/2006/relationships/hyperlink" Target="..\DOCUMENTS\PIPELINE%20AND%20CABLE\PIPELAY%20ANALYSIS\2207-NN-RP-114%20NEW%2020%20inch%20MOL\REPORT\COMMENTS\Rev%20B\CLIENT" TargetMode="External"/><Relationship Id="rId508" Type="http://schemas.openxmlformats.org/officeDocument/2006/relationships/hyperlink" Target="../DOCUMENTS/PIPELINE%20AND%20CABLE/PIPELAY%20ANALYSIS/WHT6-ULRP/2207-NN-RP-108%2010%20INCH/COMMENTS/Rev%200/GMC" TargetMode="External"/><Relationship Id="rId529" Type="http://schemas.openxmlformats.org/officeDocument/2006/relationships/hyperlink" Target="../DOCUMENTS/PIPELINE%20AND%20CABLE/LIFTING%20WITH%20AIRBAGS/2207-NN-RP-163/Rev%200" TargetMode="External"/><Relationship Id="rId30" Type="http://schemas.openxmlformats.org/officeDocument/2006/relationships/hyperlink" Target="../../2207/DOCUMENTS/PIPELINE%20&amp;%20CABLE/PIPELAY%20ANALYSIS/WHT-3%20TO%20ULRP/2207-NN-RP-009%2010INCH/COMMENTS/Rev%20C/MWS" TargetMode="External"/><Relationship Id="rId105" Type="http://schemas.openxmlformats.org/officeDocument/2006/relationships/hyperlink" Target="../../2207/DOCUMENTS/PIPELINE%20&amp;%20CABLE/RISER%20LIFT%20ANALYSIS%20REPORTS/2207-NN-RP-049%2010INCH%20ULRP%20TO%20WHT-5%20(@WHT-5)/Rev%20B" TargetMode="External"/><Relationship Id="rId126" Type="http://schemas.openxmlformats.org/officeDocument/2006/relationships/hyperlink" Target="../../2207/DOCUMENTS/PIPELINE%20&amp;%20CABLE/DAVIT%20LIFT%20ANALYSIS/WHT3-ULRP/2207-NN-RP-022%20(10%20inch)/COMMENTS/Rev%20B/GMC" TargetMode="External"/><Relationship Id="rId147" Type="http://schemas.openxmlformats.org/officeDocument/2006/relationships/hyperlink" Target="../../2207/DOCUMENTS/PIPELINE%20&amp;%20CABLE/DAVIT%20LIFT%20ANALYSIS/WHT3-ULRP/2207-NN-RP-017%20(16%20inch)/Rev%201/REPORT" TargetMode="External"/><Relationship Id="rId168" Type="http://schemas.openxmlformats.org/officeDocument/2006/relationships/hyperlink" Target="../../2207/DOCUMENTS/PIPELINE%20&amp;%20CABLE/DAVIT%20LIFT%20ANALYSIS/WHT2-WHT5/2207-NN-RP-026%2010%20inch/COMMENTS/Rev%20B/CLIENT" TargetMode="External"/><Relationship Id="rId312" Type="http://schemas.openxmlformats.org/officeDocument/2006/relationships/hyperlink" Target="../DOCUMENTS/PIPELINE%20AND%20CABLE/PIPELAY%20ANALYSIS/WHT-4%20TO%20WHT-6/2207-NN-RP-112%206INCH/COMMENTS/Rev%200/GMC" TargetMode="External"/><Relationship Id="rId333" Type="http://schemas.openxmlformats.org/officeDocument/2006/relationships/hyperlink" Target="../DOCUMENTS/PIPELINE%20AND%20CABLE/PIPELAY%20ANALYSIS/WHT6-ULRP/2207-NN-RP-109%208INCH/COMMENTS/Rev%20B/CLIENT" TargetMode="External"/><Relationship Id="rId354" Type="http://schemas.openxmlformats.org/officeDocument/2006/relationships/hyperlink" Target="../DOCUMENTS/PIPELINE%20AND%20CABLE/SEAFASTENING%20DESIGN%20REPORTS/2207-NN-RP-155%20CC%20PIPES%20GAC-82/COMMENTS/Rev%20B/GMC" TargetMode="External"/><Relationship Id="rId540" Type="http://schemas.openxmlformats.org/officeDocument/2006/relationships/hyperlink" Target="../DOCUMENTS/PIPELINE%20AND%20CABLE/DAVIT%20LIFT%20ANALYSIS/WHT-6%20to%20WHT-4/2207-NN-RP-125%2010%20inch/Rev%201/Report" TargetMode="External"/><Relationship Id="rId51" Type="http://schemas.openxmlformats.org/officeDocument/2006/relationships/hyperlink" Target="../../2207/DOCUMENTS/PIPELINE%20&amp;%20CABLE/PIPELAY%20ANALYSIS/WHT-1%20TO%20WHT-3/2207-NN-RP-006%2010INCH/REPORT" TargetMode="External"/><Relationship Id="rId72" Type="http://schemas.openxmlformats.org/officeDocument/2006/relationships/hyperlink" Target="../../2207/DOCUMENTS/PIPELINE%20&amp;%20CABLE/PIPELAY%20ANALYSIS/WHT-1%20TO%20WHT-3/2207-NN-RP-006%2010INCH/COMMENTS/Rev%200/CLIENT" TargetMode="External"/><Relationship Id="rId93" Type="http://schemas.openxmlformats.org/officeDocument/2006/relationships/hyperlink" Target="../../2207/DOCUMENTS/PIPELINE%20&amp;%20CABLE/PIPELAY%20ANALYSIS/WHT-1%20TO%20WHT-3/2207-NN-RP-007%206INCH/COMMENTS/Rev%200/GMC" TargetMode="External"/><Relationship Id="rId189" Type="http://schemas.openxmlformats.org/officeDocument/2006/relationships/hyperlink" Target="../../2207/DOCUMENTS/PIPELINE%20&amp;%20CABLE/RISER%20LIFT%20ANALYSIS%20REPORTS/2207-NN-RP-039%206INCH%20WHT-1%20TO%20WHT-3%20(@WHT-3)/COMMENTS/Rev%20B/GMC" TargetMode="External"/><Relationship Id="rId375" Type="http://schemas.openxmlformats.org/officeDocument/2006/relationships/hyperlink" Target="../DOCUMENTS/PIPELINE%20AND%20CABLE/SEAFASTENING%20DESIGN%20REPORTS/2207-NN-RP-159%20CC%20PIPES%20GAC-66/Rev%20B" TargetMode="External"/><Relationship Id="rId396" Type="http://schemas.openxmlformats.org/officeDocument/2006/relationships/hyperlink" Target="../DOCUMENTS/PIPELINE%20AND%20CABLE/DAVIT%20LIFT%20ANALYSIS/WHT-6%20to%20ULRP/2207-NN-RP-124%206%20inch/Rev%20B/01%20Report" TargetMode="External"/><Relationship Id="rId561" Type="http://schemas.openxmlformats.org/officeDocument/2006/relationships/hyperlink" Target="../DOCUMENTS/PIPELINE%20AND%20CABLE/DAVIT%20LIFT%20ANALYSIS/WHT-6%20to%20WHT-4/2207-NN-RP-126%206%20inch/COMMENTS/Rev%200/GMC" TargetMode="External"/><Relationship Id="rId582" Type="http://schemas.openxmlformats.org/officeDocument/2006/relationships/hyperlink" Target="../DOCUMENTS/PIPELINE%20AND%20CABLE/DAVIT%20LIFT%20ANALYSIS/WHT-6%20to%20ULRP/2207-NN-RP-122%2010%20inch/COMMENTS/Rev%202/CLIENT" TargetMode="External"/><Relationship Id="rId3" Type="http://schemas.openxmlformats.org/officeDocument/2006/relationships/hyperlink" Target="../../2207/DOCUMENTS/PIPELINE%20&amp;%20CABLE/PIPELAY%20ANALYSIS/WHT-1%20TO%20WHT-3/2207-NN-RP-005%2016INCH/REPORT/Rev%20B" TargetMode="External"/><Relationship Id="rId214" Type="http://schemas.openxmlformats.org/officeDocument/2006/relationships/hyperlink" Target="../../2207/DOCUMENTS/PIPELINE%20&amp;%20CABLE/DAVIT%20LIFT%20ANALYSIS/WHT5-ULRP/2207-NN-RP-015%2016%20inch/COMMENTS/Rev%200/GMC" TargetMode="External"/><Relationship Id="rId235" Type="http://schemas.openxmlformats.org/officeDocument/2006/relationships/hyperlink" Target="../../2207/DOCUMENTS/PIPELINE%20&amp;%20CABLE/RISER%20LIFT%20ANALYSIS%20REPORTS/2207-NN-RP-036%2010%20INCH%20WHT-1%20TO%20WHT-3%20(@WHT-1)/COMMENTS/Rev%20B/CLIENT" TargetMode="External"/><Relationship Id="rId256" Type="http://schemas.openxmlformats.org/officeDocument/2006/relationships/hyperlink" Target="../../2207/DOCUMENTS/PIPELINE%20&amp;%20CABLE/2207-NN-RP-001%20PIPE%20STACKING%201ST%20CAMPAIGN/REPORT/Rev%20B" TargetMode="External"/><Relationship Id="rId277" Type="http://schemas.openxmlformats.org/officeDocument/2006/relationships/hyperlink" Target="../DOCUMENTS/PIPELINE%20AND%20CABLE/RISER%20LIFT%20ANALYSIS%20REPORTS/2207-NN-RP-133/COMMENTS/REV%20B/MWS" TargetMode="External"/><Relationship Id="rId298" Type="http://schemas.openxmlformats.org/officeDocument/2006/relationships/hyperlink" Target="..\DOCUMENTS\PIPELINE%20AND%20CABLE\PIPELAY%20ANALYSIS\WHT6-ULRP\2207-NN-RP-101%2018INCH\COMMENTS\Rev%20B\GMC" TargetMode="External"/><Relationship Id="rId400" Type="http://schemas.openxmlformats.org/officeDocument/2006/relationships/hyperlink" Target="../DOCUMENTS/PIPELINE%20AND%20CABLE/RISER%20LIFT%20ANALYSIS%20REPORTS/2207-NN-RP-141/Rev%20B" TargetMode="External"/><Relationship Id="rId421" Type="http://schemas.openxmlformats.org/officeDocument/2006/relationships/hyperlink" Target="../DOCUMENTS/PIPELINE%20AND%20CABLE/RISER%20LIFT%20ANALYSIS%20REPORTS/2207-NN-RP-134/COMMENTS/Rev%20C/MWS" TargetMode="External"/><Relationship Id="rId442" Type="http://schemas.openxmlformats.org/officeDocument/2006/relationships/hyperlink" Target="../DOCUMENTS/PIPELINE%20AND%20CABLE/RISER%20LIFT%20ANALYSIS%20REPORTS/2207-NN-RP-138/COMMENTS/Rev%20B/CLIENT" TargetMode="External"/><Relationship Id="rId463" Type="http://schemas.openxmlformats.org/officeDocument/2006/relationships/hyperlink" Target="../DOCUMENTS/PIPELINE%20AND%20CABLE/RISER%20LIFT%20ANALYSIS%20REPORTS/2207-NN-RP-142/COMMENTS/Rev%20B/CLIENT" TargetMode="External"/><Relationship Id="rId484" Type="http://schemas.openxmlformats.org/officeDocument/2006/relationships/hyperlink" Target="../DOCUMENTS/PIPELINE%20AND%20CABLE/RISER%20LIFT%20ANALYSIS%20REPORTS/2207-NN-RP-150/COMMENTS/Rev%20B/CLIENT" TargetMode="External"/><Relationship Id="rId519" Type="http://schemas.openxmlformats.org/officeDocument/2006/relationships/hyperlink" Target="../DOCUMENTS/PIPELINE%20AND%20CABLE/DAVIT%20LIFT%20ANALYSIS/WHT-6%20to%20WHT-4/2207-NN-RP-125%2010%20inch/COMMENTS/Rev%200/GMC" TargetMode="External"/><Relationship Id="rId116" Type="http://schemas.openxmlformats.org/officeDocument/2006/relationships/hyperlink" Target="../../2207/DOCUMENTS/PIPELINE%20&amp;%20CABLE/SEAFASTENING%20DESIGN%20REPORTS/2207-NN-RP-056%20CC%20PIPES%20FOR%20CB-7%20(TRIP-6)/COMMENTS/Rev%20B/GMC" TargetMode="External"/><Relationship Id="rId137" Type="http://schemas.openxmlformats.org/officeDocument/2006/relationships/hyperlink" Target="../../2207/DOCUMENTS/PIPELINE%20&amp;%20CABLE/RISER%20LIFT%20ANALYSIS%20REPORTS/2207-NN-RP-040%208%20INCH%20WHT-3%20TO%20ULRP%20(@WHT-3)/COMMENTS/Rev%200/CLIENT" TargetMode="External"/><Relationship Id="rId158" Type="http://schemas.openxmlformats.org/officeDocument/2006/relationships/hyperlink" Target="../../2207/DOCUMENTS/PIPELINE%20&amp;%20CABLE/DAVIT%20LIFT%20ANALYSIS/WHT5-ULRP/2207-NN-RP-015%2016%20inch/Rev%200/REPORT" TargetMode="External"/><Relationship Id="rId302" Type="http://schemas.openxmlformats.org/officeDocument/2006/relationships/hyperlink" Target="../DOCUMENTS/PIPELINE%20AND%20CABLE/PIPELAY%20ANALYSIS/WHT6-ULRP/2207-NN-RP-110%206INCH/COMMENTS/Rev%20B/CLIENT" TargetMode="External"/><Relationship Id="rId323" Type="http://schemas.openxmlformats.org/officeDocument/2006/relationships/hyperlink" Target="..\DOCUMENTS\PIPELINE%20AND%20CABLE\PIPELAY%20ANALYSIS\WHT6-ULRP\2207-NN-RP-110%206INCH\COMMENTS\Rev%20B\GMC" TargetMode="External"/><Relationship Id="rId344" Type="http://schemas.openxmlformats.org/officeDocument/2006/relationships/hyperlink" Target="..\DOCUMENTS\PIPELINE%20AND%20CABLE\PIPELAY%20ANALYSIS\WHT6-ULRP\2207-NN-RP-109%208INCH\COMMENTS\Rev%200\CLIENT" TargetMode="External"/><Relationship Id="rId530" Type="http://schemas.openxmlformats.org/officeDocument/2006/relationships/hyperlink" Target="..\DOCUMENTS\PIPELINE%20AND%20CABLE\RISER%20LIFT%20ANALYSIS%20REPORTS\2207-NN-RP-135\COMMENTS\Rev%20B\CLIENT" TargetMode="External"/><Relationship Id="rId20" Type="http://schemas.openxmlformats.org/officeDocument/2006/relationships/hyperlink" Target="../../2207/DOCUMENTS/PIPELINE%20&amp;%20CABLE/PIPELAY%20ANALYSIS/WHT-3%20TO%20ULRP/2207-NN-RP-009%2010INCH/COMMENTS/Rev%20B/CLIENT" TargetMode="External"/><Relationship Id="rId41" Type="http://schemas.openxmlformats.org/officeDocument/2006/relationships/hyperlink" Target="../../2207/DOCUMENTS/PIPELINE%20&amp;%20CABLE/PIPELAY%20ANALYSIS/WHT-3%20TO%20ULRP/2207-NN-RP-010%206INCH/COMMENTS/REV%20B/CLIENT" TargetMode="External"/><Relationship Id="rId62" Type="http://schemas.openxmlformats.org/officeDocument/2006/relationships/hyperlink" Target="../../2207/DOCUMENTS/PIPELINE%20&amp;%20CABLE/SEAFASTENING%20DESIGN%20REPORTS/2207-NN-RP-055%20CC%20PIPES%20FOR%20GOGAS-252%20(TRIP-2)/COMMENTS/Rev%20B/CLIENT" TargetMode="External"/><Relationship Id="rId83" Type="http://schemas.openxmlformats.org/officeDocument/2006/relationships/hyperlink" Target="../../2207/DOCUMENTS/PIPELINE%20&amp;%20CABLE/RISER%20LIFT%20ANALYSIS%20REPORTS/2207-NN-RP-032%2016%20INCH%20WHT-3%20TO%20ULRP%20(@WHT-3)/COMMENTS/Rev%200/CLIENT" TargetMode="External"/><Relationship Id="rId179" Type="http://schemas.openxmlformats.org/officeDocument/2006/relationships/hyperlink" Target="../../2207/DOCUMENTS/PIPELINE%20&amp;%20CABLE/RISER%20LIFT%20ANALYSIS%20REPORTS/2207-NN-RP-041%208%20INCH%20WHT-3%20TO%20ULRP%20(@ULRP)/COMMENTS/Rev%20B/CLIENT" TargetMode="External"/><Relationship Id="rId365" Type="http://schemas.openxmlformats.org/officeDocument/2006/relationships/hyperlink" Target="../DOCUMENTS/PIPELINE%20AND%20CABLE/RISER%20LIFT%20ANALYSIS%20REPORTS/2207-NN-RP-131/Rev%20C" TargetMode="External"/><Relationship Id="rId386" Type="http://schemas.openxmlformats.org/officeDocument/2006/relationships/hyperlink" Target="../DOCUMENTS/PIPELINE%20AND%20CABLE/RISER%20LIFT%20ANALYSIS%20REPORTS/2207-NN-RP-139/COMMENTS/Rev%20B/CLIENT" TargetMode="External"/><Relationship Id="rId551" Type="http://schemas.openxmlformats.org/officeDocument/2006/relationships/hyperlink" Target="../DOCUMENTS/PIPELINE%20AND%20CABLE/RISER%20LIFT%20ANALYSIS%20REPORTS/2207-NN-RP-146/Rev%20B" TargetMode="External"/><Relationship Id="rId572" Type="http://schemas.openxmlformats.org/officeDocument/2006/relationships/hyperlink" Target="../DOCUMENTS/PIPELINE%20AND%20CABLE/DAVIT%20LIFT%20ANALYSIS/WHT-6%20to%20WHT-4/2207-NN-RP-126%206%20inch/Rev%201/Report" TargetMode="External"/><Relationship Id="rId593" Type="http://schemas.openxmlformats.org/officeDocument/2006/relationships/hyperlink" Target="..\DOCUMENTS\PIPELINE%20AND%20CABLE\RISER%20LIFT%20ANALYSIS%20REPORTS\2207-NN-RP-143\REV-C" TargetMode="External"/><Relationship Id="rId607" Type="http://schemas.openxmlformats.org/officeDocument/2006/relationships/hyperlink" Target="..\DOCUMENTS\PIPELINE%20AND%20CABLE\PIPELINE%20REPAIR%20ANALYSIS\10IN%20WI%20@%20WHT-6(ULRP%20to%20WHT-6)\COMMENTS\CLIENT" TargetMode="External"/><Relationship Id="rId190" Type="http://schemas.openxmlformats.org/officeDocument/2006/relationships/hyperlink" Target="../../2207/DOCUMENTS/PIPELINE%20&amp;%20CABLE/RISER%20LIFT%20ANALYSIS%20REPORTS/2207-NN-RP-047%206%20INCH%20ULRP%20TO%20WHT-5%20(@WHT-5)/COMMENTS/Rev%20B/GMC" TargetMode="External"/><Relationship Id="rId204" Type="http://schemas.openxmlformats.org/officeDocument/2006/relationships/hyperlink" Target="../../2207/DOCUMENTS/PIPELINE%20&amp;%20CABLE/DAVIT%20LIFT%20ANALYSIS/WHT1-WHT3/2207-NN-RP-018%2016%20inch/COMMENTS/Rev%20B/GMC" TargetMode="External"/><Relationship Id="rId225" Type="http://schemas.openxmlformats.org/officeDocument/2006/relationships/hyperlink" Target="../../2207/DOCUMENTS/PIPELINE%20&amp;%20CABLE/DAVIT%20LIFT%20ANALYSIS/WHT1-WHT3/2207-NN-RP-020%206%20inch/COMMENTS/Rev%20B/CLIENT" TargetMode="External"/><Relationship Id="rId246" Type="http://schemas.openxmlformats.org/officeDocument/2006/relationships/hyperlink" Target="../../2207/DOCUMENTS/PIPELINE%20&amp;%20CABLE/RISER%20LIFT%20ANALYSIS%20REPORTS/2207-NN-RP-036%2010%20INCH%20WHT-1%20TO%20WHT-3%20(@WHT-1)/COMMENTS/Rev%20B/GMC" TargetMode="External"/><Relationship Id="rId267" Type="http://schemas.openxmlformats.org/officeDocument/2006/relationships/hyperlink" Target="../DOCUMENTS/PIPELINE%20AND%20CABLE/PIPELAY%20ANALYSIS/ULRP-WHT-7/2207-NN-RP-102%2016INCH/COMMENTS/Rev%20B/GMC" TargetMode="External"/><Relationship Id="rId288" Type="http://schemas.openxmlformats.org/officeDocument/2006/relationships/hyperlink" Target="../DOCUMENTS/PIPELINE%20AND%20CABLE/PIPELAY%20ANALYSIS/WHT-4%20TO%20WHT-6/2207-NN-RP-112%206INCH/REPORT/Rev%200" TargetMode="External"/><Relationship Id="rId411" Type="http://schemas.openxmlformats.org/officeDocument/2006/relationships/hyperlink" Target="../DOCUMENTS/PIPELINE%20AND%20CABLE/DAVIT%20LIFT%20ANALYSIS/ULRP%20to%20WHT7/2207-NN-RP-121%2010%20inch/COMMENTS/Rev%200/CLIENT" TargetMode="External"/><Relationship Id="rId432" Type="http://schemas.openxmlformats.org/officeDocument/2006/relationships/hyperlink" Target="..\DOCUMENTS\PIPELINE%20AND%20CABLE\DAVIT%20LIFT%20ANALYSIS\WHT7%20to%20WHT8\2207-NN-RP-117%2016%20inch\COMMENTS\Rev%200\GMC" TargetMode="External"/><Relationship Id="rId453" Type="http://schemas.openxmlformats.org/officeDocument/2006/relationships/hyperlink" Target="../DOCUMENTS/PIPELINE%20AND%20CABLE/DAVIT%20LIFT%20ANALYSIS/WHT7%20to%20WHT8/2207-NN-RP-118%2010%20inch/Rev%201/01%20Report" TargetMode="External"/><Relationship Id="rId474" Type="http://schemas.openxmlformats.org/officeDocument/2006/relationships/hyperlink" Target="../DOCUMENTS/PIPELINE%20AND%20CABLE/DAVIT%20LIFT%20ANALYSIS/ULRP%20to%20WHT7/2207-NN-RP-121%2010%20inch/COMMENTS/Rev%200/GMC" TargetMode="External"/><Relationship Id="rId509" Type="http://schemas.openxmlformats.org/officeDocument/2006/relationships/hyperlink" Target="../DOCUMENTS/PIPELINE%20AND%20CABLE/PIPELAY%20ANALYSIS/WHT7-WHT8/2207-NN-RP-105%206INCH/COMMENTS/Rev%200/GMC" TargetMode="External"/><Relationship Id="rId106" Type="http://schemas.openxmlformats.org/officeDocument/2006/relationships/hyperlink" Target="../../2207/DOCUMENTS/PIPELINE%20&amp;%20CABLE/DAVIT%20LIFT%20ANALYSIS/WHT5-ULRP/2207-NN-RP-015%2016%20inch/Rev%20B/REPORT" TargetMode="External"/><Relationship Id="rId127" Type="http://schemas.openxmlformats.org/officeDocument/2006/relationships/hyperlink" Target="../../2207/DOCUMENTS/PIPELINE%20&amp;%20CABLE/DAVIT%20LIFT%20ANALYSIS/WHT3-ULRP/2207-NN-RP-017%20(16%20inch)/COMMENTS/Rev%200/GMC" TargetMode="External"/><Relationship Id="rId313" Type="http://schemas.openxmlformats.org/officeDocument/2006/relationships/hyperlink" Target="../DOCUMENTS/PIPELINE%20AND%20CABLE/PIPELAY%20ANALYSIS/WHT7-WHT8/2207-NN-RP-105%206INCH/COMMENTS/Rev%20B/CLIENT" TargetMode="External"/><Relationship Id="rId495" Type="http://schemas.openxmlformats.org/officeDocument/2006/relationships/hyperlink" Target="../DOCUMENTS/PIPELINE%20AND%20CABLE/DAVIT%20LIFT%20ANALYSIS/WHT-6%20to%20WHT-4/2207-NN-RP-125%2010%20inch/Rev%200/01%20Report" TargetMode="External"/><Relationship Id="rId10" Type="http://schemas.openxmlformats.org/officeDocument/2006/relationships/hyperlink" Target="../../2207/DOCUMENTS/PIPELINE%20&amp;%20CABLE/PIPELAY%20ANALYSIS/WHT-3%20TO%20ULRP/2207-NN-RP-004%2016INCH/COMMENTS/Rev%20B/GMC" TargetMode="External"/><Relationship Id="rId31" Type="http://schemas.openxmlformats.org/officeDocument/2006/relationships/hyperlink" Target="../../2207/DOCUMENTS/PIPELINE%20&amp;%20CABLE/RISER%20LIFT%20ANALYSIS%20REPORTS/2207-NN-RP-032%2016%20INCH%20WHT-3%20TO%20ULRP%20(@WHT-3)/Rev%20B" TargetMode="External"/><Relationship Id="rId52" Type="http://schemas.openxmlformats.org/officeDocument/2006/relationships/hyperlink" Target="../../2207/DOCUMENTS/PIPELINE%20&amp;%20CABLE/PIPELAY%20ANALYSIS/WHT-3%20TO%20ULRP/2207-NN-RP-010%206INCH/COMMENTS/REV%200/MWS" TargetMode="External"/><Relationship Id="rId73" Type="http://schemas.openxmlformats.org/officeDocument/2006/relationships/hyperlink" Target="../../2207/DOCUMENTS/PIPELINE%20&amp;%20CABLE/PIPELAY%20ANALYSIS/WHT-2%20TO%20WHT-5/2207-NN-RP-003%2016INCH/REPORT/Rev.0" TargetMode="External"/><Relationship Id="rId94" Type="http://schemas.openxmlformats.org/officeDocument/2006/relationships/hyperlink" Target="../../2207/DOCUMENTS/PIPELINE%20&amp;%20CABLE/RISER%20LIFT%20ANALYSIS%20REPORTS/2207-NN-RP-042%2010%20INCH%20WHT-3%20TO%20ULRP%20(@WHT-3)/COMMENTS/Rev%20B/CLIENT" TargetMode="External"/><Relationship Id="rId148" Type="http://schemas.openxmlformats.org/officeDocument/2006/relationships/hyperlink" Target="../../2207/DOCUMENTS/PIPELINE%20&amp;%20CABLE/DAVIT%20LIFT%20ANALYSIS/WHT3-ULRP/2207-NN-RP-021%20(8%20inch)/Rev%200/REPORT" TargetMode="External"/><Relationship Id="rId169" Type="http://schemas.openxmlformats.org/officeDocument/2006/relationships/hyperlink" Target="../../2207/DOCUMENTS/PIPELINE%20&amp;%20CABLE/DAVIT%20LIFT%20ANALYSIS/WHT2-WHT5/2207-NN-RP-027%206%20inch/COMMENTS/Rev%20B/CLIENT" TargetMode="External"/><Relationship Id="rId334" Type="http://schemas.openxmlformats.org/officeDocument/2006/relationships/hyperlink" Target="../DOCUMENTS/PIPELINE%20AND%20CABLE/PIPELAY%20ANALYSIS/WHT6-ULRP/2207-NN-RP-101%2018INCH/REPORT/Rev%200" TargetMode="External"/><Relationship Id="rId355" Type="http://schemas.openxmlformats.org/officeDocument/2006/relationships/hyperlink" Target="../DOCUMENTS/PIPELINE%20AND%20CABLE/RISER%20LIFT%20ANALYSIS%20REPORTS/2207-NN-RP-133/Rev%20C" TargetMode="External"/><Relationship Id="rId376" Type="http://schemas.openxmlformats.org/officeDocument/2006/relationships/hyperlink" Target="../DOCUMENTS/PIPELINE%20AND%20CABLE/RISER%20LIFT%20ANALYSIS%20REPORTS/2207-NN-RP-133/COMMENTS/Rev%20C/CLIENT" TargetMode="External"/><Relationship Id="rId397" Type="http://schemas.openxmlformats.org/officeDocument/2006/relationships/hyperlink" Target="..\DOCUMENTS\PIPELINE%20AND%20CABLE\SEAFASTENING%20DESIGN%20REPORTS\2207-NN-RP-159%20CC%20PIPES%20GAC-66\COMMENTS\Rev%20B\CLIENT" TargetMode="External"/><Relationship Id="rId520" Type="http://schemas.openxmlformats.org/officeDocument/2006/relationships/hyperlink" Target="../DOCUMENTS/PIPELINE%20AND%20CABLE/LIFTING%20WITH%20AIRBAGS/2207-NN-RP-162/Rev-0" TargetMode="External"/><Relationship Id="rId541" Type="http://schemas.openxmlformats.org/officeDocument/2006/relationships/hyperlink" Target="../DOCUMENTS/PIPELINE%20AND%20CABLE/RISER%20LIFT%20ANALYSIS%20REPORTS/2207-NN-RP-128/Rev%20B" TargetMode="External"/><Relationship Id="rId562" Type="http://schemas.openxmlformats.org/officeDocument/2006/relationships/hyperlink" Target="../DOCUMENTS/PIPELINE%20AND%20CABLE/DAVIT%20LIFT%20ANALYSIS/WHT-6%20to%20ULRP/2207-NN-RP-122%2010%20inch/COMMENTS/Rev%201/MWS" TargetMode="External"/><Relationship Id="rId583" Type="http://schemas.openxmlformats.org/officeDocument/2006/relationships/hyperlink" Target="../DOCUMENTS/PIPELINE%20AND%20CABLE/DAVIT%20LIFT%20ANALYSIS/WHT-6%20to%20ULRP/2207-NN-RP-123%208%20inch/COMMENTS/Rev%202/CLIENT" TargetMode="External"/><Relationship Id="rId4" Type="http://schemas.openxmlformats.org/officeDocument/2006/relationships/hyperlink" Target="../../2207/DOCUMENTS/PIPELINE%20&amp;%20CABLE/2207-NN-RP-059%20PIPE%20STACKING%20FOR%20SARB3/COMMENTS/Rev%20B/CLIENT" TargetMode="External"/><Relationship Id="rId180" Type="http://schemas.openxmlformats.org/officeDocument/2006/relationships/hyperlink" Target="../../2207/DOCUMENTS/PIPELINE%20&amp;%20CABLE/RISER%20LIFT%20ANALYSIS%20REPORTS/2207-NN-RP-044%206INCH%20WHT-3%20TO%20ULRP%20(@WHT-3)/COMMENTS/Rev%200/CLIENT" TargetMode="External"/><Relationship Id="rId215" Type="http://schemas.openxmlformats.org/officeDocument/2006/relationships/hyperlink" Target="../../2207/DOCUMENTS/PIPELINE%20&amp;%20CABLE/RISER%20LIFT%20ANALYSIS%20REPORTS/2207-NN-RP-045%206%20INCH%20WHT-3%20TO%20ULRP%20(@ULRP)/COMMENTS/Rev%20B/GMC" TargetMode="External"/><Relationship Id="rId236" Type="http://schemas.openxmlformats.org/officeDocument/2006/relationships/hyperlink" Target="../../2207/DOCUMENTS/PIPELINE%20&amp;%20CABLE/RISER%20LIFT%20ANALYSIS%20REPORTS/2207-NN-RP-053%206%20INCH%20WHT-5%20TO%20WHT-2%20(@WHT-2)/COMMENTS/Rev%20B/CLIENT" TargetMode="External"/><Relationship Id="rId257" Type="http://schemas.openxmlformats.org/officeDocument/2006/relationships/hyperlink" Target="../DOCUMENTS/PIPELINE%20AND%20CABLE/PIPELAY%20ANALYSIS/WHT-4%20TO%20WHT-6/2207-NN-RP-111%2010INCH/REPORT/Rev%20B" TargetMode="External"/><Relationship Id="rId278" Type="http://schemas.openxmlformats.org/officeDocument/2006/relationships/hyperlink" Target="../DOCUMENTS/PIPELINE%20AND%20CABLE/RISER%20LIFT%20ANALYSIS%20REPORTS/2207-NN-RP-137/COMMENTS/Rev%20B/MWS" TargetMode="External"/><Relationship Id="rId401" Type="http://schemas.openxmlformats.org/officeDocument/2006/relationships/hyperlink" Target="..\DOCUMENTS\PIPELINE%20AND%20CABLE\RISER%20LIFT%20ANALYSIS%20REPORTS\2207-NN-RP-140\COMMENTS\Rev%20B\CLIENT" TargetMode="External"/><Relationship Id="rId422" Type="http://schemas.openxmlformats.org/officeDocument/2006/relationships/hyperlink" Target="../DOCUMENTS/PIPELINE%20AND%20CABLE/RISER%20LIFT%20ANALYSIS%20REPORTS/2207-NN-RP-135/COMMENTS/Rev%20B/GMC" TargetMode="External"/><Relationship Id="rId443" Type="http://schemas.openxmlformats.org/officeDocument/2006/relationships/hyperlink" Target="../DOCUMENTS/PIPELINE%20AND%20CABLE/DAVIT%20LIFT%20ANALYSIS/WHT-6%20to%20ULRP/2207-NN-RP-115%2018%20inch/COMMENTS/Rev%20B/CLIENT" TargetMode="External"/><Relationship Id="rId464" Type="http://schemas.openxmlformats.org/officeDocument/2006/relationships/hyperlink" Target="../DOCUMENTS/PIPELINE%20AND%20CABLE/RISER%20LIFT%20ANALYSIS%20REPORTS/2207-NN-RP-129/COMMENTS/Rev%20B/CLIENT" TargetMode="External"/><Relationship Id="rId303" Type="http://schemas.openxmlformats.org/officeDocument/2006/relationships/hyperlink" Target="../DOCUMENTS/PIPELINE%20AND%20CABLE/PIPELAY%20ANALYSIS/ULRP-WHT-7/2207-NN-RP-106%206INCH/COMMENTS/Rev%20B/CLIENT" TargetMode="External"/><Relationship Id="rId485" Type="http://schemas.openxmlformats.org/officeDocument/2006/relationships/hyperlink" Target="../DOCUMENTS/PIPELINE%20AND%20CABLE/DAVIT%20LIFT%20ANALYSIS/20%20Inch%20MOL/2207-NN-RP-127/COMMENTS/Rev%200/CLIENT" TargetMode="External"/><Relationship Id="rId42" Type="http://schemas.openxmlformats.org/officeDocument/2006/relationships/hyperlink" Target="../../2207/DOCUMENTS/PIPELINE%20&amp;%20CABLE/PIPELAY%20ANALYSIS/WHT-5%20TO%20ULRP/2207-NN-RP-011%206inch/COMMENTS/Rev%20B/CLIENT" TargetMode="External"/><Relationship Id="rId84" Type="http://schemas.openxmlformats.org/officeDocument/2006/relationships/hyperlink" Target="../../2207/DOCUMENTS/PIPELINE%20&amp;%20CABLE/PIPELAY%20ANALYSIS/WHT-3%20TO%20ULRP/2207-NN-RP-008%208INCH/COMMENTS/Rev%20C/CLIENT" TargetMode="External"/><Relationship Id="rId138" Type="http://schemas.openxmlformats.org/officeDocument/2006/relationships/hyperlink" Target="../../2207/DOCUMENTS/PIPELINE%20&amp;%20CABLE/DAVIT%20LIFT%20ANALYSIS/WHT3-ULRP/2207-NN-RP-022%20(10%20inch)/COMMENTS/Rev%20B/CLIENT" TargetMode="External"/><Relationship Id="rId345" Type="http://schemas.openxmlformats.org/officeDocument/2006/relationships/hyperlink" Target="../DOCUMENTS/PIPELINE%20AND%20CABLE/PIPELAY%20ANALYSIS/WHT6-ULRP/2207-NN-RP-108%2010%20INCH/COMMENTS/Rev%200/CLIENT" TargetMode="External"/><Relationship Id="rId387" Type="http://schemas.openxmlformats.org/officeDocument/2006/relationships/hyperlink" Target="../DOCUMENTS/PIPELINE%20AND%20CABLE/DAVIT%20LIFT%20ANALYSIS/ULRP%20to%20WHT7/2207-NN-RP-116%2016%20inch/COMMENTS/Rev%20B/CLIENT" TargetMode="External"/><Relationship Id="rId510" Type="http://schemas.openxmlformats.org/officeDocument/2006/relationships/hyperlink" Target="../DOCUMENTS/PIPELINE%20AND%20CABLE/SEAFASTENING%20DESIGN%20REPORTS/2207-NN-RP-153%20CC%20PIPES%20ON%20AWALCO-1/COMMENTS/Rev%200/GMC" TargetMode="External"/><Relationship Id="rId552" Type="http://schemas.openxmlformats.org/officeDocument/2006/relationships/hyperlink" Target="../DOCUMENTS/PIPELINE%20AND%20CABLE/DAVIT%20LIFT%20ANALYSIS/WHT-6%20to%20ULRP/2207-NN-RP-115%2018%20inch/COMMENTS/Rev%201/CLIENT" TargetMode="External"/><Relationship Id="rId594" Type="http://schemas.openxmlformats.org/officeDocument/2006/relationships/hyperlink" Target="..\DOCUMENTS\PIPELINE%20AND%20CABLE\RISER%20LIFT%20ANALYSIS%20REPORTS\2207-NN-RP-144\REV-C" TargetMode="External"/><Relationship Id="rId608" Type="http://schemas.openxmlformats.org/officeDocument/2006/relationships/printerSettings" Target="../printerSettings/printerSettings1.bin"/><Relationship Id="rId191" Type="http://schemas.openxmlformats.org/officeDocument/2006/relationships/hyperlink" Target="../../2207/DOCUMENTS/PIPELINE%20&amp;%20CABLE/RISER%20LIFT%20ANALYSIS%20REPORTS/2207-NN-RP-052%20%206%20INCH%20WHT-5%20TO%20WHT-2%20(@WHT-5)/COMMENTS/Rev%20B/GMC" TargetMode="External"/><Relationship Id="rId205" Type="http://schemas.openxmlformats.org/officeDocument/2006/relationships/hyperlink" Target="../../2207/DOCUMENTS/PIPELINE%20&amp;%20CABLE/DAVIT%20LIFT%20ANALYSIS/WHT3-ULRP/2207-NN-RP-017%20(16%20inch)/COMMENTS/Rev%201/GMC" TargetMode="External"/><Relationship Id="rId247" Type="http://schemas.openxmlformats.org/officeDocument/2006/relationships/hyperlink" Target="../../2207/DOCUMENTS/PIPELINE%20&amp;%20CABLE/RISER%20LIFT%20ANALYSIS%20REPORTS/2207-NN-RP-053%206%20INCH%20WHT-5%20TO%20WHT-2%20(@WHT-2)/COMMENTS/Rev%20B/GMC" TargetMode="External"/><Relationship Id="rId412" Type="http://schemas.openxmlformats.org/officeDocument/2006/relationships/hyperlink" Target="..\DOCUMENTS\PIPELINE%20AND%20CABLE\RISER%20LIFT%20ANALYSIS%20REPORTS\2207-NN-RP-147\Rev%20B" TargetMode="External"/><Relationship Id="rId107" Type="http://schemas.openxmlformats.org/officeDocument/2006/relationships/hyperlink" Target="../../2207/DOCUMENTS/PIPELINE%20&amp;%20CABLE/DAVIT%20LIFT%20ANALYSIS/WHT5-ULRP/2207-NN-RP-024%206%20inch/REV%20B/REPORT" TargetMode="External"/><Relationship Id="rId289" Type="http://schemas.openxmlformats.org/officeDocument/2006/relationships/hyperlink" Target="../DOCUMENTS/PIPELINE%20AND%20CABLE/RISER%20LIFT%20ANALYSIS%20REPORTS/2207-NN-RP-130/Rev%20B" TargetMode="External"/><Relationship Id="rId454" Type="http://schemas.openxmlformats.org/officeDocument/2006/relationships/hyperlink" Target="..\DOCUMENTS\PIPELINE%20AND%20CABLE\DAVIT%20LIFT%20ANALYSIS\WHT7%20to%20WHT8\2207-NN-RP-119%206in\Rev%201\01%20Report" TargetMode="External"/><Relationship Id="rId496" Type="http://schemas.openxmlformats.org/officeDocument/2006/relationships/hyperlink" Target="../DOCUMENTS/PIPELINE%20AND%20CABLE/PIPELAY%20ANALYSIS/2207-NN-RP-114%20NEW%2020%20inch%20MOL/REPORT/Rev%200" TargetMode="External"/><Relationship Id="rId11" Type="http://schemas.openxmlformats.org/officeDocument/2006/relationships/hyperlink" Target="../../2207/DOCUMENTS/PIPELINE%20&amp;%20CABLE/SEAFASTENING%20DESIGN%20REPORTS/2207-NN-RP-054%20PIPES%20FOR%20AWALCO-1%20(TRIP-1)/COMMENTS/GMC/Rev%20B" TargetMode="External"/><Relationship Id="rId53" Type="http://schemas.openxmlformats.org/officeDocument/2006/relationships/hyperlink" Target="../../2207/DOCUMENTS/PIPELINE%20&amp;%20CABLE/PIPELAY%20ANALYSIS/WHT-5%20TO%20ULRP/2207-NN-RP-011%206inch/COMMENTS/Rev%200/CLIENT" TargetMode="External"/><Relationship Id="rId149" Type="http://schemas.openxmlformats.org/officeDocument/2006/relationships/hyperlink" Target="../../2207/DOCUMENTS/PIPELINE%20&amp;%20CABLE/DAVIT%20LIFT%20ANALYSIS/WHT3-ULRP/2207-NN-RP-022%20(10%20inch)/Rev%200/REPORT" TargetMode="External"/><Relationship Id="rId314" Type="http://schemas.openxmlformats.org/officeDocument/2006/relationships/hyperlink" Target="../DOCUMENTS/PIPELINE%20AND%20CABLE/SEAFASTENING%20DESIGN%20REPORTS/2207-NN-RP-153%20CC%20PIPES%20ON%20AWALCO-1/COMMENTS/Rev%20B/CLIENT" TargetMode="External"/><Relationship Id="rId356" Type="http://schemas.openxmlformats.org/officeDocument/2006/relationships/hyperlink" Target="../DOCUMENTS/PIPELINE%20AND%20CABLE/DAVIT%20LIFT%20ANALYSIS/WHT7%20to%20WHT8/2207-NN-RP-119%206in%20davit%20lift/Rev%200/01%20Report" TargetMode="External"/><Relationship Id="rId398" Type="http://schemas.openxmlformats.org/officeDocument/2006/relationships/hyperlink" Target="..\DOCUMENTS\PIPELINE%20AND%20CABLE\DAVIT%20LIFT%20ANALYSIS\WHT-6%20to%20WHT-4\2207-NN-RP-126%206%20inch\Rev%20B\01%20Report" TargetMode="External"/><Relationship Id="rId521" Type="http://schemas.openxmlformats.org/officeDocument/2006/relationships/hyperlink" Target="../DOCUMENTS/PIPELINE%20AND%20CABLE/LIFTING%20WITH%20AIRBAGS/2207-NN-RP-163/Rev%20B" TargetMode="External"/><Relationship Id="rId563" Type="http://schemas.openxmlformats.org/officeDocument/2006/relationships/hyperlink" Target="../DOCUMENTS/PIPELINE%20AND%20CABLE/DAVIT%20LIFT%20ANALYSIS/WHT-6%20to%20ULRP/2207-NN-RP-115%2018%20inch/COMMENTS/Rev%201/MWS" TargetMode="External"/><Relationship Id="rId95" Type="http://schemas.openxmlformats.org/officeDocument/2006/relationships/hyperlink" Target="../../2207/DOCUMENTS/PIPELINE%20&amp;%20CABLE/PIPELAY%20ANALYSIS/WHT-3%20TO%20ULRP/2207-NN-RP-009%2010INCH/COMMENTS/Rev%20C/CLIENT" TargetMode="External"/><Relationship Id="rId160" Type="http://schemas.openxmlformats.org/officeDocument/2006/relationships/hyperlink" Target="../../2207/DOCUMENTS/PIPELINE%20&amp;%20CABLE/DAVIT%20LIFT%20ANALYSIS/WHT2-WHT5/2207-NN-RP-027%206%20inch/Rev%200/REPORT" TargetMode="External"/><Relationship Id="rId216" Type="http://schemas.openxmlformats.org/officeDocument/2006/relationships/hyperlink" Target="../../2207/DOCUMENTS/PIPELINE%20&amp;%20CABLE/RISER%20LIFT%20ANALYSIS%20REPORTS/2207-NN-RP-028%2016%20INCH%20ULRP%20TO%20WHT-5%20(@ULRP)/COMMENTS/Rev%20B/GMC" TargetMode="External"/><Relationship Id="rId423" Type="http://schemas.openxmlformats.org/officeDocument/2006/relationships/hyperlink" Target="../DOCUMENTS/PIPELINE%20AND%20CABLE/RISER%20LIFT%20ANALYSIS%20REPORTS/2207-NN-RP-136/COMMENTS/Rev%20B/GMC" TargetMode="External"/><Relationship Id="rId258" Type="http://schemas.openxmlformats.org/officeDocument/2006/relationships/hyperlink" Target="../DOCUMENTS/PIPELINE%20AND%20CABLE/2207-NN-RP-100%20PIPE%20STACKING%20CAMPAIGN-2/REPORT/Rev%20B" TargetMode="External"/><Relationship Id="rId465" Type="http://schemas.openxmlformats.org/officeDocument/2006/relationships/hyperlink" Target="../DOCUMENTS/PIPELINE%20AND%20CABLE/PIPELAY%20ANALYSIS/2207-NN-RP-113%2020%20inch%20MOL/COMMENTS/Rev%201/CLIENT" TargetMode="External"/><Relationship Id="rId22" Type="http://schemas.openxmlformats.org/officeDocument/2006/relationships/hyperlink" Target="../../2207/DOCUMENTS/PIPELINE%20&amp;%20CABLE/PIPELAY%20ANALYSIS/WHT-3%20TO%20ULRP/2207-NN-RP-004%2016INCH/REPORT/Rev%20C" TargetMode="External"/><Relationship Id="rId64" Type="http://schemas.openxmlformats.org/officeDocument/2006/relationships/hyperlink" Target="../../2207/DOCUMENTS/PIPELINE%20&amp;%20CABLE/PIPELAY%20ANALYSIS/WHT-1%20TO%20WHT-3/2207-NN-RP-007%206INCH/COMMENTS/Rev%20B/GMC" TargetMode="External"/><Relationship Id="rId118" Type="http://schemas.openxmlformats.org/officeDocument/2006/relationships/hyperlink" Target="../../2207/DOCUMENTS/PIPELINE%20&amp;%20CABLE/RISER%20LIFT%20ANALYSIS%20REPORTS/2207-NN-RP-029%2016INCH%20ULRP%20TO%20WHT-5%20(@WHT-5)/Rev%20B" TargetMode="External"/><Relationship Id="rId325" Type="http://schemas.openxmlformats.org/officeDocument/2006/relationships/hyperlink" Target="..\DOCUMENTS\PIPELINE%20AND%20CABLE\SEAFASTENING%20DESIGN%20REPORTS\2207-NN-RP-154%20CC%20PIPES%20GOGAS-250\Rev%200" TargetMode="External"/><Relationship Id="rId367" Type="http://schemas.openxmlformats.org/officeDocument/2006/relationships/hyperlink" Target="../DOCUMENTS/PIPELINE%20AND%20CABLE/DAVIT%20LIFT%20ANALYSIS/WHT7%20to%20WHT8/2207-NN-RP-118%2010%20inch/COMMENTS/Rev%20B/CLIENT" TargetMode="External"/><Relationship Id="rId532" Type="http://schemas.openxmlformats.org/officeDocument/2006/relationships/hyperlink" Target="..\DOCUMENTS\PIPELINE%20AND%20CABLE\RISER%20LIFT%20ANALYSIS%20REPORTS\2207-NN-RP-140\COMMENTS\Rev%20B\CLIENT" TargetMode="External"/><Relationship Id="rId574" Type="http://schemas.openxmlformats.org/officeDocument/2006/relationships/hyperlink" Target="../DOCUMENTS/PIPELINE%20AND%20CABLE/DAVIT%20LIFT%20ANALYSIS/WHT-6%20to%20WHT-4/2207-NN-RP-125%2010%20inch/COMMENTS/Rev%202/CLIENT" TargetMode="External"/><Relationship Id="rId171" Type="http://schemas.openxmlformats.org/officeDocument/2006/relationships/hyperlink" Target="../../2207/DOCUMENTS/PIPELINE%20&amp;%20CABLE/RISER%20LIFT%20ANALYSIS%20REPORTS/2207-NN-RP-052%20%206%20INCH%20WHT-5%20TO%20WHT-2%20(@WHT-5)/COMMENTS/Rev%20B/CLIENT" TargetMode="External"/><Relationship Id="rId227" Type="http://schemas.openxmlformats.org/officeDocument/2006/relationships/hyperlink" Target="../../2207/DOCUMENTS/PIPELINE%20&amp;%20CABLE/RISER%20LIFT%20ANALYSIS%20REPORTS/2207-NN-RP-034%2016%20INCH%20WHT-1%20TO%20WHT-3%20(@WHT-1)/COMMENTS/Rev%20B/CLIENT" TargetMode="External"/><Relationship Id="rId269" Type="http://schemas.openxmlformats.org/officeDocument/2006/relationships/hyperlink" Target="../DOCUMENTS/PIPELINE%20AND%20CABLE/PIPELAY%20ANALYSIS/ULRP-WHT-7/2207-NN-RP-102%2016INCH/COMMENTS/Rev%20B/CLIENT" TargetMode="External"/><Relationship Id="rId434" Type="http://schemas.openxmlformats.org/officeDocument/2006/relationships/hyperlink" Target="../DOCUMENTS/PIPELINE%20AND%20CABLE/DAVIT%20LIFT%20ANALYSIS/WHT7%20to%20WHT8/2207-NN-RP-119%206in/COMMENTS/Rev%200/GMC" TargetMode="External"/><Relationship Id="rId476" Type="http://schemas.openxmlformats.org/officeDocument/2006/relationships/hyperlink" Target="../DOCUMENTS/PIPELINE%20AND%20CABLE/DAVIT%20LIFT%20ANALYSIS/WHT-6%20to%20ULRP/2207-NN-RP-115%2018%20inch/COMMENTS/Rev%200/CLIENT" TargetMode="External"/><Relationship Id="rId33" Type="http://schemas.openxmlformats.org/officeDocument/2006/relationships/hyperlink" Target="../../2207/DOCUMENTS/PIPELINE%20&amp;%20CABLE/PIPELAY%20ANALYSIS/WHT-3%20TO%20ULRP/2207-NN-RP-010%206INCH/COMMENTS/REV%20B/MWS" TargetMode="External"/><Relationship Id="rId129" Type="http://schemas.openxmlformats.org/officeDocument/2006/relationships/hyperlink" Target="../../2207/DOCUMENTS/PIPELINE%20&amp;%20CABLE/RISER%20LIFT%20ANALYSIS%20REPORTS/2207-NN-RP-052%20%206%20INCH%20WHT-5%20TO%20WHT-2%20(@WHT-5)/Rev%20B" TargetMode="External"/><Relationship Id="rId280" Type="http://schemas.openxmlformats.org/officeDocument/2006/relationships/hyperlink" Target="../DOCUMENTS/PIPELINE%20AND%20CABLE/RISER%20LIFT%20ANALYSIS%20REPORTS/2207-NN-RP-137/COMMENTS/Rev%20B/CLIENT" TargetMode="External"/><Relationship Id="rId336" Type="http://schemas.openxmlformats.org/officeDocument/2006/relationships/hyperlink" Target="../DOCUMENTS/PIPELINE%20AND%20CABLE/PIPELAY%20ANALYSIS/WHT7-WHT8/2207-NN-RP-103%2016INCH/COMMENTS/Rev%200/CLIENT" TargetMode="External"/><Relationship Id="rId501" Type="http://schemas.openxmlformats.org/officeDocument/2006/relationships/hyperlink" Target="../DOCUMENTS/PIPELINE%20AND%20CABLE/DAVIT%20LIFT%20ANALYSIS/WHT7%20to%20WHT8/2207-NN-RP-118%2010%20inch/COMMENTS/Rev%201/MWS" TargetMode="External"/><Relationship Id="rId543" Type="http://schemas.openxmlformats.org/officeDocument/2006/relationships/hyperlink" Target="../DOCUMENTS/PIPELINE%20AND%20CABLE/RISER%20LIFT%20ANALYSIS%20REPORTS/2207-NN-RP-148/REV-B/Report" TargetMode="External"/><Relationship Id="rId75" Type="http://schemas.openxmlformats.org/officeDocument/2006/relationships/hyperlink" Target="../../2207/DOCUMENTS/PIPELINE%20&amp;%20CABLE/PIPELAY%20ANALYSIS/WHT-1%20TO%20WHT-3/2207-NN-RP-006%2010INCH/COMMENTS/Rev%200/GMC" TargetMode="External"/><Relationship Id="rId140" Type="http://schemas.openxmlformats.org/officeDocument/2006/relationships/hyperlink" Target="../../2207/DOCUMENTS/PIPELINE%20&amp;%20CABLE/DAVIT%20LIFT%20ANALYSIS/WHT3-ULRP/2207-NN-RP-023%20(6%20inch)/COMMENTS/Rev%20B/CLIENT" TargetMode="External"/><Relationship Id="rId182" Type="http://schemas.openxmlformats.org/officeDocument/2006/relationships/hyperlink" Target="../../2207/DOCUMENTS/PIPELINE%20&amp;%20CABLE/RISER%20LIFT%20ANALYSIS%20REPORTS/2207-NN-RP-045%206%20INCH%20WHT-3%20TO%20ULRP%20(@ULRP)/COMMENTS/Rev%20B/CLIENT" TargetMode="External"/><Relationship Id="rId378" Type="http://schemas.openxmlformats.org/officeDocument/2006/relationships/hyperlink" Target="..\DOCUMENTS\PIPELINE%20AND%20CABLE\DAVIT%20LIFT%20ANALYSIS\WHT7%20to%20WHT8\2207-NN-RP-118%2010%20inch\COMMENTS\Rev%200\CLIENT" TargetMode="External"/><Relationship Id="rId403" Type="http://schemas.openxmlformats.org/officeDocument/2006/relationships/hyperlink" Target="../DOCUMENTS/PIPELINE%20AND%20CABLE/RISER%20LIFT%20ANALYSIS%20REPORTS/2207-NN-RP-135/Rev%20B" TargetMode="External"/><Relationship Id="rId585" Type="http://schemas.openxmlformats.org/officeDocument/2006/relationships/hyperlink" Target="..\DOCUMENTS\PIPELINE%20AND%20CABLE\LIFTING%20WITH%20AIRBAGS\2207-NN-RP-163\COMMENTS\Rev%201\CLIENT\TR-UFFDP1-13-07249-VER-00000.pdf" TargetMode="External"/><Relationship Id="rId6" Type="http://schemas.openxmlformats.org/officeDocument/2006/relationships/hyperlink" Target="../../2207/DOCUMENTS/PIPELINE%20&amp;%20CABLE/PIPELAY%20ANALYSIS/WHT-3%20TO%20ULRP/2207-NN-RP-004%2016INCH/REPORT/Rev%20B" TargetMode="External"/><Relationship Id="rId238" Type="http://schemas.openxmlformats.org/officeDocument/2006/relationships/hyperlink" Target="../../2207/DOCUMENTS/PIPELINE%20&amp;%20CABLE/RISER%20LIFT%20ANALYSIS%20REPORTS/2207-NN-RP-038%206%20INCH%20WHT-1%20TO%20WHT-3%20(@WHT-1)/COMMENTS/Rev%20B/CLIENT" TargetMode="External"/><Relationship Id="rId445" Type="http://schemas.openxmlformats.org/officeDocument/2006/relationships/hyperlink" Target="../DOCUMENTS/PIPELINE%20AND%20CABLE/DAVIT%20LIFT%20ANALYSIS/WHT-6%20to%20ULRP/2207-NN-RP-123%208%20inch/COMMENTS/Rev%20B/CLIENT" TargetMode="External"/><Relationship Id="rId487" Type="http://schemas.openxmlformats.org/officeDocument/2006/relationships/hyperlink" Target="../DOCUMENTS/PIPELINE%20AND%20CABLE/DAVIT%20LIFT%20ANALYSIS/20%20Inch%20MOL/2207-NN-RP-127/COMMENTS/Rev%200/GMC" TargetMode="External"/><Relationship Id="rId291" Type="http://schemas.openxmlformats.org/officeDocument/2006/relationships/hyperlink" Target="../DOCUMENTS/PIPELINE%20AND%20CABLE/PIPELAY%20ANALYSIS/WHT6-ULRP/2207-NN-RP-110%206INCH/REPORT/Rev%20B" TargetMode="External"/><Relationship Id="rId305" Type="http://schemas.openxmlformats.org/officeDocument/2006/relationships/hyperlink" Target="../DOCUMENTS/PIPELINE%20AND%20CABLE/PIPELAY%20ANALYSIS/WHT7-WHT8/2207-NN-RP-105%206INCH/REPORT/Rev%20B" TargetMode="External"/><Relationship Id="rId347" Type="http://schemas.openxmlformats.org/officeDocument/2006/relationships/hyperlink" Target="..\DOCUMENTS\PIPELINE%20AND%20CABLE\SEAFASTENING%20DESIGN%20REPORTS\2207-NN-RP-155%20CC%20PIPES%20GAC-82\Rev%20B" TargetMode="External"/><Relationship Id="rId512" Type="http://schemas.openxmlformats.org/officeDocument/2006/relationships/hyperlink" Target="../DOCUMENTS/PIPELINE%20AND%20CABLE/SEAFASTENING%20DESIGN%20REPORTS/2207-NN-RP-159%20CC%20PIPES%20GAC-66/COMMENTS/Rev%20B/GMC" TargetMode="External"/><Relationship Id="rId44" Type="http://schemas.openxmlformats.org/officeDocument/2006/relationships/hyperlink" Target="../../2207/DOCUMENTS/PIPELINE%20&amp;%20CABLE/PIPELAY%20ANALYSIS/WHT-2%20TO%20WHT-5/16INCH/REPORT" TargetMode="External"/><Relationship Id="rId86" Type="http://schemas.openxmlformats.org/officeDocument/2006/relationships/hyperlink" Target="../../2207/DOCUMENTS/PIPELINE%20&amp;%20CABLE/PIPELAY%20ANALYSIS/WHT-2%20TO%20WHT-5/2207-NN-RP-003%2016INCH/COMMENTS/Rev%200/CLIENT" TargetMode="External"/><Relationship Id="rId151" Type="http://schemas.openxmlformats.org/officeDocument/2006/relationships/hyperlink" Target="../../2207/DOCUMENTS/PIPELINE%20&amp;%20CABLE/RISER%20LIFT%20ANALYSIS%20REPORTS/2207-NN-RP-028%2016%20INCH%20ULRP%20TO%20WHT-5%20(@ULRP)/Rev%20B" TargetMode="External"/><Relationship Id="rId389" Type="http://schemas.openxmlformats.org/officeDocument/2006/relationships/hyperlink" Target="../DOCUMENTS/PIPELINE%20AND%20CABLE/DAVIT%20LIFT%20ANALYSIS/ULRP%20to%20WHT7/2207-NN-RP-121%2010%20inch/COMMENTS/Rev%20B/CLIENT" TargetMode="External"/><Relationship Id="rId554" Type="http://schemas.openxmlformats.org/officeDocument/2006/relationships/hyperlink" Target="../DOCUMENTS/PIPELINE%20AND%20CABLE/RISER%20LIFT%20ANALYSIS%20REPORTS/2207-NN-RP-144/COMMENTS/Rev%20B/GMC" TargetMode="External"/><Relationship Id="rId596" Type="http://schemas.openxmlformats.org/officeDocument/2006/relationships/hyperlink" Target="..\DOCUMENTS\PIPELINE%20AND%20CABLE\RISER%20LIFT%20ANALYSIS%20REPORTS\2207-NN-RP-146\COMMENTS\Rev%20C\CLIENT" TargetMode="External"/><Relationship Id="rId193" Type="http://schemas.openxmlformats.org/officeDocument/2006/relationships/hyperlink" Target="../../2207/DOCUMENTS/PIPELINE%20&amp;%20CABLE/RISER%20LIFT%20ANALYSIS%20REPORTS/2207-NN-RP-044%206INCH%20WHT-3%20TO%20ULRP%20(@WHT-3)/COMMENTS/Rev%200/GMC" TargetMode="External"/><Relationship Id="rId207" Type="http://schemas.openxmlformats.org/officeDocument/2006/relationships/hyperlink" Target="../../2207/DOCUMENTS/PIPELINE%20&amp;%20CABLE/DAVIT%20LIFT%20ANALYSIS/WHT3-ULRP/2207-NN-RP-022%20(10%20inch)/COMMENTS/Rev%200/GMC" TargetMode="External"/><Relationship Id="rId249" Type="http://schemas.openxmlformats.org/officeDocument/2006/relationships/hyperlink" Target="../../2207/DOCUMENTS/PIPELINE%20&amp;%20CABLE/RISER%20LIFT%20ANALYSIS%20REPORTS/2207-NN-RP-031%2016%20INCH%20WHT-5%20TO%20WHT-2(@WHT-2)/COMMENTS/Rev%20B/GMC" TargetMode="External"/><Relationship Id="rId414" Type="http://schemas.openxmlformats.org/officeDocument/2006/relationships/hyperlink" Target="..\DOCUMENTS\PIPELINE%20AND%20CABLE\SEAFASTENING%20DESIGN%20REPORTS\2207-NN-RP-160%20CC%20PIPES%20GAC-67\COMMENTS\Rev%20B\CLIENT" TargetMode="External"/><Relationship Id="rId456" Type="http://schemas.openxmlformats.org/officeDocument/2006/relationships/hyperlink" Target="../DOCUMENTS/PIPELINE%20AND%20CABLE/RISER%20LIFT%20ANALYSIS%20REPORTS/2207-NN-RP-142/COMMENTS/Rev%20B/GMC" TargetMode="External"/><Relationship Id="rId498" Type="http://schemas.openxmlformats.org/officeDocument/2006/relationships/hyperlink" Target="../DOCUMENTS/PIPELINE%20AND%20CABLE/DAVIT%20LIFT%20ANALYSIS/WHT-6%20to%20ULRP/2207-NN-RP-124%206%20inch/COMMENTS/Rev%200/GMC" TargetMode="External"/><Relationship Id="rId13" Type="http://schemas.openxmlformats.org/officeDocument/2006/relationships/hyperlink" Target="../../2207/DOCUMENTS/PIPELINE%20&amp;%20CABLE/SEAFASTENING%20DESIGN%20REPORTS/2207-NN-RP-055%20CC%20PIPES%20FOR%20GOGAS-252%20(TRIP-2)/Rev%20B" TargetMode="External"/><Relationship Id="rId109" Type="http://schemas.openxmlformats.org/officeDocument/2006/relationships/hyperlink" Target="../../2207/DOCUMENTS/PIPELINE%20&amp;%20CABLE/RISER%20LIFT%20ANALYSIS%20REPORTS/2207-NN-RP-042%2010%20INCH%20WHT-3%20TO%20ULRP%20(@WHT-3)/Rev%200" TargetMode="External"/><Relationship Id="rId260" Type="http://schemas.openxmlformats.org/officeDocument/2006/relationships/hyperlink" Target="..\DOCUMENTS\PIPELINE%20AND%20CABLE\PIPELAY%20ANALYSIS\WHT-4%20TO%20WHT-6\2207-NN-RP-111%2010INCH\COMMENTS\Rev%20B\GMC" TargetMode="External"/><Relationship Id="rId316" Type="http://schemas.openxmlformats.org/officeDocument/2006/relationships/hyperlink" Target="..\DOCUMENTS\PIPELINE%20AND%20CABLE\PIPELAY%20ANALYSIS\WHT7-WHT8\2207-NN-RP-103%2016INCH\COMMENTS\Rev%20B\GMC" TargetMode="External"/><Relationship Id="rId523" Type="http://schemas.openxmlformats.org/officeDocument/2006/relationships/hyperlink" Target="../DOCUMENTS/PIPELINE%20AND%20CABLE/2207-NN-RP-100%20PIPE%20STACKING%20CAMPAIGN-2/REPORT/COMMENTS/Rev%200/CLIENT" TargetMode="External"/><Relationship Id="rId55" Type="http://schemas.openxmlformats.org/officeDocument/2006/relationships/hyperlink" Target="../../2207/DOCUMENTS/PIPELINE%20&amp;%20CABLE/2207-NN-RP-001%20PIPE%20STACKING%201ST%20CAMPAIGN/COMMENTS/Rev%20C/GMC" TargetMode="External"/><Relationship Id="rId97" Type="http://schemas.openxmlformats.org/officeDocument/2006/relationships/hyperlink" Target="../../2207/DOCUMENTS/PIPELINE%20&amp;%20CABLE/RISER%20LIFT%20ANALYSIS%20REPORTS/2207-NN-RP-040%208%20INCH%20WHT-3%20TO%20ULRP%20(@WHT-3)/COMMENTS/Rev%20B/CLIENT" TargetMode="External"/><Relationship Id="rId120" Type="http://schemas.openxmlformats.org/officeDocument/2006/relationships/hyperlink" Target="../../2207/DOCUMENTS/PIPELINE%20&amp;%20CABLE/RISER%20LIFT%20ANALYSIS%20REPORTS/2207-NN-RP-044%206INCH%20WHT-3%20TO%20ULRP%20(@WHT-3)/COMMENTS/Rev%20B/GMC" TargetMode="External"/><Relationship Id="rId358" Type="http://schemas.openxmlformats.org/officeDocument/2006/relationships/hyperlink" Target="../DOCUMENTS/PIPELINE%20AND%20CABLE/DAVIT%20LIFT%20ANALYSIS/WHT7%20to%20WHT8/2207-NN-RP-117%2016%20inch/Rev%200/01%20Report" TargetMode="External"/><Relationship Id="rId565" Type="http://schemas.openxmlformats.org/officeDocument/2006/relationships/hyperlink" Target="../DOCUMENTS/PIPELINE%20AND%20CABLE/DAVIT%20LIFT%20ANALYSIS/WHT-6%20to%20ULRP/2207-NN-RP-122%2010%20inch/COMMENTS/Rev%201/CLIENT" TargetMode="External"/><Relationship Id="rId162" Type="http://schemas.openxmlformats.org/officeDocument/2006/relationships/hyperlink" Target="../../2207/DOCUMENTS/PIPELINE%20&amp;%20CABLE/DAVIT%20LIFT%20ANALYSIS/WHT5-ULRP/2207-NN-RP-025%2010%20inch/Rev%200/REPORT" TargetMode="External"/><Relationship Id="rId218" Type="http://schemas.openxmlformats.org/officeDocument/2006/relationships/hyperlink" Target="../../2207/DOCUMENTS/PIPELINE%20&amp;%20CABLE/RISER%20LIFT%20ANALYSIS%20REPORTS/2207-NN-RP-046%206%20INCH%20ULRP%20TO%20WHT-5%20(@ULRP)/Rev%20B" TargetMode="External"/><Relationship Id="rId425" Type="http://schemas.openxmlformats.org/officeDocument/2006/relationships/hyperlink" Target="../DOCUMENTS/PIPELINE%20AND%20CABLE/RISER%20LIFT%20ANALYSIS%20REPORTS/2207-NN-RP-138/COMMENTS/Rev%20B/GMC" TargetMode="External"/><Relationship Id="rId467" Type="http://schemas.openxmlformats.org/officeDocument/2006/relationships/hyperlink" Target="..\DOCUMENTS\PIPELINE%20AND%20CABLE\DAVIT%20LIFT%20ANALYSIS\WHT7%20to%20WHT8\2207-NN-RP-118%2010%20inch\COMMENTS\Rev%201\CLIENT" TargetMode="External"/><Relationship Id="rId271" Type="http://schemas.openxmlformats.org/officeDocument/2006/relationships/hyperlink" Target="../DOCUMENTS/PIPELINE%20AND%20CABLE/RISER%20LIFT%20ANALYSIS%20REPORTS/2207-NN-RP-133/COMMENTS/REV%20B/CLIENT" TargetMode="External"/><Relationship Id="rId24" Type="http://schemas.openxmlformats.org/officeDocument/2006/relationships/hyperlink" Target="../../2207/DOCUMENTS/PIPELINE%20&amp;%20CABLE/PIPELAY%20ANALYSIS/WHT-3%20TO%20ULRP/2207-NN-RP-010%206INCH/REPORT/Rev%20B" TargetMode="External"/><Relationship Id="rId66" Type="http://schemas.openxmlformats.org/officeDocument/2006/relationships/hyperlink" Target="../../2207/DOCUMENTS/PIPELINE%20&amp;%20CABLE/PIPELAY%20ANALYSIS/WHT-1%20TO%20WHT-3/2207-NN-RP-007%206INCH/COMMENTS/Rev%20B/CLIENT" TargetMode="External"/><Relationship Id="rId131" Type="http://schemas.openxmlformats.org/officeDocument/2006/relationships/hyperlink" Target="../../2207/DOCUMENTS/PIPELINE%20&amp;%20CABLE/RISER%20LIFT%20ANALYSIS%20REPORTS/2207-NN-RP-049%2010INCH%20ULRP%20TO%20WHT-5%20(@WHT-5)/COMMENTS/Rev%20B/GMC" TargetMode="External"/><Relationship Id="rId327" Type="http://schemas.openxmlformats.org/officeDocument/2006/relationships/hyperlink" Target="../DOCUMENTS/PIPELINE%20AND%20CABLE/PIPELAY%20ANALYSIS/WHT7-WHT8/2207-NN-RP-103%2016INCH/REPORT/Rev%200" TargetMode="External"/><Relationship Id="rId369" Type="http://schemas.openxmlformats.org/officeDocument/2006/relationships/hyperlink" Target="../DOCUMENTS/PIPELINE%20AND%20CABLE/RISER%20LIFT%20ANALYSIS%20REPORTS/2207-NN-RP-134/COMMENTS/Rev%20C/CLIENT" TargetMode="External"/><Relationship Id="rId534" Type="http://schemas.openxmlformats.org/officeDocument/2006/relationships/hyperlink" Target="../DOCUMENTS/PIPELINE%20AND%20CABLE/PIPELAY%20ANALYSIS/2207-NN-RP-114%20NEW%2020%20inch%20MOL/REPORT/COMMENTS/Rev%200/CLIENT" TargetMode="External"/><Relationship Id="rId576" Type="http://schemas.openxmlformats.org/officeDocument/2006/relationships/hyperlink" Target="..\DOCUMENTS\PIPELINE%20AND%20CABLE\RISER%20LIFT%20ANALYSIS%20REPORTS\2207-NN-RP-143\COMMENTS\Rev%20C\CLIENT" TargetMode="External"/><Relationship Id="rId173" Type="http://schemas.openxmlformats.org/officeDocument/2006/relationships/hyperlink" Target="../../2207/DOCUMENTS/PIPELINE%20&amp;%20CABLE/DAVIT%20LIFT%20ANALYSIS/WHT3-ULRP/2207-NN-RP-017%20(16%20inch)/COMMENTS/Rev%201/CLIENT" TargetMode="External"/><Relationship Id="rId229" Type="http://schemas.openxmlformats.org/officeDocument/2006/relationships/hyperlink" Target="../../2207/DOCUMENTS/PIPELINE%20&amp;%20CABLE/RISER%20LIFT%20ANALYSIS%20REPORTS/2207-NN-RP-048%2010%20INCH%20ULRP%20TO%20WHT-5(@ULRP)/COMMENTS/Rev%20B/CLIENT" TargetMode="External"/><Relationship Id="rId380" Type="http://schemas.openxmlformats.org/officeDocument/2006/relationships/hyperlink" Target="../DOCUMENTS/PIPELINE%20AND%20CABLE/RISER%20LIFT%20ANALYSIS%20REPORTS/2207-NN-RP-132/COMMENTS/Rev%20C/CLIENT" TargetMode="External"/><Relationship Id="rId436" Type="http://schemas.openxmlformats.org/officeDocument/2006/relationships/hyperlink" Target="..\DOCUMENTS\PIPELINE%20AND%20CABLE\DAVIT%20LIFT%20ANALYSIS\WHT-6%20to%20WHT-4\2207-NN-RP-126%206%20inch\COMMENTS\Rev%20B\GMC" TargetMode="External"/><Relationship Id="rId601" Type="http://schemas.openxmlformats.org/officeDocument/2006/relationships/hyperlink" Target="..\DOCUMENTS\PIPELINE%20AND%20CABLE\RISER%20LIFT%20ANALYSIS%20REPORTS\2207-NN-RP-151\COMMENTS\Rev%20C\CLIENT" TargetMode="External"/><Relationship Id="rId240" Type="http://schemas.openxmlformats.org/officeDocument/2006/relationships/hyperlink" Target="../../2207/DOCUMENTS/PIPELINE%20&amp;%20CABLE/DAVIT%20LIFT%20ANALYSIS/WHT1-WHT3/2207-NN-RP-019%2010%20inch/COMMENTS/Rev%200/CLIENT" TargetMode="External"/><Relationship Id="rId478" Type="http://schemas.openxmlformats.org/officeDocument/2006/relationships/hyperlink" Target="../DOCUMENTS/PIPELINE%20AND%20CABLE/DAVIT%20LIFT%20ANALYSIS/WHT-6%20to%20ULRP/2207-NN-RP-123%208%20inch/COMMENTS/Rev%200/CLIENT" TargetMode="External"/><Relationship Id="rId35" Type="http://schemas.openxmlformats.org/officeDocument/2006/relationships/hyperlink" Target="../../2207/DOCUMENTS/PIPELINE%20&amp;%20CABLE/PIPELAY%20ANALYSIS/WHT-5%20TO%20ULRP/2207-NN-RP-012%2010inch/COMMENTS/Rev%20B/CLIENT" TargetMode="External"/><Relationship Id="rId77" Type="http://schemas.openxmlformats.org/officeDocument/2006/relationships/hyperlink" Target="../../2207/DOCUMENTS/PIPELINE%20&amp;%20CABLE/RISER%20LIFT%20ANALYSIS%20REPORTS/2207-NN-RP-042%2010%20INCH%20WHT-3%20TO%20ULRP%20(@WHT-3)/Rev%20B" TargetMode="External"/><Relationship Id="rId100" Type="http://schemas.openxmlformats.org/officeDocument/2006/relationships/hyperlink" Target="../../2207/DOCUMENTS/PIPELINE%20&amp;%20CABLE/DAVIT%20LIFT%20ANALYSIS/WHT3-ULRP/2207-NN-RP-022%20(10%20inch)/Rev%20B/REPORT" TargetMode="External"/><Relationship Id="rId282" Type="http://schemas.openxmlformats.org/officeDocument/2006/relationships/hyperlink" Target="../DOCUMENTS/PIPELINE%20AND%20CABLE/PIPELAY%20ANALYSIS/ULRP-WHT-7/2207-NN-RP-102%2016INCH/Rev%200/REPORT" TargetMode="External"/><Relationship Id="rId338" Type="http://schemas.openxmlformats.org/officeDocument/2006/relationships/hyperlink" Target="../DOCUMENTS/PIPELINE%20AND%20CABLE/PIPELAY%20ANALYSIS/WHT6-ULRP/2207-NN-RP-110%206INCH/REPORT/Rev%200" TargetMode="External"/><Relationship Id="rId503" Type="http://schemas.openxmlformats.org/officeDocument/2006/relationships/hyperlink" Target="../DOCUMENTS/PIPELINE%20AND%20CABLE/DAVIT%20LIFT%20ANALYSIS/WHT-6%20to%20ULRP/2207-NN-RP-122%2010%20inch/COMMENTS/Rev%200/GMC" TargetMode="External"/><Relationship Id="rId545" Type="http://schemas.openxmlformats.org/officeDocument/2006/relationships/hyperlink" Target="../DOCUMENTS/PIPELINE%20AND%20CABLE/DAVIT%20LIFT%20ANALYSIS/WHT-6%20to%20ULRP/2207-NN-RP-123%208%20inch/Rev%201/Report" TargetMode="External"/><Relationship Id="rId587" Type="http://schemas.openxmlformats.org/officeDocument/2006/relationships/hyperlink" Target="..\DOCUMENTS\PIPELINE%20AND%20CABLE\CABLE%20REPAIR\REV-0" TargetMode="External"/><Relationship Id="rId8" Type="http://schemas.openxmlformats.org/officeDocument/2006/relationships/hyperlink" Target="../../2207/DOCUMENTS/PIPELINE%20&amp;%20CABLE/PIPELAY%20ANALYSIS/WHT-1%20TO%20WHT-3/2207-NN-RP-005%2016INCH/COMMENTS/Rev%20B/CLIENT" TargetMode="External"/><Relationship Id="rId142" Type="http://schemas.openxmlformats.org/officeDocument/2006/relationships/hyperlink" Target="../../2207/DOCUMENTS/PIPELINE%20&amp;%20CABLE/SEAFASTENING%20DESIGN%20REPORTS/2207-NN-RP-056%20CC%20PIPES%20FOR%20CB-7%20(TRIP-6)/COMMENTS/Rev%20B/CLIENT" TargetMode="External"/><Relationship Id="rId184" Type="http://schemas.openxmlformats.org/officeDocument/2006/relationships/hyperlink" Target="../../2207/DOCUMENTS/PIPELINE%20&amp;%20CABLE/DAVIT%20LIFT%20ANALYSIS/WHT2-WHT5/2207-NN-RP-027%206%20inch/COMMENTS/Rev%200/CLIENT" TargetMode="External"/><Relationship Id="rId391" Type="http://schemas.openxmlformats.org/officeDocument/2006/relationships/hyperlink" Target="../DOCUMENTS/PIPELINE%20AND%20CABLE/DAVIT%20LIFT%20ANALYSIS/ULRP%20to%20WHT7/2207-NN-RP-120%206%20inch/Rev%200/01%20Report" TargetMode="External"/><Relationship Id="rId405" Type="http://schemas.openxmlformats.org/officeDocument/2006/relationships/hyperlink" Target="..\DOCUMENTS\PIPELINE%20AND%20CABLE\PIPELAY%20ANALYSIS\2207-NN-RP-113%2020%20inch%20MOL\Rev%201\REPORT" TargetMode="External"/><Relationship Id="rId447" Type="http://schemas.openxmlformats.org/officeDocument/2006/relationships/hyperlink" Target="..\DOCUMENTS\PIPELINE%20AND%20CABLE\DAVIT%20LIFT%20ANALYSIS\WHT-6%20to%20ULRP\2207-NN-RP-115%2018%20inch\Rev%200\01%20Report" TargetMode="External"/><Relationship Id="rId251" Type="http://schemas.openxmlformats.org/officeDocument/2006/relationships/hyperlink" Target="../../2207/DOCUMENTS/PIPELINE%20&amp;%20CABLE/SEAFASTENING%20DESIGN%20REPORTS/2207-NN-RP-061%20CABLE%20BASKET%20ON%20CB-7/Rev%20B" TargetMode="External"/><Relationship Id="rId489" Type="http://schemas.openxmlformats.org/officeDocument/2006/relationships/hyperlink" Target="../DOCUMENTS/PIPELINE%20AND%20CABLE/RISER%20LIFT%20ANALYSIS%20REPORTS/2207-NN-RP-150/COMMENTS/Rev%20B/GMC" TargetMode="External"/><Relationship Id="rId46" Type="http://schemas.openxmlformats.org/officeDocument/2006/relationships/hyperlink" Target="../../2207/DOCUMENTS/PIPELINE%20&amp;%20CABLE/PIPELAY%20ANALYSIS/WHT-5%20TO%20ULRP/2207-NN-RP-011%206inch/REPORT/Rev%200" TargetMode="External"/><Relationship Id="rId293" Type="http://schemas.openxmlformats.org/officeDocument/2006/relationships/hyperlink" Target="../DOCUMENTS/PIPELINE%20AND%20CABLE/PIPELAY%20ANALYSIS/ULRP-WHT-7/2207-NN-RP-106%206INCH/REPORT/Rev%20B" TargetMode="External"/><Relationship Id="rId307" Type="http://schemas.openxmlformats.org/officeDocument/2006/relationships/hyperlink" Target="../DOCUMENTS/PIPELINE%20AND%20CABLE/PIPELAY%20ANALYSIS/ULRP-WHT-7/2207-NN-RP-107%2010INCH/COMMENTS/Rev%20B/CLIENT" TargetMode="External"/><Relationship Id="rId349" Type="http://schemas.openxmlformats.org/officeDocument/2006/relationships/hyperlink" Target="../DOCUMENTS/PIPELINE%20AND%20CABLE/DAVIT%20LIFT%20ANALYSIS/WHT7%20to%20WHT8/2207-NN-RP-117%2016%20inch/01%20Report" TargetMode="External"/><Relationship Id="rId514" Type="http://schemas.openxmlformats.org/officeDocument/2006/relationships/hyperlink" Target="../DOCUMENTS/PIPELINE%20AND%20CABLE/PIPELAY%20ANALYSIS/WHT6-ULRP/2207-NN-RP-110%206INCH/COMMENTS/Rev%200/GMC" TargetMode="External"/><Relationship Id="rId556" Type="http://schemas.openxmlformats.org/officeDocument/2006/relationships/hyperlink" Target="../DOCUMENTS/PIPELINE%20AND%20CABLE/RISER%20LIFT%20ANALYSIS%20REPORTS/2207-NN-RP-146/COMMENTS/Rev%20B/GMC" TargetMode="External"/><Relationship Id="rId88" Type="http://schemas.openxmlformats.org/officeDocument/2006/relationships/hyperlink" Target="../../2207/DOCUMENTS/PIPELINE%20&amp;%20CABLE/PIPELAY%20ANALYSIS/WHT-1%20TO%20WHT-3/2207-NN-RP-005%2016INCH/COMMENTS/Rev%200/GMC" TargetMode="External"/><Relationship Id="rId111" Type="http://schemas.openxmlformats.org/officeDocument/2006/relationships/hyperlink" Target="../../2207/DOCUMENTS/PIPELINE%20&amp;%20CABLE/SEAFASTENING%20DESIGN%20REPORTS/2207-NN-RP-056%20CC%20PIPES%20FOR%20CB-7%20(TRIP-6)/Rev%20B" TargetMode="External"/><Relationship Id="rId153" Type="http://schemas.openxmlformats.org/officeDocument/2006/relationships/hyperlink" Target="../../2207/DOCUMENTS/PIPELINE%20&amp;%20CABLE/RISER%20LIFT%20ANALYSIS%20REPORTS/2207-NN-RP-044%206INCH%20WHT-3%20TO%20ULRP%20(@WHT-3)/Rev%200" TargetMode="External"/><Relationship Id="rId195" Type="http://schemas.openxmlformats.org/officeDocument/2006/relationships/hyperlink" Target="../../2207/DOCUMENTS/PIPELINE%20&amp;%20CABLE/RISER%20LIFT%20ANALYSIS%20REPORTS/2207-NN-RP-030%2016%20INCH%20WHT-5%20TO%20WHT-2(@WHT-5/COMMENTS/Rev%20B/GMC" TargetMode="External"/><Relationship Id="rId209" Type="http://schemas.openxmlformats.org/officeDocument/2006/relationships/hyperlink" Target="../../2207/DOCUMENTS/PIPELINE%20&amp;%20CABLE/DAVIT%20LIFT%20ANALYSIS/WHT2-WHT5/2207-NN-RP-016%2016%20inch/COMMENTS/Rev%200/GMC" TargetMode="External"/><Relationship Id="rId360" Type="http://schemas.openxmlformats.org/officeDocument/2006/relationships/hyperlink" Target="../DOCUMENTS/PIPELINE%20AND%20CABLE/DAVIT%20LIFT%20ANALYSIS/WHT7%20to%20WHT8/2207-NN-RP-117%2016%20inch/COMMENTS/Rev%20B/GMC" TargetMode="External"/><Relationship Id="rId416" Type="http://schemas.openxmlformats.org/officeDocument/2006/relationships/hyperlink" Target="../DOCUMENTS/PIPELINE%20AND%20CABLE/RISER%20LIFT%20ANALYSIS%20REPORTS/2207-NN-RP-129/COMMENTS/Rev%20B/GMC" TargetMode="External"/><Relationship Id="rId598" Type="http://schemas.openxmlformats.org/officeDocument/2006/relationships/hyperlink" Target="..\DOCUMENTS\PIPELINE%20AND%20CABLE\RISER%20LIFT%20ANALYSIS%20REPORTS\2207-NN-RP-128\COMMENTS\Rev%20C\CLIENT" TargetMode="External"/><Relationship Id="rId220" Type="http://schemas.openxmlformats.org/officeDocument/2006/relationships/hyperlink" Target="../../2207/DOCUMENTS/PIPELINE%20&amp;%20CABLE/RISER%20LIFT%20ANALYSIS%20REPORTS/2207-NN-RP-034%2016%20INCH%20WHT-1%20TO%20WHT-3%20(@WHT-1)/Rev%20B" TargetMode="External"/><Relationship Id="rId458" Type="http://schemas.openxmlformats.org/officeDocument/2006/relationships/hyperlink" Target="../DOCUMENTS/PIPELINE%20AND%20CABLE/RISER%20LIFT%20ANALYSIS%20REPORTS/2207-NN-RP-147/COMMENTS/Rev%20B/GMC" TargetMode="External"/><Relationship Id="rId15" Type="http://schemas.openxmlformats.org/officeDocument/2006/relationships/hyperlink" Target="../../2207/DOCUMENTS/PIPELINE%20&amp;%20CABLE/PIPELAY%20ANALYSIS/WHT-1%20TO%20WHT-3/2207-NN-RP-005%2016INCH/COMMENTS/Rev%20B/GMC" TargetMode="External"/><Relationship Id="rId57" Type="http://schemas.openxmlformats.org/officeDocument/2006/relationships/hyperlink" Target="../../2207/DOCUMENTS/PIPELINE%20&amp;%20CABLE/PIPELAY%20ANALYSIS/WHT-2%20TO%20WHT-5/2207-NN-RP-014%206%20INCH/COMMENTS/Rev%20B/GMC" TargetMode="External"/><Relationship Id="rId262" Type="http://schemas.openxmlformats.org/officeDocument/2006/relationships/hyperlink" Target="..\DOCUMENTS\PIPELINE%20AND%20CABLE\2207-NN-RP-100%20PIPE%20STACKING%20CAMPAIGN-2\REPORT\COMMENTS\Rev%20B\CLIENT" TargetMode="External"/><Relationship Id="rId318" Type="http://schemas.openxmlformats.org/officeDocument/2006/relationships/hyperlink" Target="../DOCUMENTS/PIPELINE%20AND%20CABLE/PIPELAY%20ANALYSIS/ULRP-WHT-7/2207-NN-RP-107%2010INCH/COMMENTS/Rev%20B/GMC" TargetMode="External"/><Relationship Id="rId525" Type="http://schemas.openxmlformats.org/officeDocument/2006/relationships/hyperlink" Target="../DOCUMENTS/PIPELINE%20AND%20CABLE/LIFTING%20WITH%20AIRBAGS/2207-NN-RP-163/COMMENTS/Rev%20B/GMC" TargetMode="External"/><Relationship Id="rId567" Type="http://schemas.openxmlformats.org/officeDocument/2006/relationships/hyperlink" Target="../DOCUMENTS/PIPELINE%20AND%20CABLE/DAVIT%20LIFT%20ANALYSIS/WHT-6%20to%20WHT-4/2207-NN-RP-126%206%20inch/COMMENTS/Rev%200/CLIENT" TargetMode="External"/><Relationship Id="rId99" Type="http://schemas.openxmlformats.org/officeDocument/2006/relationships/hyperlink" Target="../../2207/DOCUMENTS/PIPELINE%20&amp;%20CABLE/PIPELAY%20ANALYSIS/WHT-1%20TO%20WHT-3/2207-NN-RP-005%2016INCH/COMMENTS/Rev%201/CLIENT" TargetMode="External"/><Relationship Id="rId122" Type="http://schemas.openxmlformats.org/officeDocument/2006/relationships/hyperlink" Target="../../2207/DOCUMENTS/PIPELINE%20&amp;%20CABLE/RISER%20LIFT%20ANALYSIS%20REPORTS/2207-NN-RP-047%206%20INCH%20ULRP%20TO%20WHT-5%20(@WHT-5)/Rev%20B" TargetMode="External"/><Relationship Id="rId164" Type="http://schemas.openxmlformats.org/officeDocument/2006/relationships/hyperlink" Target="../../2207/DOCUMENTS/PIPELINE%20&amp;%20CABLE/RISER%20LIFT%20ANALYSIS%20REPORTS/2207-NN-RP-049%2010INCH%20ULRP%20TO%20WHT-5%20(@WHT-5)/COMMENTS/Rev%20B/CLIENT" TargetMode="External"/><Relationship Id="rId371" Type="http://schemas.openxmlformats.org/officeDocument/2006/relationships/hyperlink" Target="../DOCUMENTS/PIPELINE%20AND%20CABLE/DAVIT%20LIFT%20ANALYSIS/ULRP%20to%20WHT7/2207-NN-RP-116%2016%20inch/Rev%20B/01%20Report" TargetMode="External"/><Relationship Id="rId427" Type="http://schemas.openxmlformats.org/officeDocument/2006/relationships/hyperlink" Target="../DOCUMENTS/PIPELINE%20AND%20CABLE/RISER%20LIFT%20ANALYSIS%20REPORTS/2207-NN-RP-140/COMMENTS/Rev%20B/GMC" TargetMode="External"/><Relationship Id="rId469" Type="http://schemas.openxmlformats.org/officeDocument/2006/relationships/hyperlink" Target="../DOCUMENTS/PIPELINE%20AND%20CABLE/DAVIT%20LIFT%20ANALYSIS/20%20Inch%20MOL/2207-NN-RP-127/REV%200/Report" TargetMode="External"/><Relationship Id="rId26" Type="http://schemas.openxmlformats.org/officeDocument/2006/relationships/hyperlink" Target="../../2207/DOCUMENTS/PIPELINE%20&amp;%20CABLE/PIPELAY%20ANALYSIS/WHT-3%20TO%20ULRP/2207-NN-RP-004%2016INCH/COMMENTS/Rev%20C/CLIENT" TargetMode="External"/><Relationship Id="rId231" Type="http://schemas.openxmlformats.org/officeDocument/2006/relationships/hyperlink" Target="../../2207/DOCUMENTS/PIPELINE%20&amp;%20CABLE/RISER%20LIFT%20ANALYSIS%20REPORTS/2207-NN-RP-037%2010INCH%20WHT-1%20TO%20WHT-3%20(@WHT-3)/COMMENTS/Rev%20B/CLIENT" TargetMode="External"/><Relationship Id="rId273" Type="http://schemas.openxmlformats.org/officeDocument/2006/relationships/hyperlink" Target="../DOCUMENTS/PIPELINE%20AND%20CABLE/PIPELAY%20ANALYSIS/WHT-4%20TO%20WHT-6/2207-NN-RP-111%2010INCH/REPORT/Rev%200" TargetMode="External"/><Relationship Id="rId329" Type="http://schemas.openxmlformats.org/officeDocument/2006/relationships/hyperlink" Target="..\DOCUMENTS\PIPELINE%20AND%20CABLE\PIPELAY%20ANALYSIS\WHT7-WHT8\2207-NN-RP-104%2010%20INCH\COMMENTS\Rev%20B\GMC" TargetMode="External"/><Relationship Id="rId480" Type="http://schemas.openxmlformats.org/officeDocument/2006/relationships/hyperlink" Target="../DOCUMENTS/PIPELINE%20AND%20CABLE/RISER%20LIFT%20ANALYSIS%20REPORTS/2207-NN-RP-152/COMMENTS/Rev%20B/CLIENT" TargetMode="External"/><Relationship Id="rId536" Type="http://schemas.openxmlformats.org/officeDocument/2006/relationships/hyperlink" Target="../DOCUMENTS/PIPELINE%20AND%20CABLE/LIFTING%20WITH%20AIRBAGS/2207-NN-RP-163/COMMENTS/Rev%200/GMC" TargetMode="External"/><Relationship Id="rId68" Type="http://schemas.openxmlformats.org/officeDocument/2006/relationships/hyperlink" Target="../../2207/DOCUMENTS/PIPELINE%20&amp;%20CABLE/PIPELAY%20ANALYSIS/WHT-1%20TO%20WHT-3/2207-NN-RP-006%2010INCH/REPORT/Rev%200" TargetMode="External"/><Relationship Id="rId133" Type="http://schemas.openxmlformats.org/officeDocument/2006/relationships/hyperlink" Target="../../2207/DOCUMENTS/PIPELINE%20&amp;%20CABLE/RISER%20LIFT%20ANALYSIS%20REPORTS/2207-NN-RP-035%2016INCH%20WHT-1%20TO%20WHT-3%20(@WHT-3)/COMMENTS/Rev%20B/GMC" TargetMode="External"/><Relationship Id="rId175" Type="http://schemas.openxmlformats.org/officeDocument/2006/relationships/hyperlink" Target="../../2207/DOCUMENTS/PIPELINE%20&amp;%20CABLE/DAVIT%20LIFT%20ANALYSIS/WHT3-ULRP/2207-NN-RP-022%20(10%20inch)/COMMENTS/Rev%200/CLIENT" TargetMode="External"/><Relationship Id="rId340" Type="http://schemas.openxmlformats.org/officeDocument/2006/relationships/hyperlink" Target="../DOCUMENTS/PIPELINE%20AND%20CABLE/SEAFASTENING%20DESIGN%20REPORTS/2207-NN-RP-154%20CC%20PIPES%20GOGAS-250/COMMENTS/Rev%200/CLIENT" TargetMode="External"/><Relationship Id="rId578" Type="http://schemas.openxmlformats.org/officeDocument/2006/relationships/hyperlink" Target="../DOCUMENTS/PIPELINE%20AND%20CABLE/RISER%20LIFT%20ANALYSIS%20REPORTS/2207-NN-RP-146/COMMENTS/Rev%20B/CLIENT" TargetMode="External"/><Relationship Id="rId200" Type="http://schemas.openxmlformats.org/officeDocument/2006/relationships/hyperlink" Target="../../2207/DOCUMENTS/PIPELINE%20&amp;%20CABLE/DAVIT%20LIFT%20ANALYSIS/WHT1-WHT3/2207-NN-RP-019%2010%20inch/COMMENTS/Rev%20B/GMC" TargetMode="External"/><Relationship Id="rId382" Type="http://schemas.openxmlformats.org/officeDocument/2006/relationships/hyperlink" Target="../DOCUMENTS/PIPELINE%20AND%20CABLE/RISER%20LIFT%20ANALYSIS%20REPORTS/2207-NN-RP-136/Rev%20B" TargetMode="External"/><Relationship Id="rId438" Type="http://schemas.openxmlformats.org/officeDocument/2006/relationships/hyperlink" Target="../DOCUMENTS/PIPELINE%20AND%20CABLE/DAVIT%20LIFT%20ANALYSIS/WHT-6%20to%20ULRP/2207-NN-RP-124%206%20inch/COMMENTS/Rev%20B/GMC" TargetMode="External"/><Relationship Id="rId603" Type="http://schemas.openxmlformats.org/officeDocument/2006/relationships/hyperlink" Target="..\DOCUMENTS\PIPELINE%20AND%20CABLE\DAVIT%20LIFT%20ANALYSIS\All%20WHT-6%20risers\Rev%200\Report" TargetMode="External"/><Relationship Id="rId242" Type="http://schemas.openxmlformats.org/officeDocument/2006/relationships/hyperlink" Target="../../2207/DOCUMENTS/PIPELINE%20&amp;%20CABLE/DAVIT%20LIFT%20ANALYSIS/WHT1-WHT3/2207-NN-RP-018%2016%20inch/COMMENTS/Rev%200/GMC" TargetMode="External"/><Relationship Id="rId284" Type="http://schemas.openxmlformats.org/officeDocument/2006/relationships/hyperlink" Target="../DOCUMENTS/PIPELINE%20AND%20CABLE/PIPELAY%20ANALYSIS/WHT-4%20TO%20WHT-6/2207-NN-RP-112%206INCH/COMMENTS/Rev%20B/CLIENT" TargetMode="External"/><Relationship Id="rId491" Type="http://schemas.openxmlformats.org/officeDocument/2006/relationships/hyperlink" Target="../DOCUMENTS/PIPELINE%20AND%20CABLE/RISER%20LIFT%20ANALYSIS%20REPORTS/2207-NN-RP-158-%20cancelled/COMMENTS/Rev%20B/CLIENT" TargetMode="External"/><Relationship Id="rId505" Type="http://schemas.openxmlformats.org/officeDocument/2006/relationships/hyperlink" Target="../DOCUMENTS/PIPELINE%20AND%20CABLE/PIPELAY%20ANALYSIS/WHT7-WHT8/2207-NN-RP-103%2016INCH/COMMENTS/Rev%200/GMC" TargetMode="External"/><Relationship Id="rId37" Type="http://schemas.openxmlformats.org/officeDocument/2006/relationships/hyperlink" Target="../../2207/DOCUMENTS/PIPELINE%20&amp;%20CABLE/PIPELAY%20ANALYSIS/WHT-2%20TO%20WHT-5/2207-NN-RP-014%206%20INCH/REPORT" TargetMode="External"/><Relationship Id="rId79" Type="http://schemas.openxmlformats.org/officeDocument/2006/relationships/hyperlink" Target="../../2207/DOCUMENTS/PIPELINE%20&amp;%20CABLE/PIPELAY%20ANALYSIS/WHT-1%20TO%20WHT-3/2207-NN-RP-007%206INCH/REPORT/REV%200" TargetMode="External"/><Relationship Id="rId102" Type="http://schemas.openxmlformats.org/officeDocument/2006/relationships/hyperlink" Target="../../2207/DOCUMENTS/PIPELINE%20&amp;%20CABLE/DAVIT%20LIFT%20ANALYSIS/WHT3-ULRP/2207-NN-RP-023%20(6%20inch)/Rev%20B/REPORT" TargetMode="External"/><Relationship Id="rId144" Type="http://schemas.openxmlformats.org/officeDocument/2006/relationships/hyperlink" Target="../../2207/DOCUMENTS/PIPELINE%20&amp;%20CABLE/DAVIT%20LIFT%20ANALYSIS/WHT5-ULRP/2207-NN-RP-024%206%20inch/COMMENTS/Rev%20B/CLIENT" TargetMode="External"/><Relationship Id="rId547" Type="http://schemas.openxmlformats.org/officeDocument/2006/relationships/hyperlink" Target="../DOCUMENTS/PIPELINE%20AND%20CABLE/DAVIT%20LIFT%20ANALYSIS/WHT-6%20to%20ULRP/2207-NN-RP-122%2010%20inch/Rev%201/Report" TargetMode="External"/><Relationship Id="rId589" Type="http://schemas.openxmlformats.org/officeDocument/2006/relationships/hyperlink" Target="..\DOCUMENTS\PIPELINE%20AND%20CABLE\CABLE%20REPAIR\REV-0\COMMENTS\Client" TargetMode="External"/><Relationship Id="rId90" Type="http://schemas.openxmlformats.org/officeDocument/2006/relationships/hyperlink" Target="../../2207/DOCUMENTS/PIPELINE%20&amp;%20CABLE/RISER%20LIFT%20ANALYSIS%20REPORTS/2207-NN-RP-039%206INCH%20WHT-1%20TO%20WHT-3%20(@WHT-3)/Rev%20B" TargetMode="External"/><Relationship Id="rId186" Type="http://schemas.openxmlformats.org/officeDocument/2006/relationships/hyperlink" Target="../../2207/DOCUMENTS/PIPELINE%20&amp;%20CABLE/DAVIT%20LIFT%20ANALYSIS/WHT5-ULRP/2207-NN-RP-015%2016%20inch/COMMENTS/Rev%200/CLIENT" TargetMode="External"/><Relationship Id="rId351" Type="http://schemas.openxmlformats.org/officeDocument/2006/relationships/hyperlink" Target="../DOCUMENTS/PIPELINE%20AND%20CABLE/PIPELAY%20ANALYSIS/2207-NN-RP-113%2020%20inch%20MOL/REPORT" TargetMode="External"/><Relationship Id="rId393" Type="http://schemas.openxmlformats.org/officeDocument/2006/relationships/hyperlink" Target="..\DOCUMENTS\PIPELINE%20AND%20CABLE\DAVIT%20LIFT%20ANALYSIS\WHT-6%20to%20ULRP\2207-NN-RP-115%2018%20inch\Rev%20B\01%20Report" TargetMode="External"/><Relationship Id="rId407" Type="http://schemas.openxmlformats.org/officeDocument/2006/relationships/hyperlink" Target="..\DOCUMENTS\PIPELINE%20AND%20CABLE\RISER%20LIFT%20ANALYSIS%20REPORTS\2207-NN-RP-145\Rev%20B" TargetMode="External"/><Relationship Id="rId449" Type="http://schemas.openxmlformats.org/officeDocument/2006/relationships/hyperlink" Target="..\DOCUMENTS\PIPELINE%20AND%20CABLE\DAVIT%20LIFT%20ANALYSIS\WHT-6%20to%20ULRP\2207-NN-RP-123%208%20inch\Rev%200\Repor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/../2207/DOCUMENTS/NAVAL%20MARINE/MOORIGN%20ANALYSIS/2207-ZZ-CL-002-WHT-2-WHT-5%20Pipe%20Laying/COMMENTS/Rev%20B/CLIENT" TargetMode="External"/><Relationship Id="rId117" Type="http://schemas.openxmlformats.org/officeDocument/2006/relationships/hyperlink" Target="..\DOCUMENTS\NAVAL%20MARINE\MOORIGN%20ANALYSIS\2207-ZZ-CL-123\REV-0" TargetMode="External"/><Relationship Id="rId21" Type="http://schemas.openxmlformats.org/officeDocument/2006/relationships/hyperlink" Target="../../2207/DOCUMENTS/NAVAL%20MARINE/MOORIGN%20ANALYSIS/2207-ZZ-CL-003%20PIPELAYING%20FROM%20WHT-3%20TO%20ULRP/COMMENTS/Rev%20C/GMC" TargetMode="External"/><Relationship Id="rId42" Type="http://schemas.openxmlformats.org/officeDocument/2006/relationships/hyperlink" Target="../../2207/DOCUMENTS/NAVAL%20MARINE/MOORIGN%20ANALYSIS/2207-ZZ-CL-017-RB-WHT-3-RISERS-EAST%20ANDWEST%20FACES/REV-B/REPORT" TargetMode="External"/><Relationship Id="rId47" Type="http://schemas.openxmlformats.org/officeDocument/2006/relationships/hyperlink" Target="..\..\2207\DOCUMENTS\NAVAL%20MARINE\STABILITY%20ANALYSIS\CABLE%20BASKET\2207-ZZ-CL-156%20Cable%20Tray%20Trip%20CB7\COMMENTS\Rev%20B\GMC" TargetMode="External"/><Relationship Id="rId63" Type="http://schemas.openxmlformats.org/officeDocument/2006/relationships/hyperlink" Target="..\DOCUMENTS\NAVAL%20MARINE\STABILITY%20ANALYSIS\CC%20PIPES\2207-ZZ-CL-130%20TRIP%202\COMMENTS\Rev%20B\CLIENT" TargetMode="External"/><Relationship Id="rId68" Type="http://schemas.openxmlformats.org/officeDocument/2006/relationships/hyperlink" Target="../DOCUMENTS/NAVAL%20MARINE/MOORIGN%20ANALYSIS/2207-ZZ-CL-112/COMMENTS/Rev%20B/GMC" TargetMode="External"/><Relationship Id="rId84" Type="http://schemas.openxmlformats.org/officeDocument/2006/relationships/hyperlink" Target="..\DOCUMENTS\NAVAL%20MARINE\MOORIGN%20ANALYSIS\2207-ZZ-CL-109\Rev%20B" TargetMode="External"/><Relationship Id="rId89" Type="http://schemas.openxmlformats.org/officeDocument/2006/relationships/hyperlink" Target="../DOCUMENTS/NAVAL%20MARINE/MOORIGN%20ANALYSIS/2207-ZZ-CL-109/COMMENTS/Rev%20B/GMC" TargetMode="External"/><Relationship Id="rId112" Type="http://schemas.openxmlformats.org/officeDocument/2006/relationships/hyperlink" Target="../DOCUMENTS/NAVAL%20MARINE/MOORIGN%20ANALYSIS/2207-ZZ-CL-123/COMMENTS/Rev%20B/GMC" TargetMode="External"/><Relationship Id="rId133" Type="http://schemas.openxmlformats.org/officeDocument/2006/relationships/hyperlink" Target="..\DOCUMENTS\NAVAL%20MARINE\MOORIGN%20ANALYSIS\2207-ZZ-CL-126\COMMENTS\CLIENT" TargetMode="External"/><Relationship Id="rId138" Type="http://schemas.openxmlformats.org/officeDocument/2006/relationships/hyperlink" Target="..\DOCUMENTS\NAVAL%20MARINE\MOORIGN%20ANALYSIS\2207-ZZ-CL-127\REV-B\REPORT-PDF" TargetMode="External"/><Relationship Id="rId154" Type="http://schemas.openxmlformats.org/officeDocument/2006/relationships/hyperlink" Target="..\DOCUMENTS\NAVAL%20MARINE\MOORIGN%20ANALYSIS\2207-ZZ-CL-104\comments\mws" TargetMode="External"/><Relationship Id="rId16" Type="http://schemas.openxmlformats.org/officeDocument/2006/relationships/hyperlink" Target="../../2207/DOCUMENTS/NAVAL%20MARINE/MOORIGN%20ANALYSIS/2207-ZZ-CL-003%20PIPELAYING%20FROM%20WHT-3%20TO%20ULRP/COMMENTS/Rev%20B/CLIENT" TargetMode="External"/><Relationship Id="rId107" Type="http://schemas.openxmlformats.org/officeDocument/2006/relationships/hyperlink" Target="../DOCUMENTS/NAVAL%20MARINE/STABILITY%20ANALYSIS/CC%20PIPES/2207-ZZ-CL-130%20TRIP%202/COMMENTS/Rev%200/GMC" TargetMode="External"/><Relationship Id="rId11" Type="http://schemas.openxmlformats.org/officeDocument/2006/relationships/hyperlink" Target="../../2207/DOCUMENTS/NAVAL%20MARINE/STABILITY%20ANALYSIS/REPORTS/CC%20PIPES/2207%20CC%20PIPES%20TRIP%2002@GOGAS-252/COMMENTS/Rev%20B/GMC" TargetMode="External"/><Relationship Id="rId32" Type="http://schemas.openxmlformats.org/officeDocument/2006/relationships/hyperlink" Target="../../2207/DOCUMENTS/NAVAL%20MARINE/STABILITY%20ANALYSIS/CC%20PIPES/2207-ZZ-CL-030%202207%20CC%20PIPES%20TRIP%2001@AWALCO-I/COMMENTS/Rev%20C/Client" TargetMode="External"/><Relationship Id="rId37" Type="http://schemas.openxmlformats.org/officeDocument/2006/relationships/hyperlink" Target="../../2207/DOCUMENTS/NAVAL%20MARINE/MOORIGN%20ANALYSIS/2207-ZZ-CL-002-WHT-2-WHT-5%20Pipe%20Laying/COMMENTS/Rev%20B/GMC" TargetMode="External"/><Relationship Id="rId53" Type="http://schemas.openxmlformats.org/officeDocument/2006/relationships/hyperlink" Target="../DOCUMENTS/NAVAL%20MARINE/MOORIGN%20ANALYSIS/2207-ZZ-CL-101/COMMENTS/Rev%20B/CLIENT" TargetMode="External"/><Relationship Id="rId58" Type="http://schemas.openxmlformats.org/officeDocument/2006/relationships/hyperlink" Target="../DOCUMENTS/NAVAL%20MARINE/STABILITY%20ANALYSIS/CC%20PIPES/2207-ZZ-CL-129%20TRIP%201/COMMENTS/Rev%20B/CLIENT" TargetMode="External"/><Relationship Id="rId74" Type="http://schemas.openxmlformats.org/officeDocument/2006/relationships/hyperlink" Target="..\DOCUMENTS\NAVAL%20MARINE\STABILITY%20ANALYSIS\CC%20PIPES\2207-ZZ-CL-131%20TRIP%206\Report\Rev%20C\Report" TargetMode="External"/><Relationship Id="rId79" Type="http://schemas.openxmlformats.org/officeDocument/2006/relationships/hyperlink" Target="../DOCUMENTS/NAVAL%20MARINE/STABILITY%20ANALYSIS/CC%20PIPES/2207-ZZ-CL-131%20TRIP%206/COMMENTS/Rev%20C/CLIENT" TargetMode="External"/><Relationship Id="rId102" Type="http://schemas.openxmlformats.org/officeDocument/2006/relationships/hyperlink" Target="../DOCUMENTS/NAVAL%20MARINE/MOORIGN%20ANALYSIS/2207-ZZ-CL-022/COMMENTS/Rev%20B/GMC" TargetMode="External"/><Relationship Id="rId123" Type="http://schemas.openxmlformats.org/officeDocument/2006/relationships/hyperlink" Target="..\DOCUMENTS\NAVAL%20MARINE\MOORIGN%20ANALYSIS\2207-ZZ-CL-020\COMMENTS\REV-B\MWS" TargetMode="External"/><Relationship Id="rId128" Type="http://schemas.openxmlformats.org/officeDocument/2006/relationships/hyperlink" Target="..\DOCUMENTS\NAVAL%20MARINE\MOORIGN%20ANALYSIS\2207-ZZ-CL-119\REV%20C\REPORT" TargetMode="External"/><Relationship Id="rId144" Type="http://schemas.openxmlformats.org/officeDocument/2006/relationships/hyperlink" Target="..\DOCUMENTS\NAVAL%20MARINE\MOORIGN%20ANALYSIS\2207-ZZ-CL-128\REV-B\COMMENTS" TargetMode="External"/><Relationship Id="rId149" Type="http://schemas.openxmlformats.org/officeDocument/2006/relationships/hyperlink" Target="..\DOCUMENTS\NAVAL%20MARINE\MOORIGN%20ANALYSIS\2207-ZZ-CL-103-WHT-4%20N%20WHT-6\REV-C\comments\mws" TargetMode="External"/><Relationship Id="rId5" Type="http://schemas.openxmlformats.org/officeDocument/2006/relationships/hyperlink" Target="../../2207/DOCUMENTS/NAVAL%20MARINE/STABILITY%20ANALYSIS/CC%20PIPES/2207-ZZ-CL-030%202207%20CC%20PIPES%20TRIP%2001@AWALCO-I/COMMENTS/Rev%20B/GMC" TargetMode="External"/><Relationship Id="rId90" Type="http://schemas.openxmlformats.org/officeDocument/2006/relationships/hyperlink" Target="../DOCUMENTS/NAVAL%20MARINE/MOORIGN%20ANALYSIS/2207-ZZ-CL-109/COMMENTS/Rev%20B/CLIENT" TargetMode="External"/><Relationship Id="rId95" Type="http://schemas.openxmlformats.org/officeDocument/2006/relationships/hyperlink" Target="../DOCUMENTS/NAVAL%20MARINE/STABILITY%20ANALYSIS/CC%20PIPES/2207-ZZ-CL-129%20TRIP%201/COMMENTS/Rev%200/GMC" TargetMode="External"/><Relationship Id="rId22" Type="http://schemas.openxmlformats.org/officeDocument/2006/relationships/hyperlink" Target="../../2207/DOCUMENTS/NAVAL%20MARINE/MOORIGN%20ANALYSIS/2207-ZZ-CL-002-WHT-2-WHT-5%20Pipe%20Laying/Rev%20B/Report" TargetMode="External"/><Relationship Id="rId27" Type="http://schemas.openxmlformats.org/officeDocument/2006/relationships/hyperlink" Target="../../2207/DOCUMENTS/NAVAL%20MARINE/STABILITY%20ANALYSIS/CC%20PIPES/2207-ZZ-CL-030%202207%20CC%20PIPES%20TRIP%2001@AWALCO-I/Rev%20B/report" TargetMode="External"/><Relationship Id="rId43" Type="http://schemas.openxmlformats.org/officeDocument/2006/relationships/hyperlink" Target="../../2207/DOCUMENTS/NAVAL%20MARINE/STABILITY%20ANALYSIS/CC%20PIPES/2207-ZZ-CL-032%202207%20CC%20PIPES%20TRIP%2006@CB-7/COMMENTS/Rev%20B/CLIENT" TargetMode="External"/><Relationship Id="rId48" Type="http://schemas.openxmlformats.org/officeDocument/2006/relationships/hyperlink" Target="..\..\2207\DOCUMENTS\NAVAL%20MARINE\STABILITY%20ANALYSIS\CABLE%20BASKET\2207-ZZ-CL-156%20Cable%20Tray%20Trip%20CB7\COMMENTS\Rev%20B\CLIENT" TargetMode="External"/><Relationship Id="rId64" Type="http://schemas.openxmlformats.org/officeDocument/2006/relationships/hyperlink" Target="..\DOCUMENTS\NAVAL%20MARINE\MOORIGN%20ANALYSIS\2207-ZZ-CL-112\Rev%20B" TargetMode="External"/><Relationship Id="rId69" Type="http://schemas.openxmlformats.org/officeDocument/2006/relationships/hyperlink" Target="../DOCUMENTS/NAVAL%20MARINE/STABILITY%20ANALYSIS/CC%20PIPES/2207-ZZ-CL-131%20TRIP%206/COMMENTS/Rev%20B/GMC" TargetMode="External"/><Relationship Id="rId113" Type="http://schemas.openxmlformats.org/officeDocument/2006/relationships/hyperlink" Target="../DOCUMENTS/NAVAL%20MARINE/MOORIGN%20ANALYSIS/2207-ZZ-CL-123/CRS/MWS" TargetMode="External"/><Relationship Id="rId118" Type="http://schemas.openxmlformats.org/officeDocument/2006/relationships/hyperlink" Target="..\DOCUMENTS\NAVAL%20MARINE\MOORIGN%20ANALYSIS\2207-ZZ-CL-123\REV-0\COMMENTS\CLIENT" TargetMode="External"/><Relationship Id="rId134" Type="http://schemas.openxmlformats.org/officeDocument/2006/relationships/hyperlink" Target="..\DOCUMENTS\NAVAL%20MARINE\MOORIGN%20ANALYSIS\2207-ZZ-CL-125\REV-C\COMMENTS\CLIENT" TargetMode="External"/><Relationship Id="rId139" Type="http://schemas.openxmlformats.org/officeDocument/2006/relationships/hyperlink" Target="..\DOCUMENTS\NAVAL%20MARINE\MOORIGN%20ANALYSIS\2207-ZZ-CL-127\REV-C\REPORT%20PDF" TargetMode="External"/><Relationship Id="rId80" Type="http://schemas.openxmlformats.org/officeDocument/2006/relationships/hyperlink" Target="../DOCUMENTS/NAVAL%20MARINE/MOORIGN%20ANALYSIS/2207-ZZ-CL-112/COMMENTS/Rev%200/GMC" TargetMode="External"/><Relationship Id="rId85" Type="http://schemas.openxmlformats.org/officeDocument/2006/relationships/hyperlink" Target="../DOCUMENTS/NAVAL%20MARINE/STABILITY%20ANALYSIS/CC%20PIPES/2207-ZZ-CL-137%20TRIP%209/Rev%20B/Report" TargetMode="External"/><Relationship Id="rId150" Type="http://schemas.openxmlformats.org/officeDocument/2006/relationships/hyperlink" Target="..\DOCUMENTS\NAVAL%20MARINE\MOORIGN%20ANALYSIS\2207-ZZ-CL-104" TargetMode="External"/><Relationship Id="rId155" Type="http://schemas.openxmlformats.org/officeDocument/2006/relationships/printerSettings" Target="../printerSettings/printerSettings2.bin"/><Relationship Id="rId12" Type="http://schemas.openxmlformats.org/officeDocument/2006/relationships/hyperlink" Target="../../2207/DOCUMENTS/NAVAL%20MARINE/MOORIGN%20ANALYSIS/2207-ZZ-CL-001-PIPELAYING%20FROM%20ULRP%20TO%20WHT-5/REV-B/REPORT" TargetMode="External"/><Relationship Id="rId17" Type="http://schemas.openxmlformats.org/officeDocument/2006/relationships/hyperlink" Target="../../2207/DOCUMENTS/NAVAL%20MARINE/TOWAGE%20ANALYSIS/2207-ZZ-CL-154%202207%20Trip%201%20Awalco-I%20BP%20Calc/COMMENTS/Rev%20B/GMC" TargetMode="External"/><Relationship Id="rId25" Type="http://schemas.openxmlformats.org/officeDocument/2006/relationships/hyperlink" Target="../../2207/DOCUMENTS/NAVAL%20MARINE/MOORIGN%20ANALYSIS/2207-ZZ-CL-025-WHT-1-WHT-3-ULRP-JACKET%20INSTALLATION/COMMENTS/Rev%20B/GMC" TargetMode="External"/><Relationship Id="rId33" Type="http://schemas.openxmlformats.org/officeDocument/2006/relationships/hyperlink" Target="../../2207/DOCUMENTS/NAVAL%20MARINE/MOORIGN%20ANALYSIS/2207-ZZ-CL-003%20PIPELAYING%20FROM%20WHT-3%20TO%20ULRP/COMMENTS/Rev%20C/Client" TargetMode="External"/><Relationship Id="rId38" Type="http://schemas.openxmlformats.org/officeDocument/2006/relationships/hyperlink" Target="../../2207/DOCUMENTS/NAVAL%20MARINE/MOORIGN%20ANALYSIS/2207-ZZ-CL-028-RB-WHT-7-WHT-8-JACKET%20INSTALLATION/COMMENTS/Rev%20B/GMC" TargetMode="External"/><Relationship Id="rId46" Type="http://schemas.openxmlformats.org/officeDocument/2006/relationships/hyperlink" Target="../../2207/DOCUMENTS/NAVAL%20MARINE/STABILITY%20ANALYSIS/CABLE%20BASKET/2207-ZZ-CL-156%20Cable%20Tray%20Trip%20CB7/Report" TargetMode="External"/><Relationship Id="rId59" Type="http://schemas.openxmlformats.org/officeDocument/2006/relationships/hyperlink" Target="..\DOCUMENTS\NAVAL%20MARINE\STABILITY%20ANALYSIS\CC%20PIPES\2207-ZZ-CL-129%20TRIP%201\Report\Rev%200" TargetMode="External"/><Relationship Id="rId67" Type="http://schemas.openxmlformats.org/officeDocument/2006/relationships/hyperlink" Target="../DOCUMENTS/NAVAL%20MARINE/MOORIGN%20ANALYSIS/2207-ZZ-CL-112/COMMENTS/Rev%20B/CLIENT" TargetMode="External"/><Relationship Id="rId103" Type="http://schemas.openxmlformats.org/officeDocument/2006/relationships/hyperlink" Target="../DOCUMENTS/NAVAL%20MARINE/MOORIGN%20ANALYSIS/2207-ZZ-CL-157/COMMENTS/Rev%20B/GMC" TargetMode="External"/><Relationship Id="rId108" Type="http://schemas.openxmlformats.org/officeDocument/2006/relationships/hyperlink" Target="../../2207/DOCUMENTS/NAVAL%20MARINE/STABILITY%20ANALYSIS/CABLE%20BASKET/2207-ZZ-CL-156%20Cable%20Tray%20Trip%20CB7/COMMENTS/Rev%200/GMC" TargetMode="External"/><Relationship Id="rId116" Type="http://schemas.openxmlformats.org/officeDocument/2006/relationships/hyperlink" Target="..\DOCUMENTS\NAVAL%20MARINE\MOORIGN%20ANALYSIS\2207-ZZ-CL-123\COMMENTS\Rev%20B\CLIENT" TargetMode="External"/><Relationship Id="rId124" Type="http://schemas.openxmlformats.org/officeDocument/2006/relationships/hyperlink" Target="..\DOCUMENTS\NAVAL%20MARINE\MOORIGN%20ANALYSIS\2207-ZZ-CL-125\REV-B" TargetMode="External"/><Relationship Id="rId129" Type="http://schemas.openxmlformats.org/officeDocument/2006/relationships/hyperlink" Target="..\DOCUMENTS\NAVAL%20MARINE\MOORIGN%20ANALYSIS\2207-ZZ-CL-125\REV-C\COMMENTS\MWS" TargetMode="External"/><Relationship Id="rId137" Type="http://schemas.openxmlformats.org/officeDocument/2006/relationships/hyperlink" Target="..\DOCUMENTS\NAVAL%20MARINE\MOORIGN%20ANALYSIS\2207-ZZ-CL-128\REV-B\REPORT-PDF" TargetMode="External"/><Relationship Id="rId20" Type="http://schemas.openxmlformats.org/officeDocument/2006/relationships/hyperlink" Target="../../2207/DOCUMENTS/NAVAL%20MARINE/MOORIGN%20ANALYSIS/2207-ZZ-CL-001-PIPELAYING%20FROM%20ULRP%20TO%20WHT-5/COMMENTS/Rev%20C/Client" TargetMode="External"/><Relationship Id="rId41" Type="http://schemas.openxmlformats.org/officeDocument/2006/relationships/hyperlink" Target="../../2207/DOCUMENTS/NAVAL%20MARINE/MOORIGN%20ANALYSIS/2207-ZZ-CL-028-RB-WHT-7-WHT-8-JACKET%20INSTALLATION/COMMENTS/Rev%20B/CLIENT" TargetMode="External"/><Relationship Id="rId54" Type="http://schemas.openxmlformats.org/officeDocument/2006/relationships/hyperlink" Target="../DOCUMENTS/NAVAL%20MARINE/STABILITY%20ANALYSIS/CC%20PIPES/2207-ZZ-CL-129%20TRIP%201/Report/Rev%20B" TargetMode="External"/><Relationship Id="rId62" Type="http://schemas.openxmlformats.org/officeDocument/2006/relationships/hyperlink" Target="../DOCUMENTS/NAVAL%20MARINE/STABILITY%20ANALYSIS/CC%20PIPES/2207-ZZ-CL-129%20TRIP%201/COMMENTS/Rev%200/CLIENT" TargetMode="External"/><Relationship Id="rId70" Type="http://schemas.openxmlformats.org/officeDocument/2006/relationships/hyperlink" Target="../DOCUMENTS/NAVAL%20MARINE/MOORIGN%20ANALYSIS/2207-ZZ-CL-022/COMMENTS/Rev%20B/CLIENT" TargetMode="External"/><Relationship Id="rId75" Type="http://schemas.openxmlformats.org/officeDocument/2006/relationships/hyperlink" Target="../DOCUMENTS/NAVAL%20MARINE/STABILITY%20ANALYSIS/CC%20PIPES/2207-ZZ-CL-135%20TRIP%207/Report/Rev%20B" TargetMode="External"/><Relationship Id="rId83" Type="http://schemas.openxmlformats.org/officeDocument/2006/relationships/hyperlink" Target="../DOCUMENTS/NAVAL%20MARINE/MOORIGN%20ANALYSIS/2207-ZZ-CL-112/COMMENTS/Rev%201/GM" TargetMode="External"/><Relationship Id="rId88" Type="http://schemas.openxmlformats.org/officeDocument/2006/relationships/hyperlink" Target="../DOCUMENTS/NAVAL%20MARINE/MOORIGN%20ANALYSIS/2207-ZZ-CL-112/COMMENTS/Rev%201/CLIENT" TargetMode="External"/><Relationship Id="rId91" Type="http://schemas.openxmlformats.org/officeDocument/2006/relationships/hyperlink" Target="..\DOCUMENTS\NAVAL%20MARINE\MOORIGN%20ANALYSIS\2207-ZZ-CL-102\COMMENTS\Rev%20B\CLIENT" TargetMode="External"/><Relationship Id="rId96" Type="http://schemas.openxmlformats.org/officeDocument/2006/relationships/hyperlink" Target="../DOCUMENTS/NAVAL%20MARINE/STABILITY%20ANALYSIS/CC%20PIPES/2207-ZZ-CL-131%20TRIP%206/COMMENTS/Rev%20C/GMC" TargetMode="External"/><Relationship Id="rId111" Type="http://schemas.openxmlformats.org/officeDocument/2006/relationships/hyperlink" Target="../DOCUMENTS/NAVAL%20MARINE/MOORIGN%20ANALYSIS/2207-ZZ-CL-119/COMMENTS/Rev%20B/GMC" TargetMode="External"/><Relationship Id="rId132" Type="http://schemas.openxmlformats.org/officeDocument/2006/relationships/hyperlink" Target="..\DOCUMENTS\NAVAL%20MARINE\MOORIGN%20ANALYSIS\2207-ZZ-CL-119\COMMENTS\REV-C\MWS" TargetMode="External"/><Relationship Id="rId140" Type="http://schemas.openxmlformats.org/officeDocument/2006/relationships/hyperlink" Target="..\DOCUMENTS\NAVAL%20MARINE\MOORIGN%20ANALYSIS\2207-ZZ-CL-128\REV-C\REPORT" TargetMode="External"/><Relationship Id="rId145" Type="http://schemas.openxmlformats.org/officeDocument/2006/relationships/hyperlink" Target="..\DOCUMENTS\NAVAL%20MARINE\MOORIGN%20ANALYSIS\2207-ZZ-CL-103-WHT-4%20N%20WHT-6\REV-B" TargetMode="External"/><Relationship Id="rId153" Type="http://schemas.openxmlformats.org/officeDocument/2006/relationships/hyperlink" Target="..\DOCUMENTS\NAVAL%20MARINE\MOORIGN%20ANALYSIS\2207-ZZ-CL-105\comments\client" TargetMode="External"/><Relationship Id="rId1" Type="http://schemas.openxmlformats.org/officeDocument/2006/relationships/hyperlink" Target="../../2207/DOCUMENTS/NAVAL%20MARINE/MOORIGN%20ANALYSIS/2207-ZZ-CL-023%20WHT-2-WHT-5%20JACKET%20INSTALLATION/COMMENTS/Rev%20B/GMC" TargetMode="External"/><Relationship Id="rId6" Type="http://schemas.openxmlformats.org/officeDocument/2006/relationships/hyperlink" Target="../../2207/DOCUMENTS/NAVAL%20MARINE/MOORIGN%20ANALYSIS/2207-ZZ-CL-003%20PIPELAYING%20FROM%20WHT-3%20TO%20ULRP/Rev%20B/REPORT" TargetMode="External"/><Relationship Id="rId15" Type="http://schemas.openxmlformats.org/officeDocument/2006/relationships/hyperlink" Target="../../2207/DOCUMENTS/NAVAL%20MARINE/MOORIGN%20ANALYSIS/2207-ZZ-CL-001-PIPELAYING%20FROM%20ULRP%20TO%20WHT-5/COMMENTS/Rev%20B/GMC" TargetMode="External"/><Relationship Id="rId23" Type="http://schemas.openxmlformats.org/officeDocument/2006/relationships/hyperlink" Target="../../2207/DOCUMENTS/NAVAL%20MARINE/MOORIGN%20ANALYSIS/2207-ZZ-CL-001-PIPELAYING%20FROM%20ULRP%20TO%20WHT-5/COMMENTS/Rev%20C/GMC" TargetMode="External"/><Relationship Id="rId28" Type="http://schemas.openxmlformats.org/officeDocument/2006/relationships/hyperlink" Target="../../2207/DOCUMENTS/NAVAL%20MARINE/STABILITY%20ANALYSIS/CC%20PIPES/2207-ZZ-CL-030%202207%20CC%20PIPES%20TRIP%2001@AWALCO-I/Rev%20C" TargetMode="External"/><Relationship Id="rId36" Type="http://schemas.openxmlformats.org/officeDocument/2006/relationships/hyperlink" Target="../../2207/DOCUMENTS/NAVAL%20MARINE/MOORIGN%20ANALYSIS/2207-ZZ-CL-004-WHT-1-WHT-3%20Pipe%20Laying/COMMENTS/Rev%20B/GMC" TargetMode="External"/><Relationship Id="rId49" Type="http://schemas.openxmlformats.org/officeDocument/2006/relationships/hyperlink" Target="../DOCUMENTS/NAVAL%20MARINE/MOORIGN%20ANALYSIS/2207-ZZ-CL-110/Rev%20B" TargetMode="External"/><Relationship Id="rId57" Type="http://schemas.openxmlformats.org/officeDocument/2006/relationships/hyperlink" Target="../DOCUMENTS/NAVAL%20MARINE/STABILITY%20ANALYSIS/CC%20PIPES/2207-ZZ-CL-130%20TRIP%202/Report/Rev%20B" TargetMode="External"/><Relationship Id="rId106" Type="http://schemas.openxmlformats.org/officeDocument/2006/relationships/hyperlink" Target="../../2207/DOCUMENTS/NAVAL%20MARINE/STABILITY%20ANALYSIS/CABLE%20BASKET/2207-ZZ-CL-156%20Cable%20Tray%20Trip%20CB7/COMMENTS/Rev%200/CLIENT" TargetMode="External"/><Relationship Id="rId114" Type="http://schemas.openxmlformats.org/officeDocument/2006/relationships/hyperlink" Target="../DOCUMENTS/NAVAL%20MARINE/MOORIGN%20ANALYSIS/2207-ZZ-CL-123/COMMENTS/Rev%20B/GMC" TargetMode="External"/><Relationship Id="rId119" Type="http://schemas.openxmlformats.org/officeDocument/2006/relationships/hyperlink" Target="..\DOCUMENTS\NAVAL%20MARINE\MOORIGN%20ANALYSIS\2207-ZZ-CL-123\REV-1" TargetMode="External"/><Relationship Id="rId127" Type="http://schemas.openxmlformats.org/officeDocument/2006/relationships/hyperlink" Target="..\DOCUMENTS\NAVAL%20MARINE\MOORIGN%20ANALYSIS\2207-ZZ-CL-125\REV-C\REPORT" TargetMode="External"/><Relationship Id="rId10" Type="http://schemas.openxmlformats.org/officeDocument/2006/relationships/hyperlink" Target="../../2207/DOCUMENTS/NAVAL%20MARINE/STABILITY%20ANALYSIS/CC%20PIPES/2207-ZZ-CL-030%202207%20CC%20PIPES%20TRIP%2001@AWALCO-I/COMMENTS/Rev%20C/GMC" TargetMode="External"/><Relationship Id="rId31" Type="http://schemas.openxmlformats.org/officeDocument/2006/relationships/hyperlink" Target="../../2207/DOCUMENTS/NAVAL%20MARINE/TOWAGE%20ANALYSIS/2207-ZZ-CL-155%202207%20Trip%202%20GOGAS%20252%20BP%20Calc/COMMENTS/Rev%20B/CLIENT" TargetMode="External"/><Relationship Id="rId44" Type="http://schemas.openxmlformats.org/officeDocument/2006/relationships/hyperlink" Target="../../2207/DOCUMENTS/NAVAL%20MARINE/MOORIGN%20ANALYSIS/2207-ZZ-CL-017-RB-WHT-3-RISERS-EAST%20ANDWEST%20FACES/COMMENTS/Rev%20B/CLIENT" TargetMode="External"/><Relationship Id="rId52" Type="http://schemas.openxmlformats.org/officeDocument/2006/relationships/hyperlink" Target="../DOCUMENTS/NAVAL%20MARINE/MOORIGN%20ANALYSIS/2207-ZZ-CL-110/COMMENTS/Rev%20B/CLIENT" TargetMode="External"/><Relationship Id="rId60" Type="http://schemas.openxmlformats.org/officeDocument/2006/relationships/hyperlink" Target="..\DOCUMENTS\NAVAL%20MARINE\STABILITY%20ANALYSIS\CC%20PIPES\2207-ZZ-CL-130%20TRIP%202\COMMENTS\Rev%20B\GMC" TargetMode="External"/><Relationship Id="rId65" Type="http://schemas.openxmlformats.org/officeDocument/2006/relationships/hyperlink" Target="../DOCUMENTS/NAVAL%20MARINE/STABILITY%20ANALYSIS/CC%20PIPES/2207-ZZ-CL-131%20TRIP%206/Report/Rev%20B" TargetMode="External"/><Relationship Id="rId73" Type="http://schemas.openxmlformats.org/officeDocument/2006/relationships/hyperlink" Target="..\DOCUMENTS\NAVAL%20MARINE\MOORIGN%20ANALYSIS\2207-ZZ-CL-021\Rev%20B" TargetMode="External"/><Relationship Id="rId78" Type="http://schemas.openxmlformats.org/officeDocument/2006/relationships/hyperlink" Target="../DOCUMENTS/NAVAL%20MARINE/STABILITY%20ANALYSIS/CC%20PIPES/2207-ZZ-CL-135%20TRIP%207/COMMENTS/Rev%20B/GMC" TargetMode="External"/><Relationship Id="rId81" Type="http://schemas.openxmlformats.org/officeDocument/2006/relationships/hyperlink" Target="../DOCUMENTS/NAVAL%20MARINE/MOORIGN%20ANALYSIS/2207-ZZ-CL-112/Rev%201/Report" TargetMode="External"/><Relationship Id="rId86" Type="http://schemas.openxmlformats.org/officeDocument/2006/relationships/hyperlink" Target="../DOCUMENTS/NAVAL%20MARINE/MOORIGN%20ANALYSIS/2207-ZZ-CL-157/COMMENTS/Rev%20B/CLIENT" TargetMode="External"/><Relationship Id="rId94" Type="http://schemas.openxmlformats.org/officeDocument/2006/relationships/hyperlink" Target="../DOCUMENTS/NAVAL%20MARINE/MOORIGN%20ANALYSIS/2207-ZZ-CL-112/COMMENTS/Rev%200/CLIENT" TargetMode="External"/><Relationship Id="rId99" Type="http://schemas.openxmlformats.org/officeDocument/2006/relationships/hyperlink" Target="../DOCUMENTS/NAVAL%20MARINE/STABILITY%20ANALYSIS/CC%20PIPES/2207-ZZ-CL-130%20TRIP%202/Report/Rev%200" TargetMode="External"/><Relationship Id="rId101" Type="http://schemas.openxmlformats.org/officeDocument/2006/relationships/hyperlink" Target="../DOCUMENTS/NAVAL%20MARINE/MOORIGN%20ANALYSIS/2207-ZZ-CL-021/COMMENTS/Rev%20B/GMC" TargetMode="External"/><Relationship Id="rId122" Type="http://schemas.openxmlformats.org/officeDocument/2006/relationships/hyperlink" Target="../DOCUMENTS/NAVAL%20MARINE/MOORIGN%20ANALYSIS/2207-ZZ-CL-112/COMMENTS/Rev%201/GM" TargetMode="External"/><Relationship Id="rId130" Type="http://schemas.openxmlformats.org/officeDocument/2006/relationships/hyperlink" Target="..\DOCUMENTS\NAVAL%20MARINE\MOORIGN%20ANALYSIS\2207-ZZ-CL-126\COMMENTS\MWS" TargetMode="External"/><Relationship Id="rId135" Type="http://schemas.openxmlformats.org/officeDocument/2006/relationships/hyperlink" Target="..\DOCUMENTS\NAVAL%20MARINE\MOORIGN%20ANALYSIS\2207-ZZ-CL-123\REV-1\COMMENTS\CLIENT" TargetMode="External"/><Relationship Id="rId143" Type="http://schemas.openxmlformats.org/officeDocument/2006/relationships/hyperlink" Target="..\DOCUMENTS\NAVAL%20MARINE\MOORIGN%20ANALYSIS\2207-ZZ-CL-128\REV-C\COMMENTS\CLIENT" TargetMode="External"/><Relationship Id="rId148" Type="http://schemas.openxmlformats.org/officeDocument/2006/relationships/hyperlink" Target="..\DOCUMENTS\NAVAL%20MARINE\MOORIGN%20ANALYSIS\2207-ZZ-CL-103-WHT-4%20N%20WHT-6\REV-C" TargetMode="External"/><Relationship Id="rId151" Type="http://schemas.openxmlformats.org/officeDocument/2006/relationships/hyperlink" Target="..\DOCUMENTS\NAVAL%20MARINE\MOORIGN%20ANALYSIS\2207-ZZ-CL-105" TargetMode="External"/><Relationship Id="rId156" Type="http://schemas.openxmlformats.org/officeDocument/2006/relationships/drawing" Target="../drawings/drawing2.xml"/><Relationship Id="rId4" Type="http://schemas.openxmlformats.org/officeDocument/2006/relationships/hyperlink" Target="../../2207/DOCUMENTS/NAVAL%20MARINE/STABILITY%20ANALYSIS/CC%20PIPES/2207-ZZ-CL-031%202207%20CC%20PIPES%20TRIP%2002@GOGAS-252/report" TargetMode="External"/><Relationship Id="rId9" Type="http://schemas.openxmlformats.org/officeDocument/2006/relationships/hyperlink" Target="../../2207/DOCUMENTS/NAVAL%20MARINE/MOORIGN%20ANALYSIS/2207-ZZ-CL-023%20WHT-2-WHT-5%20JACKET%20INSTALLATION/COMMENTS/Rev%20B/CLIENT" TargetMode="External"/><Relationship Id="rId13" Type="http://schemas.openxmlformats.org/officeDocument/2006/relationships/hyperlink" Target="../../2207/DOCUMENTS/NAVAL%20MARINE/MOORIGN%20ANALYSIS/2207-ZZ-CL-003%20PIPELAYING%20FROM%20WHT-3%20TO%20ULRP/COMMENTS/Rev%20B/GMC" TargetMode="External"/><Relationship Id="rId18" Type="http://schemas.openxmlformats.org/officeDocument/2006/relationships/hyperlink" Target="../../2207/DOCUMENTS/NAVAL%20MARINE/TOWAGE%20ANALYSIS/2207-ZZ-CL-155%202207%20Trip%202%20GOGAS%20252%20BP%20Calc/COMMENTS/Rev%20B/GMC" TargetMode="External"/><Relationship Id="rId39" Type="http://schemas.openxmlformats.org/officeDocument/2006/relationships/hyperlink" Target="../../2207/DOCUMENTS/NAVAL%20MARINE/STABILITY%20ANALYSIS/CC%20PIPES/2207-ZZ-CL-032%202207%20CC%20PIPES%20TRIP%2006@CB-7/Rev%20B/Report" TargetMode="External"/><Relationship Id="rId109" Type="http://schemas.openxmlformats.org/officeDocument/2006/relationships/hyperlink" Target="..\DOCUMENTS\NAVAL%20MARINE\MOORIGN%20ANALYSIS\2207-ZZ-CL-123\Rev%20B\REPORT" TargetMode="External"/><Relationship Id="rId34" Type="http://schemas.openxmlformats.org/officeDocument/2006/relationships/hyperlink" Target="../../2207/DOCUMENTS/NAVAL%20MARINE/MOORIGN%20ANALYSIS/2207-ZZ-CL-001-PIPELAYING%20FROM%20ULRP%20TO%20WHT-5/COMMENTS/Rev%20B/CLIENT" TargetMode="External"/><Relationship Id="rId50" Type="http://schemas.openxmlformats.org/officeDocument/2006/relationships/hyperlink" Target="../DOCUMENTS/NAVAL%20MARINE/MOORIGN%20ANALYSIS/2207-ZZ-CL-110/COMMENTS/Rev%20B/GMC" TargetMode="External"/><Relationship Id="rId55" Type="http://schemas.openxmlformats.org/officeDocument/2006/relationships/hyperlink" Target="../DOCUMENTS/NAVAL%20MARINE/STABILITY%20ANALYSIS/CC%20PIPES/2207-ZZ-CL-129%20TRIP%201/COMMENTS/Rev%20B/GMC" TargetMode="External"/><Relationship Id="rId76" Type="http://schemas.openxmlformats.org/officeDocument/2006/relationships/hyperlink" Target="..\DOCUMENTS\NAVAL%20MARINE\STABILITY%20ANALYSIS\CC%20PIPES\2207-ZZ-CL-136%20TRIP%208\Report\Rev%20B" TargetMode="External"/><Relationship Id="rId97" Type="http://schemas.openxmlformats.org/officeDocument/2006/relationships/hyperlink" Target="../DOCUMENTS/NAVAL%20MARINE/STABILITY%20ANALYSIS/CC%20PIPES/2207-ZZ-CL-136%20TRIP%208/COMMENTS/Rev%20B/GMC" TargetMode="External"/><Relationship Id="rId104" Type="http://schemas.openxmlformats.org/officeDocument/2006/relationships/hyperlink" Target="..\DOCUMENTS\NAVAL%20MARINE\MOORIGN%20ANALYSIS\2207-ZZ-CL-102\COMMENTS\Rev%20B\GMC" TargetMode="External"/><Relationship Id="rId120" Type="http://schemas.openxmlformats.org/officeDocument/2006/relationships/hyperlink" Target="..\DOCUMENTS\NAVAL%20MARINE\MOORIGN%20ANALYSIS\2207-ZZ-CL-020\REPORT" TargetMode="External"/><Relationship Id="rId125" Type="http://schemas.openxmlformats.org/officeDocument/2006/relationships/hyperlink" Target="..\DOCUMENTS\NAVAL%20MARINE\MOORIGN%20ANALYSIS\2207-ZZ-CL-126\REPORT" TargetMode="External"/><Relationship Id="rId141" Type="http://schemas.openxmlformats.org/officeDocument/2006/relationships/hyperlink" Target="..\DOCUMENTS\NAVAL%20MARINE\MOORIGN%20ANALYSIS\2207-ZZ-CL-127\REV-C\COMMENTS\MWS" TargetMode="External"/><Relationship Id="rId146" Type="http://schemas.openxmlformats.org/officeDocument/2006/relationships/hyperlink" Target="..\DOCUMENTS\NAVAL%20MARINE\MOORIGN%20ANALYSIS\2207-ZZ-CL-103-WHT-4%20N%20WHT-6\REV-B\comments" TargetMode="External"/><Relationship Id="rId7" Type="http://schemas.openxmlformats.org/officeDocument/2006/relationships/hyperlink" Target="../../2207/DOCUMENTS/NAVAL%20MARINE/STABILITY%20ANALYSIS/REPORTS/CC%20PIPES/2207%20CC%20PIPES%20TRIP%2002@GOGAS-252/COMMENTS/Rev%20B/CLIENT" TargetMode="External"/><Relationship Id="rId71" Type="http://schemas.openxmlformats.org/officeDocument/2006/relationships/hyperlink" Target="../DOCUMENTS/NAVAL%20MARINE/STABILITY%20ANALYSIS/CC%20PIPES/2207-ZZ-CL-131%20TRIP%206/COMMENTS/Rev%20B/CLIENT" TargetMode="External"/><Relationship Id="rId92" Type="http://schemas.openxmlformats.org/officeDocument/2006/relationships/hyperlink" Target="../DOCUMENTS/NAVAL%20MARINE/MOORIGN%20ANALYSIS/2207-ZZ-CL-021/COMMENTS/Rev%20B/CLIENT" TargetMode="External"/><Relationship Id="rId2" Type="http://schemas.openxmlformats.org/officeDocument/2006/relationships/hyperlink" Target="../../2207/DOCUMENTS/NAVAL%20MARINE/MOORIGN%20ANALYSIS/2207-ZZ-CL-023%20WHT-2-WHT-5%20JACKET%20INSTALLATION/COMMENTS/Rev%20C/GMC" TargetMode="External"/><Relationship Id="rId29" Type="http://schemas.openxmlformats.org/officeDocument/2006/relationships/hyperlink" Target="../../2207/DOCUMENTS/NAVAL%20MARINE/MOORIGN%20ANALYSIS/2207-ZZ-CL-004-WHT-1-WHT-3%20Pipe%20Laying/Report/Rev%20B" TargetMode="External"/><Relationship Id="rId24" Type="http://schemas.openxmlformats.org/officeDocument/2006/relationships/hyperlink" Target="../../2207/DOCUMENTS/NAVAL%20MARINE/MOORIGN%20ANALYSIS/2207-ZZ-CL-025-WHT-1-WHT-3-ULRP-JACKET%20INSTALLATION/COMMENTS/Rev%20B/CLIENT" TargetMode="External"/><Relationship Id="rId40" Type="http://schemas.openxmlformats.org/officeDocument/2006/relationships/hyperlink" Target="../../2207/DOCUMENTS/NAVAL%20MARINE/STABILITY%20ANALYSIS/CC%20PIPES/2207-ZZ-CL-032%202207%20CC%20PIPES%20TRIP%2006@CB-7/COMMENTS/Rev%20B/GMC" TargetMode="External"/><Relationship Id="rId45" Type="http://schemas.openxmlformats.org/officeDocument/2006/relationships/hyperlink" Target="../../2207/DOCUMENTS/NAVAL%20MARINE/MOORIGN%20ANALYSIS/2207-ZZ-CL-017-RB-WHT-3-RISERS-EAST%20ANDWEST%20FACES/COMMENTS/Rev%20B/GMC" TargetMode="External"/><Relationship Id="rId66" Type="http://schemas.openxmlformats.org/officeDocument/2006/relationships/hyperlink" Target="..\DOCUMENTS\NAVAL%20MARINE\MOORIGN%20ANALYSIS\2207-ZZ-CL-022\Rev%20B" TargetMode="External"/><Relationship Id="rId87" Type="http://schemas.openxmlformats.org/officeDocument/2006/relationships/hyperlink" Target="../DOCUMENTS/NAVAL%20MARINE/STABILITY%20ANALYSIS/CC%20PIPES/2207-ZZ-CL-136%20TRIP%208/COMMENTS/Rev%20B/CLIENT" TargetMode="External"/><Relationship Id="rId110" Type="http://schemas.openxmlformats.org/officeDocument/2006/relationships/hyperlink" Target="..\DOCUMENTS\NAVAL%20MARINE\MOORIGN%20ANALYSIS\2207-ZZ-CL-119\REV%20B\REPORT" TargetMode="External"/><Relationship Id="rId115" Type="http://schemas.openxmlformats.org/officeDocument/2006/relationships/hyperlink" Target="../DOCUMENTS/NAVAL%20MARINE/MOORIGN%20ANALYSIS/2207-ZZ-CL-119/REV%20B/COMMENTS/Rev%20B/CLIENT" TargetMode="External"/><Relationship Id="rId131" Type="http://schemas.openxmlformats.org/officeDocument/2006/relationships/hyperlink" Target="..\DOCUMENTS\NAVAL%20MARINE\MOORIGN%20ANALYSIS\2207-ZZ-CL-125\REV-B\COMMENTS\CLIENT" TargetMode="External"/><Relationship Id="rId136" Type="http://schemas.openxmlformats.org/officeDocument/2006/relationships/hyperlink" Target="..\DOCUMENTS\NAVAL%20MARINE\MOORIGN%20ANALYSIS\2207-ZZ-CL-119\COMMENTS\REV-C\CLIENT" TargetMode="External"/><Relationship Id="rId61" Type="http://schemas.openxmlformats.org/officeDocument/2006/relationships/hyperlink" Target="..\DOCUMENTS\NAVAL%20MARINE\MOORIGN%20ANALYSIS\2207-ZZ-CL-102" TargetMode="External"/><Relationship Id="rId82" Type="http://schemas.openxmlformats.org/officeDocument/2006/relationships/hyperlink" Target="../DOCUMENTS/NAVAL%20MARINE/STABILITY%20ANALYSIS/CC%20PIPES/2207-ZZ-CL-135%20TRIP%207/COMMENTS/Rev%20B/CLIENT" TargetMode="External"/><Relationship Id="rId152" Type="http://schemas.openxmlformats.org/officeDocument/2006/relationships/hyperlink" Target="..\DOCUMENTS\NAVAL%20MARINE\MOORIGN%20ANALYSIS\2207-ZZ-CL-103-WHT-4%20N%20WHT-6\REV-C\comments\CLIENT" TargetMode="External"/><Relationship Id="rId19" Type="http://schemas.openxmlformats.org/officeDocument/2006/relationships/hyperlink" Target="../../2207/DOCUMENTS/NAVAL%20MARINE/MOORIGN%20ANALYSIS/2207-ZZ-CL-001-PIPELAYING%20FROM%20ULRP%20TO%20WHT-5/REV-C/REPORT" TargetMode="External"/><Relationship Id="rId14" Type="http://schemas.openxmlformats.org/officeDocument/2006/relationships/hyperlink" Target="../../2207/DOCUMENTS/NAVAL%20MARINE/MOORIGN%20ANALYSIS/2207-ZZ-CL-003%20PIPELAYING%20FROM%20WHT-3%20TO%20ULRP/Rev-C/REPORT" TargetMode="External"/><Relationship Id="rId30" Type="http://schemas.openxmlformats.org/officeDocument/2006/relationships/hyperlink" Target="../../2207/DOCUMENTS/NAVAL%20MARINE/TOWAGE%20ANALYSIS/2207-ZZ-CL-154%202207%20Trip%201%20Awalco-I%20BP%20Calc/COMMENTS/Rev%20B/CLIENT" TargetMode="External"/><Relationship Id="rId35" Type="http://schemas.openxmlformats.org/officeDocument/2006/relationships/hyperlink" Target="../../2207/DOCUMENTS/NAVAL%20MARINE/MOORIGN%20ANALYSIS/2207-ZZ-CL-004-WHT-1-WHT-3%20Pipe%20Laying/COMMENTS/Rev%20B/CLIENT" TargetMode="External"/><Relationship Id="rId56" Type="http://schemas.openxmlformats.org/officeDocument/2006/relationships/hyperlink" Target="../DOCUMENTS/NAVAL%20MARINE/MOORIGN%20ANALYSIS/2207-ZZ-CL-101/COMMENTS/Rev%20B/GMC" TargetMode="External"/><Relationship Id="rId77" Type="http://schemas.openxmlformats.org/officeDocument/2006/relationships/hyperlink" Target="..\DOCUMENTS\NAVAL%20MARINE\MOORIGN%20ANALYSIS\2207-ZZ-CL-157\Rev%20B" TargetMode="External"/><Relationship Id="rId100" Type="http://schemas.openxmlformats.org/officeDocument/2006/relationships/hyperlink" Target="../DOCUMENTS/NAVAL%20MARINE/STABILITY%20ANALYSIS/2207-ZZ-CL-156%20Cable%20Tray%20Trip%20CB7/Rev%200/Report" TargetMode="External"/><Relationship Id="rId105" Type="http://schemas.openxmlformats.org/officeDocument/2006/relationships/hyperlink" Target="../DOCUMENTS/NAVAL%20MARINE/STABILITY%20ANALYSIS/CC%20PIPES/2207-ZZ-CL-130%20TRIP%202/COMMENTS/Rev%200/CLIENT" TargetMode="External"/><Relationship Id="rId126" Type="http://schemas.openxmlformats.org/officeDocument/2006/relationships/hyperlink" Target="..\DOCUMENTS\NAVAL%20MARINE\MOORIGN%20ANALYSIS\2207-ZZ-CL-125\REV-B\COMMENTS\MWS" TargetMode="External"/><Relationship Id="rId147" Type="http://schemas.openxmlformats.org/officeDocument/2006/relationships/hyperlink" Target="..\DOCUMENTS\NAVAL%20MARINE\MOORIGN%20ANALYSIS\2207-ZZ-CL-103-WHT-4%20N%20WHT-6\REV-B\comments\mws" TargetMode="External"/><Relationship Id="rId8" Type="http://schemas.openxmlformats.org/officeDocument/2006/relationships/hyperlink" Target="../../2207/DOCUMENTS/NAVAL%20MARINE/STABILITY%20ANALYSIS/CC%20PIPES/2207-ZZ-CL-030%202207%20CC%20PIPES%20TRIP%2001@AWALCO-I/COMMENTS/Rev%20B/CLIENT" TargetMode="External"/><Relationship Id="rId51" Type="http://schemas.openxmlformats.org/officeDocument/2006/relationships/hyperlink" Target="../DOCUMENTS/NAVAL%20MARINE/MOORIGN%20ANALYSIS/2207-ZZ-CL-101/Rev%20B" TargetMode="External"/><Relationship Id="rId72" Type="http://schemas.openxmlformats.org/officeDocument/2006/relationships/hyperlink" Target="..\DOCUMENTS\NAVAL%20MARINE\MOORIGN%20ANALYSIS\2207-ZZ-CL-112\Rev%200" TargetMode="External"/><Relationship Id="rId93" Type="http://schemas.openxmlformats.org/officeDocument/2006/relationships/hyperlink" Target="../DOCUMENTS/NAVAL%20MARINE/STABILITY%20ANALYSIS/CC%20PIPES/2207-ZZ-CL-137%20TRIP%209/COMMENTS/Rev%20B/CLIENT" TargetMode="External"/><Relationship Id="rId98" Type="http://schemas.openxmlformats.org/officeDocument/2006/relationships/hyperlink" Target="../DOCUMENTS/NAVAL%20MARINE/STABILITY%20ANALYSIS/CC%20PIPES/2207-ZZ-CL-137%20TRIP%209/COMMENTS/Rev%20B/GMC" TargetMode="External"/><Relationship Id="rId121" Type="http://schemas.openxmlformats.org/officeDocument/2006/relationships/hyperlink" Target="..\DOCUMENTS\NAVAL%20MARINE\MOORIGN%20ANALYSIS\2207-ZZ-CL-020\COMMENTS\REV-B\CLIENT" TargetMode="External"/><Relationship Id="rId142" Type="http://schemas.openxmlformats.org/officeDocument/2006/relationships/hyperlink" Target="..\DOCUMENTS\NAVAL%20MARINE\MOORIGN%20ANALYSIS\2207-ZZ-CL-127\REV-C\COMMENTS\CLIENT" TargetMode="External"/><Relationship Id="rId3" Type="http://schemas.openxmlformats.org/officeDocument/2006/relationships/hyperlink" Target="../../2207/DOCUMENTS/NAVAL%20MARINE/MOORIGN%20ANALYSIS/2207-ZZ-CL-023%20WHT-2-WHT-5%20JACKET%20INSTALLATION/COMMENTS/Rev%20C/CLIENT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2207/DRAWING/2207-NN-0141/Rev%20A" TargetMode="External"/><Relationship Id="rId671" Type="http://schemas.openxmlformats.org/officeDocument/2006/relationships/hyperlink" Target="../DRAWINGS/2207-NN-1108/COMMENTS/Rev%201/CLIENT" TargetMode="External"/><Relationship Id="rId769" Type="http://schemas.openxmlformats.org/officeDocument/2006/relationships/hyperlink" Target="../DRAWINGS/2207-NN-1102/REV-B" TargetMode="External"/><Relationship Id="rId21" Type="http://schemas.openxmlformats.org/officeDocument/2006/relationships/hyperlink" Target="../../../DRAWING/2207-NN-0034/REV-A" TargetMode="External"/><Relationship Id="rId324" Type="http://schemas.openxmlformats.org/officeDocument/2006/relationships/hyperlink" Target="../../2207/DRAWING/2207-NN-0110/COMMENTS/Rev%20B/CLIENT" TargetMode="External"/><Relationship Id="rId531" Type="http://schemas.openxmlformats.org/officeDocument/2006/relationships/hyperlink" Target="../DRAWINGS/2207-NN-1117/Rev%20A" TargetMode="External"/><Relationship Id="rId629" Type="http://schemas.openxmlformats.org/officeDocument/2006/relationships/hyperlink" Target="../DRAWINGS/2207-NN-1137/REV-A" TargetMode="External"/><Relationship Id="rId170" Type="http://schemas.openxmlformats.org/officeDocument/2006/relationships/hyperlink" Target="../../2207/DRAWING/2207-NN-0077/COMMENTS/Rev%20A/GMC" TargetMode="External"/><Relationship Id="rId268" Type="http://schemas.openxmlformats.org/officeDocument/2006/relationships/hyperlink" Target="../../2207/DRAWING/2207-NN-0096/Rev%20A" TargetMode="External"/><Relationship Id="rId475" Type="http://schemas.openxmlformats.org/officeDocument/2006/relationships/hyperlink" Target="../DRAWINGS/2207-NN-1046/Rev%20C" TargetMode="External"/><Relationship Id="rId682" Type="http://schemas.openxmlformats.org/officeDocument/2006/relationships/hyperlink" Target="../DRAWINGS/2207-NN-0156/COMMENTS/Rev%20A/CLIENT" TargetMode="External"/><Relationship Id="rId32" Type="http://schemas.openxmlformats.org/officeDocument/2006/relationships/hyperlink" Target="..\..\..\DRAWING\2207-NN-0052\REV-A" TargetMode="External"/><Relationship Id="rId128" Type="http://schemas.openxmlformats.org/officeDocument/2006/relationships/hyperlink" Target="../../2207/DRAWING/2207-NN-0085/Rev%20A" TargetMode="External"/><Relationship Id="rId335" Type="http://schemas.openxmlformats.org/officeDocument/2006/relationships/hyperlink" Target="../../2207/DRAWING/2207-NN-0113/COMMENTS/Rev%20A/GMC" TargetMode="External"/><Relationship Id="rId542" Type="http://schemas.openxmlformats.org/officeDocument/2006/relationships/hyperlink" Target="..\DRAWINGS\2207-NN-1099\Rev%20A" TargetMode="External"/><Relationship Id="rId181" Type="http://schemas.openxmlformats.org/officeDocument/2006/relationships/hyperlink" Target="../../2207/DRAWING/2207-NN-0144/COMMENTS/Rev%20A/GMC" TargetMode="External"/><Relationship Id="rId402" Type="http://schemas.openxmlformats.org/officeDocument/2006/relationships/hyperlink" Target="../DRAWINGS/2207-NN-1008/COMMENTS/Rev%20A/CLIENT" TargetMode="External"/><Relationship Id="rId279" Type="http://schemas.openxmlformats.org/officeDocument/2006/relationships/hyperlink" Target="../../2207/DRAWING/2207-NN-0115/Rev%20B" TargetMode="External"/><Relationship Id="rId486" Type="http://schemas.openxmlformats.org/officeDocument/2006/relationships/hyperlink" Target="../DRAWINGS/2207-NN-1046/COMMENTS/Rev%20C/CLIENT" TargetMode="External"/><Relationship Id="rId693" Type="http://schemas.openxmlformats.org/officeDocument/2006/relationships/hyperlink" Target="../DRAWINGS/2207-NN-1074/COMMENTS/Rev%20A/CLIENT" TargetMode="External"/><Relationship Id="rId707" Type="http://schemas.openxmlformats.org/officeDocument/2006/relationships/hyperlink" Target="../DRAWINGS/2207-NN-0156/COMMENTS/Rev%202/CLIENT" TargetMode="External"/><Relationship Id="rId43" Type="http://schemas.openxmlformats.org/officeDocument/2006/relationships/hyperlink" Target="../../2207/DRAWING/2207-NN-0012/COMMENTS/Rev%20A/GMC" TargetMode="External"/><Relationship Id="rId139" Type="http://schemas.openxmlformats.org/officeDocument/2006/relationships/hyperlink" Target="../../2207/DRAWING/2207-NN-0097/REV%20A" TargetMode="External"/><Relationship Id="rId346" Type="http://schemas.openxmlformats.org/officeDocument/2006/relationships/hyperlink" Target="../DRAWINGS/2207-NN-1003/Rev%20A" TargetMode="External"/><Relationship Id="rId553" Type="http://schemas.openxmlformats.org/officeDocument/2006/relationships/hyperlink" Target="../DRAWINGS/2207-NN-1091/COMMENTS/Rev%20A/GMC" TargetMode="External"/><Relationship Id="rId760" Type="http://schemas.openxmlformats.org/officeDocument/2006/relationships/hyperlink" Target="../DRAWINGS/2207-NN-1162/REV%20B" TargetMode="External"/><Relationship Id="rId192" Type="http://schemas.openxmlformats.org/officeDocument/2006/relationships/hyperlink" Target="../../2207/DRAWING/2207-NN-0111/COMMENTS/Rev%20A/GMC" TargetMode="External"/><Relationship Id="rId206" Type="http://schemas.openxmlformats.org/officeDocument/2006/relationships/hyperlink" Target="../../2207/DRAWING/2207-NN-0111/REV%20C" TargetMode="External"/><Relationship Id="rId413" Type="http://schemas.openxmlformats.org/officeDocument/2006/relationships/hyperlink" Target="../DRAWINGS/2207-NN-1036/COMMENTS/Rev%20A/CLIENT" TargetMode="External"/><Relationship Id="rId497" Type="http://schemas.openxmlformats.org/officeDocument/2006/relationships/hyperlink" Target="../DRAWINGS/2207-NN-1088/Rev%20A" TargetMode="External"/><Relationship Id="rId620" Type="http://schemas.openxmlformats.org/officeDocument/2006/relationships/hyperlink" Target="../DRAWINGS/2207-NN-1161/Rev%20A" TargetMode="External"/><Relationship Id="rId718" Type="http://schemas.openxmlformats.org/officeDocument/2006/relationships/hyperlink" Target="../DRAWINGS/2207-NN-1112/COMMENTS/Rev%200/GMC" TargetMode="External"/><Relationship Id="rId12" Type="http://schemas.openxmlformats.org/officeDocument/2006/relationships/hyperlink" Target="../../../DRAWING/2207-NN-0019/REV-A" TargetMode="External"/><Relationship Id="rId108" Type="http://schemas.openxmlformats.org/officeDocument/2006/relationships/hyperlink" Target="../../2207/DRAWING/2207-NN-0070/COMMENTS/Rev%20A/GMC" TargetMode="External"/><Relationship Id="rId315" Type="http://schemas.openxmlformats.org/officeDocument/2006/relationships/hyperlink" Target="../../2207/DRAWING/2207-NN-0079/COMMENTS/Rev%20B/CLIENT" TargetMode="External"/><Relationship Id="rId357" Type="http://schemas.openxmlformats.org/officeDocument/2006/relationships/hyperlink" Target="../DRAWINGS/2207-NN-1031/Rev%20A" TargetMode="External"/><Relationship Id="rId522" Type="http://schemas.openxmlformats.org/officeDocument/2006/relationships/hyperlink" Target="..\DRAWINGS\2207-NN-1071\REV-A" TargetMode="External"/><Relationship Id="rId54" Type="http://schemas.openxmlformats.org/officeDocument/2006/relationships/hyperlink" Target="../../2207/DRAWING/2207-NN-0016/COMMENTS/Rev%20A/GMC" TargetMode="External"/><Relationship Id="rId96" Type="http://schemas.openxmlformats.org/officeDocument/2006/relationships/hyperlink" Target="../../2207/DRAWING/2207-NN-0068/COMMENTS/Rev%20A/CLIENT" TargetMode="External"/><Relationship Id="rId161" Type="http://schemas.openxmlformats.org/officeDocument/2006/relationships/hyperlink" Target="../../2207/DRAWING/2207-NN-0114/REV%20A" TargetMode="External"/><Relationship Id="rId217" Type="http://schemas.openxmlformats.org/officeDocument/2006/relationships/hyperlink" Target="../../2207/DRAWING/2207-NN-0089/COMMENTS/Rev%20A/CLIENT" TargetMode="External"/><Relationship Id="rId399" Type="http://schemas.openxmlformats.org/officeDocument/2006/relationships/hyperlink" Target="../DRAWINGS/2207-NN-1001/COMMENTS/Rev%20A/CLIENT" TargetMode="External"/><Relationship Id="rId564" Type="http://schemas.openxmlformats.org/officeDocument/2006/relationships/hyperlink" Target="../DRAWINGS/2207-NN-1114/COMMENTS/Rev%200/GMC" TargetMode="External"/><Relationship Id="rId771" Type="http://schemas.openxmlformats.org/officeDocument/2006/relationships/hyperlink" Target="../DRAWINGS/2207-NN-1124/REV-A" TargetMode="External"/><Relationship Id="rId259" Type="http://schemas.openxmlformats.org/officeDocument/2006/relationships/hyperlink" Target="../../2207/DRAWING/2207-NN-0092/COMMENTS/Rev%20B/CLIENT" TargetMode="External"/><Relationship Id="rId424" Type="http://schemas.openxmlformats.org/officeDocument/2006/relationships/hyperlink" Target="../DRAWINGS/2207-NN-1095/Rev%20A" TargetMode="External"/><Relationship Id="rId466" Type="http://schemas.openxmlformats.org/officeDocument/2006/relationships/hyperlink" Target="../DRAWINGS/2207-NN-1041/COMMENTS/Rev%20B/CLIENT" TargetMode="External"/><Relationship Id="rId631" Type="http://schemas.openxmlformats.org/officeDocument/2006/relationships/hyperlink" Target="../DRAWINGS/2207-NN-1139/REV-A" TargetMode="External"/><Relationship Id="rId673" Type="http://schemas.openxmlformats.org/officeDocument/2006/relationships/hyperlink" Target="../DRAWINGS/2207-NN-1112/COMMENTS/Rev%200/CLIENT" TargetMode="External"/><Relationship Id="rId729" Type="http://schemas.openxmlformats.org/officeDocument/2006/relationships/hyperlink" Target="../DRAWINGS/2207-NN-0134/COMMENTS/Rev%20A/CLIENT" TargetMode="External"/><Relationship Id="rId23" Type="http://schemas.openxmlformats.org/officeDocument/2006/relationships/hyperlink" Target="..\..\..\DRAWING\2207-NN-0037\REV-A" TargetMode="External"/><Relationship Id="rId119" Type="http://schemas.openxmlformats.org/officeDocument/2006/relationships/hyperlink" Target="../../2207/DRAWING/2207-NN-0079/COMMENTS/Rev%20A/GMC" TargetMode="External"/><Relationship Id="rId270" Type="http://schemas.openxmlformats.org/officeDocument/2006/relationships/hyperlink" Target="../../2207/DRAWING/2207-NN-0115/Rev%20A" TargetMode="External"/><Relationship Id="rId326" Type="http://schemas.openxmlformats.org/officeDocument/2006/relationships/hyperlink" Target="../../2207/DRAWING/2207-NN-0110/COMMENTS/Rev%20A/CLIENT" TargetMode="External"/><Relationship Id="rId533" Type="http://schemas.openxmlformats.org/officeDocument/2006/relationships/hyperlink" Target="..\DRAWINGS\2207-NN-1097\COMMENTS\Rev%20A\CLIENT" TargetMode="External"/><Relationship Id="rId65" Type="http://schemas.openxmlformats.org/officeDocument/2006/relationships/hyperlink" Target="../../2207/DRAWING/2207-NN-0006/COMMENTS/Rev%20A/GMC" TargetMode="External"/><Relationship Id="rId130" Type="http://schemas.openxmlformats.org/officeDocument/2006/relationships/hyperlink" Target="../../2207/DRAWING/2207-NN-0101/Rev%20A" TargetMode="External"/><Relationship Id="rId368" Type="http://schemas.openxmlformats.org/officeDocument/2006/relationships/hyperlink" Target="../DRAWINGS/2207-NN-1058/Rev%20A" TargetMode="External"/><Relationship Id="rId575" Type="http://schemas.openxmlformats.org/officeDocument/2006/relationships/hyperlink" Target="../DRAWINGS/2207-NN-1073/COMMENTS/Rev%20A/GMC" TargetMode="External"/><Relationship Id="rId740" Type="http://schemas.openxmlformats.org/officeDocument/2006/relationships/hyperlink" Target="../DRAWINGS/2207-NN-1136/COMMENTS/Rev%20A/CLIENT" TargetMode="External"/><Relationship Id="rId782" Type="http://schemas.openxmlformats.org/officeDocument/2006/relationships/hyperlink" Target="../DRAWINGS/2207-NN-1165/COMMENTS/Rev%20A/CLIENT" TargetMode="External"/><Relationship Id="rId172" Type="http://schemas.openxmlformats.org/officeDocument/2006/relationships/hyperlink" Target="../../2207/DRAWING/2207-NN-0081/COMMENTS/Rev%20A/GMC" TargetMode="External"/><Relationship Id="rId228" Type="http://schemas.openxmlformats.org/officeDocument/2006/relationships/hyperlink" Target="../../2207/DRAWING/2207-NN-0076/COMMENTS/Rev%20A/GMC" TargetMode="External"/><Relationship Id="rId435" Type="http://schemas.openxmlformats.org/officeDocument/2006/relationships/hyperlink" Target="../DRAWINGS/2207-NN-1108/COMMENTS/Rev%20A/GMC" TargetMode="External"/><Relationship Id="rId477" Type="http://schemas.openxmlformats.org/officeDocument/2006/relationships/hyperlink" Target="../DRAWINGS/2207-NN-1060/COMMENTS/Rev%20A/CLIENT" TargetMode="External"/><Relationship Id="rId600" Type="http://schemas.openxmlformats.org/officeDocument/2006/relationships/hyperlink" Target="../DRAWINGS/2207-NN-1106/COMMENTS/Rev%201/CLIENT" TargetMode="External"/><Relationship Id="rId642" Type="http://schemas.openxmlformats.org/officeDocument/2006/relationships/hyperlink" Target="../DRAWINGS/2207-NN-0133/Rev%20A" TargetMode="External"/><Relationship Id="rId684" Type="http://schemas.openxmlformats.org/officeDocument/2006/relationships/hyperlink" Target="../DRAWINGS/2207-NN-1126/COMMENTS/Rev%20A/CLIENT" TargetMode="External"/><Relationship Id="rId281" Type="http://schemas.openxmlformats.org/officeDocument/2006/relationships/hyperlink" Target="../../2207/DRAWING/2207-NN-0154/COMMENTS/Rev%20B/GMC" TargetMode="External"/><Relationship Id="rId337" Type="http://schemas.openxmlformats.org/officeDocument/2006/relationships/hyperlink" Target="../../2207/DRAWING/2207-NN-0093/COMMENTS/Rev%20A/GMC" TargetMode="External"/><Relationship Id="rId502" Type="http://schemas.openxmlformats.org/officeDocument/2006/relationships/hyperlink" Target="../DRAWINGS/2207-NN-1109/Rev%200" TargetMode="External"/><Relationship Id="rId34" Type="http://schemas.openxmlformats.org/officeDocument/2006/relationships/hyperlink" Target="..\..\..\DRAWING\2207-NN-0056\REV-A" TargetMode="External"/><Relationship Id="rId76" Type="http://schemas.openxmlformats.org/officeDocument/2006/relationships/hyperlink" Target="../../2207/DRAWING/2207-NN-0064/COMMENTS/Rev%20A/GMC" TargetMode="External"/><Relationship Id="rId141" Type="http://schemas.openxmlformats.org/officeDocument/2006/relationships/hyperlink" Target="../../2207/DRAWING/2207-NN-0142/COMMENTS/Rev%20A/CLIENT" TargetMode="External"/><Relationship Id="rId379" Type="http://schemas.openxmlformats.org/officeDocument/2006/relationships/hyperlink" Target="../DRAWINGS/2207-NN-1046/COMMENTS/Rev%20A/GMC" TargetMode="External"/><Relationship Id="rId544" Type="http://schemas.openxmlformats.org/officeDocument/2006/relationships/hyperlink" Target="..\DRAWINGS\2207-NN-1091\Rev%20A" TargetMode="External"/><Relationship Id="rId586" Type="http://schemas.openxmlformats.org/officeDocument/2006/relationships/hyperlink" Target="..\DRAWINGS\2207-NN-1118\REV-0" TargetMode="External"/><Relationship Id="rId751" Type="http://schemas.openxmlformats.org/officeDocument/2006/relationships/hyperlink" Target="../DRAWINGS/2207-NN-1070/COMMENTS/Rev%200/CLIENT" TargetMode="External"/><Relationship Id="rId793" Type="http://schemas.openxmlformats.org/officeDocument/2006/relationships/hyperlink" Target="..\DRAWINGS\2207-NN-1124\REV-0" TargetMode="External"/><Relationship Id="rId807" Type="http://schemas.openxmlformats.org/officeDocument/2006/relationships/hyperlink" Target="..\DRAWINGS\2207-NN-1120\COMMENTS\REV-0\MWS" TargetMode="External"/><Relationship Id="rId7" Type="http://schemas.openxmlformats.org/officeDocument/2006/relationships/hyperlink" Target="..\..\..\DRAWING\2207-NN-0011\REV-A" TargetMode="External"/><Relationship Id="rId183" Type="http://schemas.openxmlformats.org/officeDocument/2006/relationships/hyperlink" Target="../../2207/DRAWING/2207-NN-0146/COMMENTS/Rev%20A/GMC" TargetMode="External"/><Relationship Id="rId239" Type="http://schemas.openxmlformats.org/officeDocument/2006/relationships/hyperlink" Target="../../2207/DRAWING/2207-NN-0089/COMMENTS/Rev%20A/GMC" TargetMode="External"/><Relationship Id="rId390" Type="http://schemas.openxmlformats.org/officeDocument/2006/relationships/hyperlink" Target="../DRAWINGS/2207-NN-1043/COMMENTS/Rev%20A/GMC" TargetMode="External"/><Relationship Id="rId404" Type="http://schemas.openxmlformats.org/officeDocument/2006/relationships/hyperlink" Target="../DRAWINGS/2207-NN-1013/COMMENTS/Rev%20A/CLIENT" TargetMode="External"/><Relationship Id="rId446" Type="http://schemas.openxmlformats.org/officeDocument/2006/relationships/hyperlink" Target="../DRAWINGS/2207-NN-1106/Rev%20A" TargetMode="External"/><Relationship Id="rId611" Type="http://schemas.openxmlformats.org/officeDocument/2006/relationships/hyperlink" Target="../DRAWINGS/2207-NN-1108/Rev%201" TargetMode="External"/><Relationship Id="rId653" Type="http://schemas.openxmlformats.org/officeDocument/2006/relationships/hyperlink" Target="../DRAWINGS/2207-NN-1159/REV-B" TargetMode="External"/><Relationship Id="rId250" Type="http://schemas.openxmlformats.org/officeDocument/2006/relationships/hyperlink" Target="../../2207/DRAWING/2207-NN-0111/COMMENTS/Rev%20B/GMC" TargetMode="External"/><Relationship Id="rId292" Type="http://schemas.openxmlformats.org/officeDocument/2006/relationships/hyperlink" Target="../../2207/DRAWING/2207-NN-0154/COMMENTS/Rev%20B/CLIENT" TargetMode="External"/><Relationship Id="rId306" Type="http://schemas.openxmlformats.org/officeDocument/2006/relationships/hyperlink" Target="../../2207/DRAWING/2207-NN-0097/COMMENTS/Rev%20A/CLIENT" TargetMode="External"/><Relationship Id="rId488" Type="http://schemas.openxmlformats.org/officeDocument/2006/relationships/hyperlink" Target="../DRAWINGS/2207-NN-1068/COMMENTS/Rev%20A/CLIENT" TargetMode="External"/><Relationship Id="rId695" Type="http://schemas.openxmlformats.org/officeDocument/2006/relationships/hyperlink" Target="../DRAWINGS/2207-NN-1076/COMMENTS/Rev%20A/CLIENT" TargetMode="External"/><Relationship Id="rId709" Type="http://schemas.openxmlformats.org/officeDocument/2006/relationships/hyperlink" Target="../DRAWINGS/2207-NN-1071/COMMENTS/Rev%20A/GMC" TargetMode="External"/><Relationship Id="rId45" Type="http://schemas.openxmlformats.org/officeDocument/2006/relationships/hyperlink" Target="../../2207/DRAWING/2207-NN-0022/COMMENTS/Rev%20A/GMC" TargetMode="External"/><Relationship Id="rId87" Type="http://schemas.openxmlformats.org/officeDocument/2006/relationships/hyperlink" Target="../../2207/DRAWING/2207-NN-0066/Rev%20C" TargetMode="External"/><Relationship Id="rId110" Type="http://schemas.openxmlformats.org/officeDocument/2006/relationships/hyperlink" Target="../../2207/DRAWING/2207-NN-0068/COMMENTS/Rev%20B/GMC" TargetMode="External"/><Relationship Id="rId348" Type="http://schemas.openxmlformats.org/officeDocument/2006/relationships/hyperlink" Target="../DRAWINGS/2207-NN-1008/Rev%20A" TargetMode="External"/><Relationship Id="rId513" Type="http://schemas.openxmlformats.org/officeDocument/2006/relationships/hyperlink" Target="../DRAWINGS/2207-NN-1070/Rev%20A" TargetMode="External"/><Relationship Id="rId555" Type="http://schemas.openxmlformats.org/officeDocument/2006/relationships/hyperlink" Target="../DRAWINGS/2207-NN-0124/COMMENTS/Rev%20A/GMC" TargetMode="External"/><Relationship Id="rId597" Type="http://schemas.openxmlformats.org/officeDocument/2006/relationships/hyperlink" Target="../DRAWINGS/2207-NN-0155/COMMENTS/Rev%20A/GMC" TargetMode="External"/><Relationship Id="rId720" Type="http://schemas.openxmlformats.org/officeDocument/2006/relationships/hyperlink" Target="../DRAWINGS/2207-NN-0125/COMMENTS/Rev%20A/CLIENT" TargetMode="External"/><Relationship Id="rId762" Type="http://schemas.openxmlformats.org/officeDocument/2006/relationships/hyperlink" Target="../DRAWINGS/2207-NN-1162/COMMENTS/Rev%20B/CLIENT" TargetMode="External"/><Relationship Id="rId818" Type="http://schemas.openxmlformats.org/officeDocument/2006/relationships/hyperlink" Target="..\DRAWINGS\2207-NN-1119\COMMENTS\REV-0\CLIENT" TargetMode="External"/><Relationship Id="rId152" Type="http://schemas.openxmlformats.org/officeDocument/2006/relationships/hyperlink" Target="../../2207/DRAWING/2207-NN-0094/COMMENTS/Rev%20B/GMC" TargetMode="External"/><Relationship Id="rId194" Type="http://schemas.openxmlformats.org/officeDocument/2006/relationships/hyperlink" Target="../../2207/DRAWING/2207-NN-0112/REV%20A" TargetMode="External"/><Relationship Id="rId208" Type="http://schemas.openxmlformats.org/officeDocument/2006/relationships/hyperlink" Target="../../2207/DRAWING/2207-NN-0103/Rev%20A" TargetMode="External"/><Relationship Id="rId415" Type="http://schemas.openxmlformats.org/officeDocument/2006/relationships/hyperlink" Target="../DRAWINGS/2207-NN-1041/COMMENTS/Rev%20A/CLIENT" TargetMode="External"/><Relationship Id="rId457" Type="http://schemas.openxmlformats.org/officeDocument/2006/relationships/hyperlink" Target="../DRAWINGS/2207-NN-1155/COMMENTS/Rev%20A/GMC" TargetMode="External"/><Relationship Id="rId622" Type="http://schemas.openxmlformats.org/officeDocument/2006/relationships/hyperlink" Target="../DRAWINGS/2207-NN-1130/REV-A" TargetMode="External"/><Relationship Id="rId261" Type="http://schemas.openxmlformats.org/officeDocument/2006/relationships/hyperlink" Target="../../2207/DRAWING/2207-NN-0121/COMMENTS/Rev%20A/CLIENT" TargetMode="External"/><Relationship Id="rId499" Type="http://schemas.openxmlformats.org/officeDocument/2006/relationships/hyperlink" Target="../DRAWINGS/2207-NN-1094/Rev%20A" TargetMode="External"/><Relationship Id="rId664" Type="http://schemas.openxmlformats.org/officeDocument/2006/relationships/hyperlink" Target="../DRAWINGS/2207-NN-1099/COMMENTS/Rev%20A/CLIENT" TargetMode="External"/><Relationship Id="rId14" Type="http://schemas.openxmlformats.org/officeDocument/2006/relationships/hyperlink" Target="../../../DRAWING/2207-NN-0022/REV-A" TargetMode="External"/><Relationship Id="rId56" Type="http://schemas.openxmlformats.org/officeDocument/2006/relationships/hyperlink" Target="../../2207/DRAWING/2207-NN-0026/COMMENTS/Rev%20A/GMC" TargetMode="External"/><Relationship Id="rId317" Type="http://schemas.openxmlformats.org/officeDocument/2006/relationships/hyperlink" Target="../../2207/DRAWING/2207-NN-0088/COMMENTS/Rev%20A/CLIENT" TargetMode="External"/><Relationship Id="rId359" Type="http://schemas.openxmlformats.org/officeDocument/2006/relationships/hyperlink" Target="../DRAWINGS/2207-NN-1036/Rev%20A" TargetMode="External"/><Relationship Id="rId524" Type="http://schemas.openxmlformats.org/officeDocument/2006/relationships/hyperlink" Target="../DRAWINGS/2207-NN-1096/COMMENTS/Rev%20A/CLIENT" TargetMode="External"/><Relationship Id="rId566" Type="http://schemas.openxmlformats.org/officeDocument/2006/relationships/hyperlink" Target="../DRAWINGS/2207-NN-1096/COMMENTS/Rev%20A/GMC" TargetMode="External"/><Relationship Id="rId731" Type="http://schemas.openxmlformats.org/officeDocument/2006/relationships/hyperlink" Target="../DRAWINGS/2207-NN-0136/COMMENTS/Rev%20A/CLIENT" TargetMode="External"/><Relationship Id="rId773" Type="http://schemas.openxmlformats.org/officeDocument/2006/relationships/hyperlink" Target="../DRAWINGS/2207-NN-1165/REV-A" TargetMode="External"/><Relationship Id="rId98" Type="http://schemas.openxmlformats.org/officeDocument/2006/relationships/hyperlink" Target="../../2207/DRAWING/2207-NN-0069/Rev%20A" TargetMode="External"/><Relationship Id="rId121" Type="http://schemas.openxmlformats.org/officeDocument/2006/relationships/hyperlink" Target="../../2207/DRAWING/2207-NN-0143/Rev%20A" TargetMode="External"/><Relationship Id="rId163" Type="http://schemas.openxmlformats.org/officeDocument/2006/relationships/hyperlink" Target="../../2207/DRAWING/2207-NN-0104/COMMENTS/Rev%20A/GMC" TargetMode="External"/><Relationship Id="rId219" Type="http://schemas.openxmlformats.org/officeDocument/2006/relationships/hyperlink" Target="../../2207/DRAWING/2207-NN-0153/Rev%20A" TargetMode="External"/><Relationship Id="rId370" Type="http://schemas.openxmlformats.org/officeDocument/2006/relationships/hyperlink" Target="../DRAWINGS/2207-NN-1001/COMMENTS/Rev%20A/GMC" TargetMode="External"/><Relationship Id="rId426" Type="http://schemas.openxmlformats.org/officeDocument/2006/relationships/hyperlink" Target="../DRAWINGS/2207-NN-1113/Rev%20A" TargetMode="External"/><Relationship Id="rId633" Type="http://schemas.openxmlformats.org/officeDocument/2006/relationships/hyperlink" Target="../DRAWINGS/2207-NN-1141/REV-A" TargetMode="External"/><Relationship Id="rId230" Type="http://schemas.openxmlformats.org/officeDocument/2006/relationships/hyperlink" Target="../../2207/DRAWING/2207-NN-0114/COMMENTS/Rev%20A/GMC" TargetMode="External"/><Relationship Id="rId468" Type="http://schemas.openxmlformats.org/officeDocument/2006/relationships/hyperlink" Target="../DRAWINGS/2207-NN-1066/COMMENTS/Rev%20A/GMC" TargetMode="External"/><Relationship Id="rId675" Type="http://schemas.openxmlformats.org/officeDocument/2006/relationships/hyperlink" Target="../DRAWINGS/2207-NN-1105/COMMENTS/Rev%200/CLIENT" TargetMode="External"/><Relationship Id="rId25" Type="http://schemas.openxmlformats.org/officeDocument/2006/relationships/hyperlink" Target="..\..\..\DRAWING\2207-NN-0041\REV-A" TargetMode="External"/><Relationship Id="rId67" Type="http://schemas.openxmlformats.org/officeDocument/2006/relationships/hyperlink" Target="../../2207/DRAWING/2207-NN-0019/COMMENTS/Rev%20A/GMC" TargetMode="External"/><Relationship Id="rId272" Type="http://schemas.openxmlformats.org/officeDocument/2006/relationships/hyperlink" Target="../../2207/DRAWING/2207-NN-0109/COMMENTS/Rev%20C/Client" TargetMode="External"/><Relationship Id="rId328" Type="http://schemas.openxmlformats.org/officeDocument/2006/relationships/hyperlink" Target="../../2207/DRAWING/2207-NN-0093/COMMENTS/Rev%20A/CLIENT" TargetMode="External"/><Relationship Id="rId535" Type="http://schemas.openxmlformats.org/officeDocument/2006/relationships/hyperlink" Target="../DRAWINGS/2207-NN-1072/Rev%20A" TargetMode="External"/><Relationship Id="rId577" Type="http://schemas.openxmlformats.org/officeDocument/2006/relationships/hyperlink" Target="..\DRAWINGS\2207-NN-1091\COMMENTS\Rev%20A\CLIENT" TargetMode="External"/><Relationship Id="rId700" Type="http://schemas.openxmlformats.org/officeDocument/2006/relationships/hyperlink" Target="../DRAWINGS/2207-NN-1125/COMMENTS/Rev%201/CLIENT" TargetMode="External"/><Relationship Id="rId742" Type="http://schemas.openxmlformats.org/officeDocument/2006/relationships/hyperlink" Target="../DRAWINGS/2207-NN-1138/COMMENTS/Rev%20A/CLIENT" TargetMode="External"/><Relationship Id="rId132" Type="http://schemas.openxmlformats.org/officeDocument/2006/relationships/hyperlink" Target="../../2207/DRAWING/2207-NN-0148/Rev%20A" TargetMode="External"/><Relationship Id="rId174" Type="http://schemas.openxmlformats.org/officeDocument/2006/relationships/hyperlink" Target="../../2207/DRAWING/2207-NN-0083/COMMENTS/Rev%20A/GMC" TargetMode="External"/><Relationship Id="rId381" Type="http://schemas.openxmlformats.org/officeDocument/2006/relationships/hyperlink" Target="../DRAWINGS/2207-NN-1056/COMMENTS/Rev%20A/GMC" TargetMode="External"/><Relationship Id="rId602" Type="http://schemas.openxmlformats.org/officeDocument/2006/relationships/hyperlink" Target="..\DRAWINGS\2207-NN-1105\COMMENTS\Rev%20A\CLIENT" TargetMode="External"/><Relationship Id="rId784" Type="http://schemas.openxmlformats.org/officeDocument/2006/relationships/hyperlink" Target="../DRAWINGS/2207-NN-1127/COMMENTS/Rev%20A/CLIENT" TargetMode="External"/><Relationship Id="rId241" Type="http://schemas.openxmlformats.org/officeDocument/2006/relationships/hyperlink" Target="../../2207/DRAWING/2207-NN-0105/COMMENTS/Rev%20A/GMC" TargetMode="External"/><Relationship Id="rId437" Type="http://schemas.openxmlformats.org/officeDocument/2006/relationships/hyperlink" Target="../DRAWINGS/2207-NN-1093/COMMENTS/Rev%20A/CLIENT" TargetMode="External"/><Relationship Id="rId479" Type="http://schemas.openxmlformats.org/officeDocument/2006/relationships/hyperlink" Target="../DRAWINGS/2207-NN-1063/COMMENTS/Rev%20A/CLIENT" TargetMode="External"/><Relationship Id="rId644" Type="http://schemas.openxmlformats.org/officeDocument/2006/relationships/hyperlink" Target="../DRAWINGS/2207-NN-0135/Rev%20A" TargetMode="External"/><Relationship Id="rId686" Type="http://schemas.openxmlformats.org/officeDocument/2006/relationships/hyperlink" Target="../DRAWINGS/2207-NN-0156/COMMENTS/Rev%200/CLIENT" TargetMode="External"/><Relationship Id="rId36" Type="http://schemas.openxmlformats.org/officeDocument/2006/relationships/hyperlink" Target="..\..\..\DRAWING\2207-NN-0059\REV-A" TargetMode="External"/><Relationship Id="rId283" Type="http://schemas.openxmlformats.org/officeDocument/2006/relationships/hyperlink" Target="../../2207/DRAWING/2207-NN-0110/Rev%20B" TargetMode="External"/><Relationship Id="rId339" Type="http://schemas.openxmlformats.org/officeDocument/2006/relationships/hyperlink" Target="../../2207/DRAWING/2207-NN-0118/COMMENTS/Rev%20A/CLIENT" TargetMode="External"/><Relationship Id="rId490" Type="http://schemas.openxmlformats.org/officeDocument/2006/relationships/hyperlink" Target="..\DRAWINGS\2207-NN-1067\COMMENTS\Rev%200\GMC" TargetMode="External"/><Relationship Id="rId504" Type="http://schemas.openxmlformats.org/officeDocument/2006/relationships/hyperlink" Target="../DRAWINGS/2207-NN-1088/COMMENTS/Rev%20A/GMC" TargetMode="External"/><Relationship Id="rId546" Type="http://schemas.openxmlformats.org/officeDocument/2006/relationships/hyperlink" Target="../DRAWINGS/2207-NN-0123/COMMENTS/Rev%20A/CLIENT" TargetMode="External"/><Relationship Id="rId711" Type="http://schemas.openxmlformats.org/officeDocument/2006/relationships/hyperlink" Target="../DRAWINGS/2207-NN-1077/COMMENTS/Rev%20A/GMC" TargetMode="External"/><Relationship Id="rId753" Type="http://schemas.openxmlformats.org/officeDocument/2006/relationships/hyperlink" Target="../DRAWINGS/2207-NN-1106/COMMENTS/Rev%20A/GMC" TargetMode="External"/><Relationship Id="rId78" Type="http://schemas.openxmlformats.org/officeDocument/2006/relationships/hyperlink" Target="../../2207/DRAWING/2207-NN-0009/COMMENTS/Rev%20A/GMC" TargetMode="External"/><Relationship Id="rId101" Type="http://schemas.openxmlformats.org/officeDocument/2006/relationships/hyperlink" Target="../../2207/DRAWING/2207-NN-0068/COMMENTS/Rev%20B/CLIENT" TargetMode="External"/><Relationship Id="rId143" Type="http://schemas.openxmlformats.org/officeDocument/2006/relationships/hyperlink" Target="../../2207/DRAWING/2207-NN-0080/REV%20A" TargetMode="External"/><Relationship Id="rId185" Type="http://schemas.openxmlformats.org/officeDocument/2006/relationships/hyperlink" Target="../../2207/DRAWING/2207-NN-0148/COMMENTS/Rev%20A/GMC" TargetMode="External"/><Relationship Id="rId350" Type="http://schemas.openxmlformats.org/officeDocument/2006/relationships/hyperlink" Target="../DRAWINGS/2207-NN-1013/Rev%20A" TargetMode="External"/><Relationship Id="rId406" Type="http://schemas.openxmlformats.org/officeDocument/2006/relationships/hyperlink" Target="../DRAWINGS/2207-NN-1018/COMMENTS/Rev%20A/CLIENT" TargetMode="External"/><Relationship Id="rId588" Type="http://schemas.openxmlformats.org/officeDocument/2006/relationships/hyperlink" Target="..\DRAWINGS\2207-NN-1123\REV-0" TargetMode="External"/><Relationship Id="rId795" Type="http://schemas.openxmlformats.org/officeDocument/2006/relationships/hyperlink" Target="..\DRAWINGS\2207-NN-0122\REV-0" TargetMode="External"/><Relationship Id="rId809" Type="http://schemas.openxmlformats.org/officeDocument/2006/relationships/hyperlink" Target="..\DRAWINGS\2207-NN-1104\COMMENTS\REV-0\MWS" TargetMode="External"/><Relationship Id="rId9" Type="http://schemas.openxmlformats.org/officeDocument/2006/relationships/hyperlink" Target="..\..\..\DRAWING\2207-NN-0014\REV-A" TargetMode="External"/><Relationship Id="rId210" Type="http://schemas.openxmlformats.org/officeDocument/2006/relationships/hyperlink" Target="../../2207/DRAWING/2207-NN-0085/Rev%20B" TargetMode="External"/><Relationship Id="rId392" Type="http://schemas.openxmlformats.org/officeDocument/2006/relationships/hyperlink" Target="../DRAWINGS/2207-NN-1053/COMMENTS/Rev%20A/GMC" TargetMode="External"/><Relationship Id="rId448" Type="http://schemas.openxmlformats.org/officeDocument/2006/relationships/hyperlink" Target="../DRAWINGS/2207-NN-1001/Rev%20B" TargetMode="External"/><Relationship Id="rId613" Type="http://schemas.openxmlformats.org/officeDocument/2006/relationships/hyperlink" Target="../DRAWINGS/2207-NN-1112/Rev%200" TargetMode="External"/><Relationship Id="rId655" Type="http://schemas.openxmlformats.org/officeDocument/2006/relationships/hyperlink" Target="../DRAWINGS/2207-NN-0120/Rev%201" TargetMode="External"/><Relationship Id="rId697" Type="http://schemas.openxmlformats.org/officeDocument/2006/relationships/hyperlink" Target="../DRAWINGS/2207-NN-1128/COMMENTS/Rev%20A/CLIENT" TargetMode="External"/><Relationship Id="rId820" Type="http://schemas.openxmlformats.org/officeDocument/2006/relationships/hyperlink" Target="..\DRAWINGS\2207-NN-1124\COMMENTS\REV-0\COMMENTS\CLIENT" TargetMode="External"/><Relationship Id="rId252" Type="http://schemas.openxmlformats.org/officeDocument/2006/relationships/hyperlink" Target="../../2207/DRAWING/2207-NN-0108/COMMENTS/Rev%20A/GMC" TargetMode="External"/><Relationship Id="rId294" Type="http://schemas.openxmlformats.org/officeDocument/2006/relationships/hyperlink" Target="../../2207/DRAWING/2207-NN-0109/COMMENTS/Rev%20B/CLIENT" TargetMode="External"/><Relationship Id="rId308" Type="http://schemas.openxmlformats.org/officeDocument/2006/relationships/hyperlink" Target="../../2207/DRAWING/2207-NN-0104/COMMENTS/Rev%20A/CLIENT" TargetMode="External"/><Relationship Id="rId515" Type="http://schemas.openxmlformats.org/officeDocument/2006/relationships/hyperlink" Target="../DRAWINGS/2207-NN-1094/COMMENTS/Rev%20A/CLIENT" TargetMode="External"/><Relationship Id="rId722" Type="http://schemas.openxmlformats.org/officeDocument/2006/relationships/hyperlink" Target="../DRAWINGS/2207-NN-0127/COMMENTS/Rev%20A/CLIENT" TargetMode="External"/><Relationship Id="rId47" Type="http://schemas.openxmlformats.org/officeDocument/2006/relationships/hyperlink" Target="../../2207/DRAWING/2207-NN-0032/COMMENTS/Rev%20A/GMC" TargetMode="External"/><Relationship Id="rId89" Type="http://schemas.openxmlformats.org/officeDocument/2006/relationships/hyperlink" Target="../../2207/DRAWING/2207-NN-0066/COMMENTS/Rev%20C/CLIENT" TargetMode="External"/><Relationship Id="rId112" Type="http://schemas.openxmlformats.org/officeDocument/2006/relationships/hyperlink" Target="../../2207/DRAWING/2207-NN-0094/Rev%20B" TargetMode="External"/><Relationship Id="rId154" Type="http://schemas.openxmlformats.org/officeDocument/2006/relationships/hyperlink" Target="../../2207/DRAWING/2207-NN-0086/REV%20A" TargetMode="External"/><Relationship Id="rId361" Type="http://schemas.openxmlformats.org/officeDocument/2006/relationships/hyperlink" Target="../DRAWINGS/2207-NN-1041/Rev%20A" TargetMode="External"/><Relationship Id="rId557" Type="http://schemas.openxmlformats.org/officeDocument/2006/relationships/hyperlink" Target="../DRAWINGS/2207-NN-1092/COMMENTS/Rev%20B/GMC" TargetMode="External"/><Relationship Id="rId599" Type="http://schemas.openxmlformats.org/officeDocument/2006/relationships/hyperlink" Target="..\DRAWINGS\2207-NN-1123\Rev%201" TargetMode="External"/><Relationship Id="rId764" Type="http://schemas.openxmlformats.org/officeDocument/2006/relationships/hyperlink" Target="..\DRAWINGS\2207-NN-1071\COMMENTS\Rev%20A\CLIENT" TargetMode="External"/><Relationship Id="rId196" Type="http://schemas.openxmlformats.org/officeDocument/2006/relationships/hyperlink" Target="../../2207/DRAWING/2207-NN-0088/REV%20A" TargetMode="External"/><Relationship Id="rId417" Type="http://schemas.openxmlformats.org/officeDocument/2006/relationships/hyperlink" Target="../DRAWINGS/2207-NN-1046/COMMENTS/Rev%20A/CLIENT" TargetMode="External"/><Relationship Id="rId459" Type="http://schemas.openxmlformats.org/officeDocument/2006/relationships/hyperlink" Target="../DRAWINGS/2207-NN-1061/Rev%20A" TargetMode="External"/><Relationship Id="rId624" Type="http://schemas.openxmlformats.org/officeDocument/2006/relationships/hyperlink" Target="../DRAWINGS/2207-NN-1132/REV-A" TargetMode="External"/><Relationship Id="rId666" Type="http://schemas.openxmlformats.org/officeDocument/2006/relationships/hyperlink" Target="../DRAWINGS/2207-NN-1118/COMMENTS/Rev%20A/CLIENT" TargetMode="External"/><Relationship Id="rId16" Type="http://schemas.openxmlformats.org/officeDocument/2006/relationships/hyperlink" Target="../../../DRAWING/2207-NN-0026/REV-A" TargetMode="External"/><Relationship Id="rId221" Type="http://schemas.openxmlformats.org/officeDocument/2006/relationships/hyperlink" Target="../../2207/DRAWING/2207-NN-0114/COMMENTS/Rev%20A/CLIENT" TargetMode="External"/><Relationship Id="rId263" Type="http://schemas.openxmlformats.org/officeDocument/2006/relationships/hyperlink" Target="../../2207/DRAWING/2207-NN-0112/COMMENTS/Rev%20C/CLIENT" TargetMode="External"/><Relationship Id="rId319" Type="http://schemas.openxmlformats.org/officeDocument/2006/relationships/hyperlink" Target="../../2207/DRAWING/2207-NN-0112/COMMENTS/Rev%20A/CLIENT" TargetMode="External"/><Relationship Id="rId470" Type="http://schemas.openxmlformats.org/officeDocument/2006/relationships/hyperlink" Target="../DRAWINGS/2207-NN-1067/REV-A" TargetMode="External"/><Relationship Id="rId526" Type="http://schemas.openxmlformats.org/officeDocument/2006/relationships/hyperlink" Target="..\DRAWINGS\2207-NN-1070\COMMENTS\Rev%20A\CLIENT" TargetMode="External"/><Relationship Id="rId58" Type="http://schemas.openxmlformats.org/officeDocument/2006/relationships/hyperlink" Target="../../2207/DRAWING/2207-NN-0036/COMMENTS/Rev%20A/GMC" TargetMode="External"/><Relationship Id="rId123" Type="http://schemas.openxmlformats.org/officeDocument/2006/relationships/hyperlink" Target="../../2207/DRAWING/2207-NN-0145/Rev%20A" TargetMode="External"/><Relationship Id="rId330" Type="http://schemas.openxmlformats.org/officeDocument/2006/relationships/hyperlink" Target="../../2207/DRAWING/2207-NN-0098/COMMENTS/Rev%20B/GMC" TargetMode="External"/><Relationship Id="rId568" Type="http://schemas.openxmlformats.org/officeDocument/2006/relationships/hyperlink" Target="../DRAWINGS/2207-NN-1116/COMMENTS/Rev%20A/GMC" TargetMode="External"/><Relationship Id="rId733" Type="http://schemas.openxmlformats.org/officeDocument/2006/relationships/hyperlink" Target="../DRAWINGS/2207-NN-1129/COMMENTS/Rev%20A/CLIENT" TargetMode="External"/><Relationship Id="rId775" Type="http://schemas.openxmlformats.org/officeDocument/2006/relationships/hyperlink" Target="../DRAWINGS/2207-NN-1122/REV-A" TargetMode="External"/><Relationship Id="rId165" Type="http://schemas.openxmlformats.org/officeDocument/2006/relationships/hyperlink" Target="../../2207/DRAWING/2207-NN-0102/COMMENTS/Rev%20A/GMC" TargetMode="External"/><Relationship Id="rId372" Type="http://schemas.openxmlformats.org/officeDocument/2006/relationships/hyperlink" Target="../DRAWINGS/2207-NN-1011/COMMENTS/Rev%20A/GMC" TargetMode="External"/><Relationship Id="rId428" Type="http://schemas.openxmlformats.org/officeDocument/2006/relationships/hyperlink" Target="../DRAWINGS/2207-NN-1110/Rev%20A" TargetMode="External"/><Relationship Id="rId635" Type="http://schemas.openxmlformats.org/officeDocument/2006/relationships/hyperlink" Target="../DRAWINGS/2207-NN-0126/Rev%20A" TargetMode="External"/><Relationship Id="rId677" Type="http://schemas.openxmlformats.org/officeDocument/2006/relationships/hyperlink" Target="../DRAWINGS/2207-NN-1121/COMMENTS/Rev%200/CLIENT" TargetMode="External"/><Relationship Id="rId800" Type="http://schemas.openxmlformats.org/officeDocument/2006/relationships/hyperlink" Target="..\DRAWINGS\2207-NN-1124\COMMENTS\REV-0\COMMENTS\MWS" TargetMode="External"/><Relationship Id="rId232" Type="http://schemas.openxmlformats.org/officeDocument/2006/relationships/hyperlink" Target="../../2207/DRAWING/2207-NN-0092/COMMENTS/Rev%20A/GMC" TargetMode="External"/><Relationship Id="rId274" Type="http://schemas.openxmlformats.org/officeDocument/2006/relationships/hyperlink" Target="../../2207/DRAWING/2207-NN-0090/Rev%20B" TargetMode="External"/><Relationship Id="rId481" Type="http://schemas.openxmlformats.org/officeDocument/2006/relationships/hyperlink" Target="../DRAWINGS/2207-NN-1067/REV-0" TargetMode="External"/><Relationship Id="rId702" Type="http://schemas.openxmlformats.org/officeDocument/2006/relationships/hyperlink" Target="../DRAWINGS/2207-NN-0156/Rev%202" TargetMode="External"/><Relationship Id="rId27" Type="http://schemas.openxmlformats.org/officeDocument/2006/relationships/hyperlink" Target="..\..\..\DRAWING\2207-NN-0044\REV-A" TargetMode="External"/><Relationship Id="rId69" Type="http://schemas.openxmlformats.org/officeDocument/2006/relationships/hyperlink" Target="../../2207/DRAWING/2207-NN-0029/COMMENTS/Rev%20A/GMC" TargetMode="External"/><Relationship Id="rId134" Type="http://schemas.openxmlformats.org/officeDocument/2006/relationships/hyperlink" Target="../../2207/DRAWING/2207-NN-0150/Rev%20A" TargetMode="External"/><Relationship Id="rId537" Type="http://schemas.openxmlformats.org/officeDocument/2006/relationships/hyperlink" Target="../DRAWINGS/2207-NN-1112/COMMENTS/Rev%20A/CLIENT" TargetMode="External"/><Relationship Id="rId579" Type="http://schemas.openxmlformats.org/officeDocument/2006/relationships/hyperlink" Target="../DRAWINGS/2207-NN-1089/COMMENTS/Rev%20A/CLIENT" TargetMode="External"/><Relationship Id="rId744" Type="http://schemas.openxmlformats.org/officeDocument/2006/relationships/hyperlink" Target="../DRAWINGS/2207-NN-1140/COMMENTS/Rev%20A/CLIENT" TargetMode="External"/><Relationship Id="rId786" Type="http://schemas.openxmlformats.org/officeDocument/2006/relationships/hyperlink" Target="../DRAWINGS/2207-NN-1101/COMMENTS/Rev%20B/CLIENT" TargetMode="External"/><Relationship Id="rId80" Type="http://schemas.openxmlformats.org/officeDocument/2006/relationships/hyperlink" Target="../../2207/DRAWING/2207-NN-0066/COMMENTS/Rev%20A/GMC" TargetMode="External"/><Relationship Id="rId176" Type="http://schemas.openxmlformats.org/officeDocument/2006/relationships/hyperlink" Target="../../2207/DRAWING/2207-NN-0087/COMMENTS/Rev%20A/GMC" TargetMode="External"/><Relationship Id="rId341" Type="http://schemas.openxmlformats.org/officeDocument/2006/relationships/hyperlink" Target="../../2207/DRAWING/2207-NN-0138/Rev%20A" TargetMode="External"/><Relationship Id="rId383" Type="http://schemas.openxmlformats.org/officeDocument/2006/relationships/hyperlink" Target="../DRAWINGS/2207-NN-1008/COMMENTS/Rev%20A/GMC" TargetMode="External"/><Relationship Id="rId439" Type="http://schemas.openxmlformats.org/officeDocument/2006/relationships/hyperlink" Target="../DRAWINGS/2207-NN-1092/COMMENTS/Rev%20A/CLIENT" TargetMode="External"/><Relationship Id="rId590" Type="http://schemas.openxmlformats.org/officeDocument/2006/relationships/hyperlink" Target="../DRAWINGS/2207-NN-1117/COMMENTS/Rev%200/GMC" TargetMode="External"/><Relationship Id="rId604" Type="http://schemas.openxmlformats.org/officeDocument/2006/relationships/hyperlink" Target="..\DRAWINGS\2207-NN-1126\Rev%20A" TargetMode="External"/><Relationship Id="rId646" Type="http://schemas.openxmlformats.org/officeDocument/2006/relationships/hyperlink" Target="../DRAWINGS/2207-NN-0137/Rev%20A" TargetMode="External"/><Relationship Id="rId811" Type="http://schemas.openxmlformats.org/officeDocument/2006/relationships/hyperlink" Target="..\DRAWINGS\2207-NN-1122\COMMENTS\REV-0" TargetMode="External"/><Relationship Id="rId201" Type="http://schemas.openxmlformats.org/officeDocument/2006/relationships/hyperlink" Target="../../2207/DRAWING/2207-NN-0121/Rev%20A" TargetMode="External"/><Relationship Id="rId243" Type="http://schemas.openxmlformats.org/officeDocument/2006/relationships/hyperlink" Target="../../2207/DRAWING/2207-NN-0107/COMMENTS/Rev%20A/GMC" TargetMode="External"/><Relationship Id="rId285" Type="http://schemas.openxmlformats.org/officeDocument/2006/relationships/hyperlink" Target="../../2207/DRAWING/2207-NN-0090/COMMENTS/Rev%20B/GMC" TargetMode="External"/><Relationship Id="rId450" Type="http://schemas.openxmlformats.org/officeDocument/2006/relationships/hyperlink" Target="../DRAWINGS/2207-NN-1041/Rev%20B" TargetMode="External"/><Relationship Id="rId506" Type="http://schemas.openxmlformats.org/officeDocument/2006/relationships/hyperlink" Target="../DRAWINGS/2207-NN-1094/COMMENTS/Rev%20A/GMC" TargetMode="External"/><Relationship Id="rId688" Type="http://schemas.openxmlformats.org/officeDocument/2006/relationships/hyperlink" Target="../DRAWINGS/2207-NN-1126/COMMENTS/Rev%200/CLIENT" TargetMode="External"/><Relationship Id="rId38" Type="http://schemas.openxmlformats.org/officeDocument/2006/relationships/hyperlink" Target="..\..\..\DRAWING\2207-NN-0062\REV-A" TargetMode="External"/><Relationship Id="rId103" Type="http://schemas.openxmlformats.org/officeDocument/2006/relationships/hyperlink" Target="../../2207/DRAWING/2207-NN-0067/COMMENTS/Rev%20C/GMC" TargetMode="External"/><Relationship Id="rId310" Type="http://schemas.openxmlformats.org/officeDocument/2006/relationships/hyperlink" Target="../../2207/DRAWING/2207-NN-0141/COMMENTS/Rev%20A/CLIENT" TargetMode="External"/><Relationship Id="rId492" Type="http://schemas.openxmlformats.org/officeDocument/2006/relationships/hyperlink" Target="../DRAWINGS/2207-NN-1068/COMMENTS/Rev%200/CLIENT" TargetMode="External"/><Relationship Id="rId548" Type="http://schemas.openxmlformats.org/officeDocument/2006/relationships/hyperlink" Target="..\DRAWINGS\2207-NN-1100\Rev%20A" TargetMode="External"/><Relationship Id="rId713" Type="http://schemas.openxmlformats.org/officeDocument/2006/relationships/hyperlink" Target="../DRAWINGS/2207-NN-1089/COMMENTS/Rev%20A/GMC" TargetMode="External"/><Relationship Id="rId755" Type="http://schemas.openxmlformats.org/officeDocument/2006/relationships/hyperlink" Target="..\DRAWINGS\2207-NN-1116\COMMENTS\Rev%20A\CLIENT" TargetMode="External"/><Relationship Id="rId797" Type="http://schemas.openxmlformats.org/officeDocument/2006/relationships/hyperlink" Target="..\DRAWINGS\2207-NN-0122\REV-1" TargetMode="External"/><Relationship Id="rId91" Type="http://schemas.openxmlformats.org/officeDocument/2006/relationships/hyperlink" Target="../../2207/DRAWING/2207-NN-0067/Rev%20C" TargetMode="External"/><Relationship Id="rId145" Type="http://schemas.openxmlformats.org/officeDocument/2006/relationships/hyperlink" Target="../../2207/DRAWING/2207-NN-0087/REV%20A" TargetMode="External"/><Relationship Id="rId187" Type="http://schemas.openxmlformats.org/officeDocument/2006/relationships/hyperlink" Target="../../2207/DRAWING/2207-NN-0150/COMMENTS/Rev%20A/GMC" TargetMode="External"/><Relationship Id="rId352" Type="http://schemas.openxmlformats.org/officeDocument/2006/relationships/hyperlink" Target="../DRAWINGS/2207-NN-1018/Rev%20A" TargetMode="External"/><Relationship Id="rId394" Type="http://schemas.openxmlformats.org/officeDocument/2006/relationships/hyperlink" Target="..\DRAWINGS\2207-NN-1142\COMMENTS\Rev%20A\CLIENT" TargetMode="External"/><Relationship Id="rId408" Type="http://schemas.openxmlformats.org/officeDocument/2006/relationships/hyperlink" Target="../DRAWINGS/2207-NN-1023/COMMENTS/Rev%20A/CLIENT" TargetMode="External"/><Relationship Id="rId615" Type="http://schemas.openxmlformats.org/officeDocument/2006/relationships/hyperlink" Target="../DRAWINGS/2207-NN-1126/Rev%200" TargetMode="External"/><Relationship Id="rId822" Type="http://schemas.openxmlformats.org/officeDocument/2006/relationships/hyperlink" Target="..\DRAWINGS\2207-NN-1104\COMMENTS\REV-1\CLIENT" TargetMode="External"/><Relationship Id="rId212" Type="http://schemas.openxmlformats.org/officeDocument/2006/relationships/hyperlink" Target="../../2207/DRAWING/2207-NN-0112/REV%20C" TargetMode="External"/><Relationship Id="rId254" Type="http://schemas.openxmlformats.org/officeDocument/2006/relationships/hyperlink" Target="../../2207/DRAWING/2207-NN-0091/COMMENTS/Rev%20B/GMC" TargetMode="External"/><Relationship Id="rId657" Type="http://schemas.openxmlformats.org/officeDocument/2006/relationships/hyperlink" Target="../DRAWINGS/2207-NN-0156/COMMENTS/Rev%201/MWS" TargetMode="External"/><Relationship Id="rId699" Type="http://schemas.openxmlformats.org/officeDocument/2006/relationships/hyperlink" Target="../DRAWINGS/2207-NN-1160/COMMENTS/Rev%20A/CLIENT" TargetMode="External"/><Relationship Id="rId49" Type="http://schemas.openxmlformats.org/officeDocument/2006/relationships/hyperlink" Target="../../2207/DRAWING/2207-NN-0042/COMMENTS/Rev%20A/GMC" TargetMode="External"/><Relationship Id="rId114" Type="http://schemas.openxmlformats.org/officeDocument/2006/relationships/hyperlink" Target="../../2207/DRAWING/2207-NN-0084/Rev%20A" TargetMode="External"/><Relationship Id="rId296" Type="http://schemas.openxmlformats.org/officeDocument/2006/relationships/hyperlink" Target="../../2207/DRAWING/2207-NN-0144/COMMENTS/Rev%20A/CLIENT" TargetMode="External"/><Relationship Id="rId461" Type="http://schemas.openxmlformats.org/officeDocument/2006/relationships/hyperlink" Target="../DRAWINGS/2207-NN-1063/Rev%20A" TargetMode="External"/><Relationship Id="rId517" Type="http://schemas.openxmlformats.org/officeDocument/2006/relationships/hyperlink" Target="../DRAWINGS/2207-NN-1113/COMMENTS/Rev%200/CLIENT" TargetMode="External"/><Relationship Id="rId559" Type="http://schemas.openxmlformats.org/officeDocument/2006/relationships/hyperlink" Target="../DRAWINGS/2207-NN-1108/COMMENTS/Rev%200/GMC" TargetMode="External"/><Relationship Id="rId724" Type="http://schemas.openxmlformats.org/officeDocument/2006/relationships/hyperlink" Target="../DRAWINGS/2207-NN-0129/COMMENTS/Rev%20A/CLIENT" TargetMode="External"/><Relationship Id="rId766" Type="http://schemas.openxmlformats.org/officeDocument/2006/relationships/hyperlink" Target="../DRAWINGS/2207-NN-1164/Rev%20A" TargetMode="External"/><Relationship Id="rId60" Type="http://schemas.openxmlformats.org/officeDocument/2006/relationships/hyperlink" Target="../../2207/DRAWING/2207-NN-0046/COMMENTS/Rev%20A/GMC" TargetMode="External"/><Relationship Id="rId156" Type="http://schemas.openxmlformats.org/officeDocument/2006/relationships/hyperlink" Target="../../2207/DRAWING/2207-NN-0087/COMMENTS/Rev%20A/CLIENT" TargetMode="External"/><Relationship Id="rId198" Type="http://schemas.openxmlformats.org/officeDocument/2006/relationships/hyperlink" Target="../../2207/DRAWING/2207-NN-0091/COMMENTS/Rev%20A/GMC" TargetMode="External"/><Relationship Id="rId321" Type="http://schemas.openxmlformats.org/officeDocument/2006/relationships/hyperlink" Target="../../2207/DRAWING/2207-NN-0110/COMMENTS/Rev%20B/MWS" TargetMode="External"/><Relationship Id="rId363" Type="http://schemas.openxmlformats.org/officeDocument/2006/relationships/hyperlink" Target="../DRAWINGS/2207-NN-1046/Rev%20A" TargetMode="External"/><Relationship Id="rId419" Type="http://schemas.openxmlformats.org/officeDocument/2006/relationships/hyperlink" Target="../DRAWINGS/2207-NN-1051/COMMENTS/Rev%20A/CLIENT" TargetMode="External"/><Relationship Id="rId570" Type="http://schemas.openxmlformats.org/officeDocument/2006/relationships/hyperlink" Target="..\DRAWINGS\2207-NN-1106\Rev%201" TargetMode="External"/><Relationship Id="rId626" Type="http://schemas.openxmlformats.org/officeDocument/2006/relationships/hyperlink" Target="../DRAWINGS/2207-NN-1134/REV-A" TargetMode="External"/><Relationship Id="rId223" Type="http://schemas.openxmlformats.org/officeDocument/2006/relationships/hyperlink" Target="../../2207/DRAWING/2207-NN-0103/COMMENTS/Rev%20A/CLIENT" TargetMode="External"/><Relationship Id="rId430" Type="http://schemas.openxmlformats.org/officeDocument/2006/relationships/hyperlink" Target="../DRAWINGS/2207-NN-1095/COMMENTS/Rev%20A/GMC" TargetMode="External"/><Relationship Id="rId668" Type="http://schemas.openxmlformats.org/officeDocument/2006/relationships/hyperlink" Target="../DRAWINGS/2207-NN-1121/COMMENTS/Rev%20A/CLIENT" TargetMode="External"/><Relationship Id="rId18" Type="http://schemas.openxmlformats.org/officeDocument/2006/relationships/hyperlink" Target="../../../DRAWING/2207-NN-0029/REV-A" TargetMode="External"/><Relationship Id="rId265" Type="http://schemas.openxmlformats.org/officeDocument/2006/relationships/hyperlink" Target="../../2207/DRAWING/2207-NN-0111/COMMENTS/Rev%20C/CLIENT" TargetMode="External"/><Relationship Id="rId472" Type="http://schemas.openxmlformats.org/officeDocument/2006/relationships/hyperlink" Target="../DRAWINGS/2207-NN-1001/Rev%20C" TargetMode="External"/><Relationship Id="rId528" Type="http://schemas.openxmlformats.org/officeDocument/2006/relationships/hyperlink" Target="../DRAWINGS/2207-NN-1106/Rev%200" TargetMode="External"/><Relationship Id="rId735" Type="http://schemas.openxmlformats.org/officeDocument/2006/relationships/hyperlink" Target="../DRAWINGS/2207-NN-1131/COMMENTS/Rev%20A/CLIENT" TargetMode="External"/><Relationship Id="rId125" Type="http://schemas.openxmlformats.org/officeDocument/2006/relationships/hyperlink" Target="../../2207/DRAWING/2207-NN-0083/Rev%20A" TargetMode="External"/><Relationship Id="rId167" Type="http://schemas.openxmlformats.org/officeDocument/2006/relationships/hyperlink" Target="../../2207/DRAWING/2207-NN-0078/REV%20A" TargetMode="External"/><Relationship Id="rId332" Type="http://schemas.openxmlformats.org/officeDocument/2006/relationships/hyperlink" Target="../../2207/DRAWING/2207-NN-0100/COMMENTS/Rev%20B/GMC" TargetMode="External"/><Relationship Id="rId374" Type="http://schemas.openxmlformats.org/officeDocument/2006/relationships/hyperlink" Target="../DRAWINGS/2207-NN-1021/COMMENTS/Rev%20A/GMC" TargetMode="External"/><Relationship Id="rId581" Type="http://schemas.openxmlformats.org/officeDocument/2006/relationships/hyperlink" Target="../DRAWINGS/2207-NN-1159/REV-A" TargetMode="External"/><Relationship Id="rId777" Type="http://schemas.openxmlformats.org/officeDocument/2006/relationships/hyperlink" Target="../DRAWINGS/2207-NN-1104/COMMENTS/Rev%20A/CLIENT" TargetMode="External"/><Relationship Id="rId71" Type="http://schemas.openxmlformats.org/officeDocument/2006/relationships/hyperlink" Target="../../2207/DRAWING/2207-NN-0039/COMMENTS/Rev%20A/GMC" TargetMode="External"/><Relationship Id="rId234" Type="http://schemas.openxmlformats.org/officeDocument/2006/relationships/hyperlink" Target="../../2207/DRAWING/2207-NN-0095/COMMENTS/Rev%20A/GMC" TargetMode="External"/><Relationship Id="rId637" Type="http://schemas.openxmlformats.org/officeDocument/2006/relationships/hyperlink" Target="../DRAWINGS/2207-NN-0128/Rev%20A" TargetMode="External"/><Relationship Id="rId679" Type="http://schemas.openxmlformats.org/officeDocument/2006/relationships/hyperlink" Target="../DRAWINGS/2207-NN-1101/COMMENTS/Rev%20A/CLIENT" TargetMode="External"/><Relationship Id="rId802" Type="http://schemas.openxmlformats.org/officeDocument/2006/relationships/hyperlink" Target="..\DRAWINGS\2207-NN-1119\COMMENTS\REV-0\MWS" TargetMode="External"/><Relationship Id="rId2" Type="http://schemas.openxmlformats.org/officeDocument/2006/relationships/hyperlink" Target="..\..\..\DRAWING\2207-NN-0002\REV-A" TargetMode="External"/><Relationship Id="rId29" Type="http://schemas.openxmlformats.org/officeDocument/2006/relationships/hyperlink" Target="..\..\..\DRAWING\2207-NN-0047\REV-A" TargetMode="External"/><Relationship Id="rId276" Type="http://schemas.openxmlformats.org/officeDocument/2006/relationships/hyperlink" Target="../../2207/DRAWING/2207-NN-0154/Rev%20B" TargetMode="External"/><Relationship Id="rId441" Type="http://schemas.openxmlformats.org/officeDocument/2006/relationships/hyperlink" Target="../DRAWINGS/2207-NN-1107/COMMENTS/Rev%20A/CLIENT" TargetMode="External"/><Relationship Id="rId483" Type="http://schemas.openxmlformats.org/officeDocument/2006/relationships/hyperlink" Target="../DRAWINGS/2207-NN-1001/COMMENTS/Rev%20C/CLIENT" TargetMode="External"/><Relationship Id="rId539" Type="http://schemas.openxmlformats.org/officeDocument/2006/relationships/hyperlink" Target="../DRAWINGS/2207-NN-1092/COMMENTS/Rev%20B/CLIENT" TargetMode="External"/><Relationship Id="rId690" Type="http://schemas.openxmlformats.org/officeDocument/2006/relationships/hyperlink" Target="../DRAWINGS/2207-NN-0156/COMMENTS/Rev%201/CLIENT" TargetMode="External"/><Relationship Id="rId704" Type="http://schemas.openxmlformats.org/officeDocument/2006/relationships/hyperlink" Target="../DRAWINGS/2207-NN-1065/COMMENTS/Rev%200/GMC" TargetMode="External"/><Relationship Id="rId746" Type="http://schemas.openxmlformats.org/officeDocument/2006/relationships/hyperlink" Target="../DRAWINGS/2207-NN-0123/COMMENTS/Rev%20A/GMC" TargetMode="External"/><Relationship Id="rId40" Type="http://schemas.openxmlformats.org/officeDocument/2006/relationships/hyperlink" Target="../../2207/DRAWING/2207-NN-0066/Rev%20A" TargetMode="External"/><Relationship Id="rId136" Type="http://schemas.openxmlformats.org/officeDocument/2006/relationships/hyperlink" Target="../../2207/DRAWING/2207-NN-0152/Rev%20A" TargetMode="External"/><Relationship Id="rId178" Type="http://schemas.openxmlformats.org/officeDocument/2006/relationships/hyperlink" Target="../../2207/DRAWING/2207-NN-0141/COMMENTS/Rev%20A/GMC" TargetMode="External"/><Relationship Id="rId301" Type="http://schemas.openxmlformats.org/officeDocument/2006/relationships/hyperlink" Target="../../2207/DRAWING/2207-NN-0149/COMMENTS/Rev%20A/CLIENT" TargetMode="External"/><Relationship Id="rId343" Type="http://schemas.openxmlformats.org/officeDocument/2006/relationships/hyperlink" Target="../../2207/DRAWING/2207-NN-0138/Rev%20B" TargetMode="External"/><Relationship Id="rId550" Type="http://schemas.openxmlformats.org/officeDocument/2006/relationships/hyperlink" Target="..\DRAWINGS\2207-NN-1118\Rev%20A" TargetMode="External"/><Relationship Id="rId788" Type="http://schemas.openxmlformats.org/officeDocument/2006/relationships/hyperlink" Target="..\DRAWINGS\2207-NN-1119\COMMENTS\CLIENTS\REV.%20A" TargetMode="External"/><Relationship Id="rId82" Type="http://schemas.openxmlformats.org/officeDocument/2006/relationships/hyperlink" Target="../../2207/DRAWING/2207-NN-0066/COMMENTS/Rev%20A/CLIENT" TargetMode="External"/><Relationship Id="rId203" Type="http://schemas.openxmlformats.org/officeDocument/2006/relationships/hyperlink" Target="../../2207/DRAWING/2207-NN-0109/REV%20B" TargetMode="External"/><Relationship Id="rId385" Type="http://schemas.openxmlformats.org/officeDocument/2006/relationships/hyperlink" Target="../DRAWINGS/2207-NN-1018/COMMENTS/Rev%20A/GMC" TargetMode="External"/><Relationship Id="rId592" Type="http://schemas.openxmlformats.org/officeDocument/2006/relationships/hyperlink" Target="../DRAWINGS/2207-NN-1098/COMMENTS/Rev%20A/GMC" TargetMode="External"/><Relationship Id="rId606" Type="http://schemas.openxmlformats.org/officeDocument/2006/relationships/hyperlink" Target="..\DRAWINGS\2207-NN-0156\Rev%20A" TargetMode="External"/><Relationship Id="rId648" Type="http://schemas.openxmlformats.org/officeDocument/2006/relationships/hyperlink" Target="../DRAWINGS/2207-NN-1103/COMMENTS/Rev%20A/GMC" TargetMode="External"/><Relationship Id="rId813" Type="http://schemas.openxmlformats.org/officeDocument/2006/relationships/hyperlink" Target="..\DRAWINGS\2207-NN-1119\COMMENTS\REV-0\MWS" TargetMode="External"/><Relationship Id="rId245" Type="http://schemas.openxmlformats.org/officeDocument/2006/relationships/hyperlink" Target="../../2207/DRAWING/2207-NN-0112/COMMENTS/Rev%20C/GMC" TargetMode="External"/><Relationship Id="rId287" Type="http://schemas.openxmlformats.org/officeDocument/2006/relationships/hyperlink" Target="../../2207/DRAWING/2207-NN-0096/COMMENTS/Rev%20A/CLIENT" TargetMode="External"/><Relationship Id="rId410" Type="http://schemas.openxmlformats.org/officeDocument/2006/relationships/hyperlink" Target="../DRAWINGS/2207-NN-1028/COMMENTS/Rev%20A/CLIENT" TargetMode="External"/><Relationship Id="rId452" Type="http://schemas.openxmlformats.org/officeDocument/2006/relationships/hyperlink" Target="../DRAWINGS/2207-NN-1106/COMMENTS/Rev%20A/CLIENT" TargetMode="External"/><Relationship Id="rId494" Type="http://schemas.openxmlformats.org/officeDocument/2006/relationships/hyperlink" Target="../DRAWINGS/2207-NN-1158/Rev%20A" TargetMode="External"/><Relationship Id="rId508" Type="http://schemas.openxmlformats.org/officeDocument/2006/relationships/hyperlink" Target="..\DRAWINGS\2207-NN-1069\COMMENTS\Rev%20A\CLIENT" TargetMode="External"/><Relationship Id="rId715" Type="http://schemas.openxmlformats.org/officeDocument/2006/relationships/hyperlink" Target="../DRAWINGS/2207-NN-1102/COMMENTS/Rev%20A/GMC" TargetMode="External"/><Relationship Id="rId105" Type="http://schemas.openxmlformats.org/officeDocument/2006/relationships/hyperlink" Target="../../2207/DRAWING/2207-NN-0070/COMMENTS/Rev%20A/CLIENT" TargetMode="External"/><Relationship Id="rId147" Type="http://schemas.openxmlformats.org/officeDocument/2006/relationships/hyperlink" Target="../../2207/DRAWING/2207-NN-0085/COMMENTS/Rev%20A/CLIENT" TargetMode="External"/><Relationship Id="rId312" Type="http://schemas.openxmlformats.org/officeDocument/2006/relationships/hyperlink" Target="../../2207/DRAWING/2207-NN-0102/COMMENTS/Rev%20A/CLIENT" TargetMode="External"/><Relationship Id="rId354" Type="http://schemas.openxmlformats.org/officeDocument/2006/relationships/hyperlink" Target="../DRAWINGS/2207-NN-1023/Rev%20A" TargetMode="External"/><Relationship Id="rId757" Type="http://schemas.openxmlformats.org/officeDocument/2006/relationships/hyperlink" Target="..\DRAWINGS\2207-NN-1155\COMMENTS\Rev%20A\CLIENT" TargetMode="External"/><Relationship Id="rId799" Type="http://schemas.openxmlformats.org/officeDocument/2006/relationships/hyperlink" Target="..\DRAWINGS\2207-NN-1127\COMMENTS\REV-0\MWS" TargetMode="External"/><Relationship Id="rId51" Type="http://schemas.openxmlformats.org/officeDocument/2006/relationships/hyperlink" Target="../../2207/DRAWING/2207-NN-0052/COMMENTS/Rev%20A/GMC" TargetMode="External"/><Relationship Id="rId93" Type="http://schemas.openxmlformats.org/officeDocument/2006/relationships/hyperlink" Target="../../2207/DRAWING/2207-NN-0079/Rev%20A" TargetMode="External"/><Relationship Id="rId189" Type="http://schemas.openxmlformats.org/officeDocument/2006/relationships/hyperlink" Target="../../2207/DRAWING/2207-NN-0152/COMMENTS/Rev%20A/GMC" TargetMode="External"/><Relationship Id="rId396" Type="http://schemas.openxmlformats.org/officeDocument/2006/relationships/hyperlink" Target="../DRAWINGS/2207-NN-1109/Rev%20A" TargetMode="External"/><Relationship Id="rId561" Type="http://schemas.openxmlformats.org/officeDocument/2006/relationships/hyperlink" Target="../DRAWINGS/2207-NN-1111/COMMENTS/Rev%20A/GMC" TargetMode="External"/><Relationship Id="rId617" Type="http://schemas.openxmlformats.org/officeDocument/2006/relationships/hyperlink" Target="../DRAWINGS/2207-NN-0156/Rev%200" TargetMode="External"/><Relationship Id="rId659" Type="http://schemas.openxmlformats.org/officeDocument/2006/relationships/hyperlink" Target="../DRAWINGS/2207-NN-1125/COMMENTS/Rev%201/MWS" TargetMode="External"/><Relationship Id="rId824" Type="http://schemas.openxmlformats.org/officeDocument/2006/relationships/hyperlink" Target="..\DRAWINGS\2207-NN-1173\REV-A\COMMENTS" TargetMode="External"/><Relationship Id="rId214" Type="http://schemas.openxmlformats.org/officeDocument/2006/relationships/hyperlink" Target="../../2207/DRAWING/2207-NN-0094/COMMENTS/Rev%20B/CLIENT" TargetMode="External"/><Relationship Id="rId256" Type="http://schemas.openxmlformats.org/officeDocument/2006/relationships/hyperlink" Target="../../2207/DRAWING/2207-NN-0111/COMMENTS/Rev%20D/GMC" TargetMode="External"/><Relationship Id="rId298" Type="http://schemas.openxmlformats.org/officeDocument/2006/relationships/hyperlink" Target="../../2207/DRAWING/2207-NN-0146/COMMENTS/Rev%20A/CLIENT" TargetMode="External"/><Relationship Id="rId421" Type="http://schemas.openxmlformats.org/officeDocument/2006/relationships/hyperlink" Target="../DRAWINGS/2207-NN-1056/COMMENTS/Rev%20A/CLIENT" TargetMode="External"/><Relationship Id="rId463" Type="http://schemas.openxmlformats.org/officeDocument/2006/relationships/hyperlink" Target="..\DRAWINGS\2207-NN-1155\COMMENTS\Rev%20A\CLIENT" TargetMode="External"/><Relationship Id="rId519" Type="http://schemas.openxmlformats.org/officeDocument/2006/relationships/hyperlink" Target="../DRAWINGS/2207-NN-1108/COMMENTS/Rev%200/CLIENT" TargetMode="External"/><Relationship Id="rId670" Type="http://schemas.openxmlformats.org/officeDocument/2006/relationships/hyperlink" Target="../DRAWINGS/2207-NN-1123/COMMENTS/Rev%201/CLIENT" TargetMode="External"/><Relationship Id="rId116" Type="http://schemas.openxmlformats.org/officeDocument/2006/relationships/hyperlink" Target="../../2207/DRAWING/2207-NN-0140/Rev%20A" TargetMode="External"/><Relationship Id="rId158" Type="http://schemas.openxmlformats.org/officeDocument/2006/relationships/hyperlink" Target="../../2207/DRAWING/2207-NN-0080/COMMENTS/Rev%20A/CLIENT" TargetMode="External"/><Relationship Id="rId323" Type="http://schemas.openxmlformats.org/officeDocument/2006/relationships/hyperlink" Target="../../2207/DRAWING/2207-NN-0098/COMMENTS/Rev%20B/CLIENT" TargetMode="External"/><Relationship Id="rId530" Type="http://schemas.openxmlformats.org/officeDocument/2006/relationships/hyperlink" Target="..\DRAWINGS\2207-NN-0123\Rev%20A" TargetMode="External"/><Relationship Id="rId726" Type="http://schemas.openxmlformats.org/officeDocument/2006/relationships/hyperlink" Target="../DRAWINGS/2207-NN-0131/COMMENTS/Rev%20A/CLIENT" TargetMode="External"/><Relationship Id="rId768" Type="http://schemas.openxmlformats.org/officeDocument/2006/relationships/hyperlink" Target="../DRAWINGS/2207-NN-1101/REV-B" TargetMode="External"/><Relationship Id="rId20" Type="http://schemas.openxmlformats.org/officeDocument/2006/relationships/hyperlink" Target="../../../DRAWING/2207-NN-0032/REV-A" TargetMode="External"/><Relationship Id="rId62" Type="http://schemas.openxmlformats.org/officeDocument/2006/relationships/hyperlink" Target="../../2207/DRAWING/2207-NN-0056/COMMENTS/Rev%20A/GMC" TargetMode="External"/><Relationship Id="rId365" Type="http://schemas.openxmlformats.org/officeDocument/2006/relationships/hyperlink" Target="../DRAWINGS/2207-NN-1051/Rev%20A" TargetMode="External"/><Relationship Id="rId572" Type="http://schemas.openxmlformats.org/officeDocument/2006/relationships/hyperlink" Target="../DRAWINGS/2207-NN-1117/COMMENTS/Rev%20A/CLIENT" TargetMode="External"/><Relationship Id="rId628" Type="http://schemas.openxmlformats.org/officeDocument/2006/relationships/hyperlink" Target="../DRAWINGS/2207-NN-1136/REV-A" TargetMode="External"/><Relationship Id="rId225" Type="http://schemas.openxmlformats.org/officeDocument/2006/relationships/hyperlink" Target="../../2207/DRAWING/2207-NN-0085/COMMENTS/Rev%20B/CLIENT" TargetMode="External"/><Relationship Id="rId267" Type="http://schemas.openxmlformats.org/officeDocument/2006/relationships/hyperlink" Target="../../2207/DRAWING/2207-NN-0153/COMMENTS/Rev%20A/CLIENT" TargetMode="External"/><Relationship Id="rId432" Type="http://schemas.openxmlformats.org/officeDocument/2006/relationships/hyperlink" Target="../DRAWINGS/2207-NN-1092/COMMENTS/Rev%20A/GMC" TargetMode="External"/><Relationship Id="rId474" Type="http://schemas.openxmlformats.org/officeDocument/2006/relationships/hyperlink" Target="../DRAWINGS/2207-NN-1041/Rev%20C" TargetMode="External"/><Relationship Id="rId127" Type="http://schemas.openxmlformats.org/officeDocument/2006/relationships/hyperlink" Target="../../2207/DRAWING/2207-NN-0106/Rev%20A" TargetMode="External"/><Relationship Id="rId681" Type="http://schemas.openxmlformats.org/officeDocument/2006/relationships/hyperlink" Target="../DRAWINGS/2207-NN-0120/COMMENTS/Rev%20A/CLIENT" TargetMode="External"/><Relationship Id="rId737" Type="http://schemas.openxmlformats.org/officeDocument/2006/relationships/hyperlink" Target="../DRAWINGS/2207-NN-1133/COMMENTS/Rev%20A/CLIENT" TargetMode="External"/><Relationship Id="rId779" Type="http://schemas.openxmlformats.org/officeDocument/2006/relationships/hyperlink" Target="../DRAWINGS/2207-NN-1164/COMMENTS/Rev%20A/CLIENT" TargetMode="External"/><Relationship Id="rId31" Type="http://schemas.openxmlformats.org/officeDocument/2006/relationships/hyperlink" Target="..\..\..\DRAWING\2207-NN-0051\REV-A" TargetMode="External"/><Relationship Id="rId73" Type="http://schemas.openxmlformats.org/officeDocument/2006/relationships/hyperlink" Target="../../2207/DRAWING/2207-NN-0049/COMMENTS/Rev%20A/GMC" TargetMode="External"/><Relationship Id="rId169" Type="http://schemas.openxmlformats.org/officeDocument/2006/relationships/hyperlink" Target="../../2207/DRAWING/2207-NN-0092/REV%20A" TargetMode="External"/><Relationship Id="rId334" Type="http://schemas.openxmlformats.org/officeDocument/2006/relationships/hyperlink" Target="../../2207/DRAWING/2207-NN-0115/COMMENTS/Rev%20B/GMC" TargetMode="External"/><Relationship Id="rId376" Type="http://schemas.openxmlformats.org/officeDocument/2006/relationships/hyperlink" Target="../DRAWINGS/2207-NN-1031/COMMENTS/Rev%20A/GMC" TargetMode="External"/><Relationship Id="rId541" Type="http://schemas.openxmlformats.org/officeDocument/2006/relationships/hyperlink" Target="..\DRAWINGS\2207-NN-0124\COMMENTS\Rev%20A\CLIENT" TargetMode="External"/><Relationship Id="rId583" Type="http://schemas.openxmlformats.org/officeDocument/2006/relationships/hyperlink" Target="..\DRAWINGS\2207-NN-1075\REV-A" TargetMode="External"/><Relationship Id="rId639" Type="http://schemas.openxmlformats.org/officeDocument/2006/relationships/hyperlink" Target="../DRAWINGS/2207-NN-0130/Rev%20A" TargetMode="External"/><Relationship Id="rId790" Type="http://schemas.openxmlformats.org/officeDocument/2006/relationships/hyperlink" Target="..\DRAWINGS\2207-NN-1119\REV-0" TargetMode="External"/><Relationship Id="rId804" Type="http://schemas.openxmlformats.org/officeDocument/2006/relationships/hyperlink" Target="..\DRAWINGS\2207-NN-1104\COMMENTS\REV-0\MWS" TargetMode="External"/><Relationship Id="rId4" Type="http://schemas.openxmlformats.org/officeDocument/2006/relationships/hyperlink" Target="..\..\..\DRAWING\2207-NN-0006\REV-A" TargetMode="External"/><Relationship Id="rId180" Type="http://schemas.openxmlformats.org/officeDocument/2006/relationships/hyperlink" Target="../../2207/DRAWING/2207-NN-0143/COMMENTS/Rev%20A/GMC" TargetMode="External"/><Relationship Id="rId236" Type="http://schemas.openxmlformats.org/officeDocument/2006/relationships/hyperlink" Target="../../2207/DRAWING/2207-NN-0079/COMMENTS/Rev%20B/GMC" TargetMode="External"/><Relationship Id="rId278" Type="http://schemas.openxmlformats.org/officeDocument/2006/relationships/hyperlink" Target="../../2207/DRAWING/2207-NN-0100/Rev%20B" TargetMode="External"/><Relationship Id="rId401" Type="http://schemas.openxmlformats.org/officeDocument/2006/relationships/hyperlink" Target="../DRAWINGS/2207-NN-1006/COMMENTS/Rev%20A/CLIENT" TargetMode="External"/><Relationship Id="rId443" Type="http://schemas.openxmlformats.org/officeDocument/2006/relationships/hyperlink" Target="../DRAWINGS/2207-NN-1108/COMMENTS/Rev%20A/CLIENT" TargetMode="External"/><Relationship Id="rId650" Type="http://schemas.openxmlformats.org/officeDocument/2006/relationships/hyperlink" Target="../DRAWINGS/2207-NN-1121/COMMENTS/Rev%200/GMC" TargetMode="External"/><Relationship Id="rId303" Type="http://schemas.openxmlformats.org/officeDocument/2006/relationships/hyperlink" Target="../../2207/DRAWING/2207-NN-0151/COMMENTS/Rev%20A/CLIENT" TargetMode="External"/><Relationship Id="rId485" Type="http://schemas.openxmlformats.org/officeDocument/2006/relationships/hyperlink" Target="../DRAWINGS/2207-NN-1041/COMMENTS/Rev%20C/CLIENT" TargetMode="External"/><Relationship Id="rId692" Type="http://schemas.openxmlformats.org/officeDocument/2006/relationships/hyperlink" Target="../DRAWINGS/2207-NN-1073/COMMENTS/Rev%20A/CLIENT" TargetMode="External"/><Relationship Id="rId706" Type="http://schemas.openxmlformats.org/officeDocument/2006/relationships/hyperlink" Target="../DRAWINGS/2207-NN-1072/COMMENTS/Rev%20A/GMC" TargetMode="External"/><Relationship Id="rId748" Type="http://schemas.openxmlformats.org/officeDocument/2006/relationships/hyperlink" Target="../DRAWINGS/2207-NN-0156/COMMENTS/Rev%202/MWS" TargetMode="External"/><Relationship Id="rId42" Type="http://schemas.openxmlformats.org/officeDocument/2006/relationships/hyperlink" Target="../../2207/DRAWING/2207-NN-0007/COMMENTS/Rev%20A/GMC" TargetMode="External"/><Relationship Id="rId84" Type="http://schemas.openxmlformats.org/officeDocument/2006/relationships/hyperlink" Target="../../2207/DRAWING/2207-NN-0066/Rev%20B" TargetMode="External"/><Relationship Id="rId138" Type="http://schemas.openxmlformats.org/officeDocument/2006/relationships/hyperlink" Target="../../2207/DRAWING/2207-NN-0081/REV%20A" TargetMode="External"/><Relationship Id="rId345" Type="http://schemas.openxmlformats.org/officeDocument/2006/relationships/hyperlink" Target="../DRAWINGS/2207-NN-1001/Rev%20A" TargetMode="External"/><Relationship Id="rId387" Type="http://schemas.openxmlformats.org/officeDocument/2006/relationships/hyperlink" Target="../DRAWINGS/2207-NN-1028/COMMENTS/Rev%20A/GMC" TargetMode="External"/><Relationship Id="rId510" Type="http://schemas.openxmlformats.org/officeDocument/2006/relationships/hyperlink" Target="../DRAWINGS/2207-NN-1107/Rev%200" TargetMode="External"/><Relationship Id="rId552" Type="http://schemas.openxmlformats.org/officeDocument/2006/relationships/hyperlink" Target="../DRAWINGS/2207-NN-1111/COMMENTS/Rev%20A/CLIENT" TargetMode="External"/><Relationship Id="rId594" Type="http://schemas.openxmlformats.org/officeDocument/2006/relationships/hyperlink" Target="../DRAWINGS/2207-NN-1121/COMMENTS/Rev%20A/GMC" TargetMode="External"/><Relationship Id="rId608" Type="http://schemas.openxmlformats.org/officeDocument/2006/relationships/hyperlink" Target="../DRAWINGS/2207-NN-1078/REV-A" TargetMode="External"/><Relationship Id="rId815" Type="http://schemas.openxmlformats.org/officeDocument/2006/relationships/hyperlink" Target="..\DRAWINGS\2207-NN-0122\REV-2\COMMENTS\CLIENT" TargetMode="External"/><Relationship Id="rId191" Type="http://schemas.openxmlformats.org/officeDocument/2006/relationships/hyperlink" Target="../../2207/DRAWING/2207-NN-0101/COMMENTS/Rev%20A/GMC" TargetMode="External"/><Relationship Id="rId205" Type="http://schemas.openxmlformats.org/officeDocument/2006/relationships/hyperlink" Target="../../2207/DRAWING/2207-NN-0111/REV%20D" TargetMode="External"/><Relationship Id="rId247" Type="http://schemas.openxmlformats.org/officeDocument/2006/relationships/hyperlink" Target="../../2207/DRAWING/2207-NN-0109/COMMENTS/Rev%20B/GMC" TargetMode="External"/><Relationship Id="rId412" Type="http://schemas.openxmlformats.org/officeDocument/2006/relationships/hyperlink" Target="../DRAWINGS/2207-NN-1033/COMMENTS/Rev%20A/CLIENT" TargetMode="External"/><Relationship Id="rId107" Type="http://schemas.openxmlformats.org/officeDocument/2006/relationships/hyperlink" Target="../../2207/DRAWING/2207-NN-0069/COMMENTS/Rev%20A/GMC" TargetMode="External"/><Relationship Id="rId289" Type="http://schemas.openxmlformats.org/officeDocument/2006/relationships/hyperlink" Target="../../2207/DRAWING/2207-NN-0115/COMMENTS/Rev%20A/CLIENT" TargetMode="External"/><Relationship Id="rId454" Type="http://schemas.openxmlformats.org/officeDocument/2006/relationships/hyperlink" Target="../DRAWINGS/2207-NN-1155/REV-A" TargetMode="External"/><Relationship Id="rId496" Type="http://schemas.openxmlformats.org/officeDocument/2006/relationships/hyperlink" Target="../DRAWINGS/2207-NN-1156/COMMENTS/Rev%20A/CLIENT" TargetMode="External"/><Relationship Id="rId661" Type="http://schemas.openxmlformats.org/officeDocument/2006/relationships/hyperlink" Target="../DRAWINGS/2207-NN-1125/Rev%201" TargetMode="External"/><Relationship Id="rId717" Type="http://schemas.openxmlformats.org/officeDocument/2006/relationships/hyperlink" Target="../DRAWINGS/2207-NN-1111/COMMENTS/Rev%200/GMC" TargetMode="External"/><Relationship Id="rId759" Type="http://schemas.openxmlformats.org/officeDocument/2006/relationships/hyperlink" Target="../DRAWINGS/2207-NN-1162/COMMENTS/Rev%20A/CLIENT" TargetMode="External"/><Relationship Id="rId11" Type="http://schemas.openxmlformats.org/officeDocument/2006/relationships/hyperlink" Target="../../../DRAWING/2207-NN-0017/REV-A" TargetMode="External"/><Relationship Id="rId53" Type="http://schemas.openxmlformats.org/officeDocument/2006/relationships/hyperlink" Target="../../2207/DRAWING/2207-NN-0062/COMMENTS/Rev%20A/GMC" TargetMode="External"/><Relationship Id="rId149" Type="http://schemas.openxmlformats.org/officeDocument/2006/relationships/hyperlink" Target="../../2207/DRAWING/2207-NN-0075/REV%20A" TargetMode="External"/><Relationship Id="rId314" Type="http://schemas.openxmlformats.org/officeDocument/2006/relationships/hyperlink" Target="../../2207/DRAWING/2207-NN-0091/COMMENTS/Rev%20A/CLIENT" TargetMode="External"/><Relationship Id="rId356" Type="http://schemas.openxmlformats.org/officeDocument/2006/relationships/hyperlink" Target="../DRAWINGS/2207-NN-1028/Rev%20A" TargetMode="External"/><Relationship Id="rId398" Type="http://schemas.openxmlformats.org/officeDocument/2006/relationships/hyperlink" Target="../DRAWINGS/2207-NN-1108/Rev%20A" TargetMode="External"/><Relationship Id="rId521" Type="http://schemas.openxmlformats.org/officeDocument/2006/relationships/hyperlink" Target="../DRAWINGS/2207-NN-1116/Rev%20A" TargetMode="External"/><Relationship Id="rId563" Type="http://schemas.openxmlformats.org/officeDocument/2006/relationships/hyperlink" Target="../DRAWINGS/2207-NN-1112/COMMENTS/Rev%20A/GMC" TargetMode="External"/><Relationship Id="rId619" Type="http://schemas.openxmlformats.org/officeDocument/2006/relationships/hyperlink" Target="../DRAWINGS/2207-NN-1160/REV-A" TargetMode="External"/><Relationship Id="rId770" Type="http://schemas.openxmlformats.org/officeDocument/2006/relationships/hyperlink" Target="../DRAWINGS/2207-NN-0122/REV-A" TargetMode="External"/><Relationship Id="rId95" Type="http://schemas.openxmlformats.org/officeDocument/2006/relationships/hyperlink" Target="../../2207/DRAWING/2207-NN-0067/COMMENTS/Rev%20B/CLIENT" TargetMode="External"/><Relationship Id="rId160" Type="http://schemas.openxmlformats.org/officeDocument/2006/relationships/hyperlink" Target="../../2207/DRAWING/2207-NN-0075/COMMENTS/Rev%20A/GMC" TargetMode="External"/><Relationship Id="rId216" Type="http://schemas.openxmlformats.org/officeDocument/2006/relationships/hyperlink" Target="../../2207/DRAWING/2207-NN-0078/COMMENTS/Rev%20A/CLIENT" TargetMode="External"/><Relationship Id="rId423" Type="http://schemas.openxmlformats.org/officeDocument/2006/relationships/hyperlink" Target="../DRAWINGS/2207-NN-1092/Rev%20A" TargetMode="External"/><Relationship Id="rId826" Type="http://schemas.openxmlformats.org/officeDocument/2006/relationships/drawing" Target="../drawings/drawing3.xml"/><Relationship Id="rId258" Type="http://schemas.openxmlformats.org/officeDocument/2006/relationships/hyperlink" Target="../../2207/DRAWING/2207-NN-0154/Rev%20A" TargetMode="External"/><Relationship Id="rId465" Type="http://schemas.openxmlformats.org/officeDocument/2006/relationships/hyperlink" Target="../DRAWINGS/2207-NN-1036/COMMENTS/Rev%20B/CLIENT" TargetMode="External"/><Relationship Id="rId630" Type="http://schemas.openxmlformats.org/officeDocument/2006/relationships/hyperlink" Target="../DRAWINGS/2207-NN-1138/REV-A" TargetMode="External"/><Relationship Id="rId672" Type="http://schemas.openxmlformats.org/officeDocument/2006/relationships/hyperlink" Target="../DRAWINGS/2207-NN-1111/COMMENTS/Rev%200/CLIENT" TargetMode="External"/><Relationship Id="rId728" Type="http://schemas.openxmlformats.org/officeDocument/2006/relationships/hyperlink" Target="../DRAWINGS/2207-NN-0133/COMMENTS/Rev%20A/CLIENT" TargetMode="External"/><Relationship Id="rId22" Type="http://schemas.openxmlformats.org/officeDocument/2006/relationships/hyperlink" Target="..\..\..\DRAWING\2207-NN-0036\REV-A" TargetMode="External"/><Relationship Id="rId64" Type="http://schemas.openxmlformats.org/officeDocument/2006/relationships/hyperlink" Target="../../2207/DRAWING/2207-NN-0001/COMMENTS/Rev%20A/GMC" TargetMode="External"/><Relationship Id="rId118" Type="http://schemas.openxmlformats.org/officeDocument/2006/relationships/hyperlink" Target="../../2207/DRAWING/2207-NN-0094/COMMENTS/Rev%20A/GMC" TargetMode="External"/><Relationship Id="rId325" Type="http://schemas.openxmlformats.org/officeDocument/2006/relationships/hyperlink" Target="../../2207/DRAWING/2207-NN-0100/COMMENTS/Rev%20B/CLIENT" TargetMode="External"/><Relationship Id="rId367" Type="http://schemas.openxmlformats.org/officeDocument/2006/relationships/hyperlink" Target="../DRAWINGS/2207-NN-1056/Rev%20A" TargetMode="External"/><Relationship Id="rId532" Type="http://schemas.openxmlformats.org/officeDocument/2006/relationships/hyperlink" Target="..\DRAWINGS\2207-NN-1116\COMMENTS\Rev%20A\CLIENT" TargetMode="External"/><Relationship Id="rId574" Type="http://schemas.openxmlformats.org/officeDocument/2006/relationships/hyperlink" Target="../DRAWINGS/2207-NN-1074/REV-A" TargetMode="External"/><Relationship Id="rId171" Type="http://schemas.openxmlformats.org/officeDocument/2006/relationships/hyperlink" Target="../../2207/DRAWING/2207-NN-0080/COMMENTS/Rev%20A/GMC" TargetMode="External"/><Relationship Id="rId227" Type="http://schemas.openxmlformats.org/officeDocument/2006/relationships/hyperlink" Target="../../2207/DRAWING/2207-NN-0090/COMMENTS/Rev%20A" TargetMode="External"/><Relationship Id="rId781" Type="http://schemas.openxmlformats.org/officeDocument/2006/relationships/hyperlink" Target="../DRAWINGS/2207-NN-1122/COMMENTS/Rev%20A/CLIENT" TargetMode="External"/><Relationship Id="rId269" Type="http://schemas.openxmlformats.org/officeDocument/2006/relationships/hyperlink" Target="../../2207/DRAWING/2207-NN-0098/Rev%20A" TargetMode="External"/><Relationship Id="rId434" Type="http://schemas.openxmlformats.org/officeDocument/2006/relationships/hyperlink" Target="../DRAWINGS/2207-NN-1093/COMMENTS/Rev%20A/GMC" TargetMode="External"/><Relationship Id="rId476" Type="http://schemas.openxmlformats.org/officeDocument/2006/relationships/hyperlink" Target="../DRAWINGS/2207-NN-1156/Rev%20A" TargetMode="External"/><Relationship Id="rId641" Type="http://schemas.openxmlformats.org/officeDocument/2006/relationships/hyperlink" Target="../DRAWINGS/2207-NN-0132/Rev%20A" TargetMode="External"/><Relationship Id="rId683" Type="http://schemas.openxmlformats.org/officeDocument/2006/relationships/hyperlink" Target="../DRAWINGS/2207-NN-1125/COMMENTS/Rev%20A/CLIENT" TargetMode="External"/><Relationship Id="rId739" Type="http://schemas.openxmlformats.org/officeDocument/2006/relationships/hyperlink" Target="../DRAWINGS/2207-NN-1135/COMMENTS/Rev%20A/CLIENT" TargetMode="External"/><Relationship Id="rId33" Type="http://schemas.openxmlformats.org/officeDocument/2006/relationships/hyperlink" Target="..\..\..\DRAWING\2207-NN-0054\REV-A" TargetMode="External"/><Relationship Id="rId129" Type="http://schemas.openxmlformats.org/officeDocument/2006/relationships/hyperlink" Target="../../2207/DRAWING/2207-NN-0099/Rev%20A" TargetMode="External"/><Relationship Id="rId280" Type="http://schemas.openxmlformats.org/officeDocument/2006/relationships/hyperlink" Target="../../2207/DRAWING/2207-NN-0154/COMMENTS/Rev%20A/GMC" TargetMode="External"/><Relationship Id="rId336" Type="http://schemas.openxmlformats.org/officeDocument/2006/relationships/hyperlink" Target="../../2207/DRAWING/2207-NN-0096/COMMENTS/Rev%20A/GMC" TargetMode="External"/><Relationship Id="rId501" Type="http://schemas.openxmlformats.org/officeDocument/2006/relationships/hyperlink" Target="../DRAWINGS/2207-NN-1113/Rev%200" TargetMode="External"/><Relationship Id="rId543" Type="http://schemas.openxmlformats.org/officeDocument/2006/relationships/hyperlink" Target="..\DRAWINGS\2207-NN-1121\Rev%20A" TargetMode="External"/><Relationship Id="rId75" Type="http://schemas.openxmlformats.org/officeDocument/2006/relationships/hyperlink" Target="../../2207/DRAWING/2207-NN-0059/COMMENTS/Rev%20A/GMC" TargetMode="External"/><Relationship Id="rId140" Type="http://schemas.openxmlformats.org/officeDocument/2006/relationships/hyperlink" Target="../../2207/DRAWING/2207-NN-0071/Rev%20B" TargetMode="External"/><Relationship Id="rId182" Type="http://schemas.openxmlformats.org/officeDocument/2006/relationships/hyperlink" Target="../../2207/DRAWING/2207-NN-0145/COMMENTS/Rev%20A/GMC" TargetMode="External"/><Relationship Id="rId378" Type="http://schemas.openxmlformats.org/officeDocument/2006/relationships/hyperlink" Target="../DRAWINGS/2207-NN-1041/COMMENTS/Rev%20A/GMC" TargetMode="External"/><Relationship Id="rId403" Type="http://schemas.openxmlformats.org/officeDocument/2006/relationships/hyperlink" Target="../DRAWINGS/2207-NN-1011/COMMENTS/Rev%20A/CLIENT" TargetMode="External"/><Relationship Id="rId585" Type="http://schemas.openxmlformats.org/officeDocument/2006/relationships/hyperlink" Target="..\DRAWINGS\2207-NN-1105\REV-0" TargetMode="External"/><Relationship Id="rId750" Type="http://schemas.openxmlformats.org/officeDocument/2006/relationships/hyperlink" Target="../DRAWINGS/2207-NN-1141/COMMENTS/Rev%20A/CLIENT" TargetMode="External"/><Relationship Id="rId792" Type="http://schemas.openxmlformats.org/officeDocument/2006/relationships/hyperlink" Target="..\DRAWINGS\2207-NN-1122\REV-0" TargetMode="External"/><Relationship Id="rId806" Type="http://schemas.openxmlformats.org/officeDocument/2006/relationships/hyperlink" Target="..\DRAWINGS\2207-NN-1119\COMMENTS\REV-0\MWS" TargetMode="External"/><Relationship Id="rId6" Type="http://schemas.openxmlformats.org/officeDocument/2006/relationships/hyperlink" Target="..\..\..\DRAWING\2207-NN-0009\REV-A" TargetMode="External"/><Relationship Id="rId238" Type="http://schemas.openxmlformats.org/officeDocument/2006/relationships/hyperlink" Target="../../2207/DRAWING/2207-NN-0088/COMMENTS/Rev%20A/GMC" TargetMode="External"/><Relationship Id="rId445" Type="http://schemas.openxmlformats.org/officeDocument/2006/relationships/hyperlink" Target="..\DRAWINGS\2207-NN-1143\COMMENTS\Rev%20A\CLIENT" TargetMode="External"/><Relationship Id="rId487" Type="http://schemas.openxmlformats.org/officeDocument/2006/relationships/hyperlink" Target="../DRAWINGS/2207-NN-1067/COMMENTS/Rev%20A/CLIENT" TargetMode="External"/><Relationship Id="rId610" Type="http://schemas.openxmlformats.org/officeDocument/2006/relationships/hyperlink" Target="../DRAWINGS/2207-NN-1102/REV-A" TargetMode="External"/><Relationship Id="rId652" Type="http://schemas.openxmlformats.org/officeDocument/2006/relationships/hyperlink" Target="../DRAWINGS/2207-NN-1128/COMMENTS/Rev%20A/GMC" TargetMode="External"/><Relationship Id="rId694" Type="http://schemas.openxmlformats.org/officeDocument/2006/relationships/hyperlink" Target="../DRAWINGS/2207-NN-1075/COMMENTS/Rev%20A/CLIENT" TargetMode="External"/><Relationship Id="rId708" Type="http://schemas.openxmlformats.org/officeDocument/2006/relationships/hyperlink" Target="../DRAWINGS/2207-NN-0120/COMMENTS/Rev%202/CLIENT" TargetMode="External"/><Relationship Id="rId291" Type="http://schemas.openxmlformats.org/officeDocument/2006/relationships/hyperlink" Target="../../2207/DRAWING/2207-NN-0108/COMMENTS/Rev%200/CLIENT" TargetMode="External"/><Relationship Id="rId305" Type="http://schemas.openxmlformats.org/officeDocument/2006/relationships/hyperlink" Target="../../2207/DRAWING/2207-NN-0101/COMMENTS/Rev%20A/CLIENT" TargetMode="External"/><Relationship Id="rId347" Type="http://schemas.openxmlformats.org/officeDocument/2006/relationships/hyperlink" Target="../DRAWINGS/2207-NN-1006/Rev%20A" TargetMode="External"/><Relationship Id="rId512" Type="http://schemas.openxmlformats.org/officeDocument/2006/relationships/hyperlink" Target="../DRAWINGS/2207-NN-1115/Rev%20A" TargetMode="External"/><Relationship Id="rId44" Type="http://schemas.openxmlformats.org/officeDocument/2006/relationships/hyperlink" Target="../../2207/DRAWING/2207-NN-0017/COMMENTS/Rev%20A/GMC" TargetMode="External"/><Relationship Id="rId86" Type="http://schemas.openxmlformats.org/officeDocument/2006/relationships/hyperlink" Target="../../2207/DRAWING/2207-NN-0068/REV-%20A" TargetMode="External"/><Relationship Id="rId151" Type="http://schemas.openxmlformats.org/officeDocument/2006/relationships/hyperlink" Target="../../2207/DRAWING/2207-NN-0077/REV%20A" TargetMode="External"/><Relationship Id="rId389" Type="http://schemas.openxmlformats.org/officeDocument/2006/relationships/hyperlink" Target="../DRAWINGS/2207-NN-1038/COMMENTS/Rev%20A/GMC" TargetMode="External"/><Relationship Id="rId554" Type="http://schemas.openxmlformats.org/officeDocument/2006/relationships/hyperlink" Target="../DRAWINGS/2207-NN-1105/COMMENTS/Rev%20A/GMC" TargetMode="External"/><Relationship Id="rId596" Type="http://schemas.openxmlformats.org/officeDocument/2006/relationships/hyperlink" Target="../DRAWINGS/2207-NN-1100/COMMENTS/Rev%20A/GMC" TargetMode="External"/><Relationship Id="rId761" Type="http://schemas.openxmlformats.org/officeDocument/2006/relationships/hyperlink" Target="../DRAWINGS/2207-NN-1162/COMMENTS/Rev%20B/GMC" TargetMode="External"/><Relationship Id="rId817" Type="http://schemas.openxmlformats.org/officeDocument/2006/relationships/hyperlink" Target="..\DRAWINGS\2207-NN-1120\COMMENTS\REV-0\CLIENT" TargetMode="External"/><Relationship Id="rId193" Type="http://schemas.openxmlformats.org/officeDocument/2006/relationships/hyperlink" Target="../../2207/DRAWING/2207-NN-0097/COMMENTS/Rev%20A/GMC" TargetMode="External"/><Relationship Id="rId207" Type="http://schemas.openxmlformats.org/officeDocument/2006/relationships/hyperlink" Target="../../2207/DRAWING/2207-NN-0111/REV%20B" TargetMode="External"/><Relationship Id="rId249" Type="http://schemas.openxmlformats.org/officeDocument/2006/relationships/hyperlink" Target="../../2207/DRAWING/2207-NN-0153/COMMENTS/Rev%20A/GMC" TargetMode="External"/><Relationship Id="rId414" Type="http://schemas.openxmlformats.org/officeDocument/2006/relationships/hyperlink" Target="../DRAWINGS/2207-NN-1038/COMMENTS/Rev%20A/CLIENT" TargetMode="External"/><Relationship Id="rId456" Type="http://schemas.openxmlformats.org/officeDocument/2006/relationships/hyperlink" Target="../DRAWINGS/2207-NN-1065/COMMENTS/Rev%20A/GMC" TargetMode="External"/><Relationship Id="rId498" Type="http://schemas.openxmlformats.org/officeDocument/2006/relationships/hyperlink" Target="../DRAWINGS/2207-NN-1069/Rev%20A" TargetMode="External"/><Relationship Id="rId621" Type="http://schemas.openxmlformats.org/officeDocument/2006/relationships/hyperlink" Target="../DRAWINGS/2207-NN-1129/REV-A" TargetMode="External"/><Relationship Id="rId663" Type="http://schemas.openxmlformats.org/officeDocument/2006/relationships/hyperlink" Target="../DRAWINGS/2207-NN-1100/COMMENTS/Rev%20A/CLIENT" TargetMode="External"/><Relationship Id="rId13" Type="http://schemas.openxmlformats.org/officeDocument/2006/relationships/hyperlink" Target="../../../DRAWING/2207-NN-0021/REV-A" TargetMode="External"/><Relationship Id="rId109" Type="http://schemas.openxmlformats.org/officeDocument/2006/relationships/hyperlink" Target="../../2207/DRAWING/2207-NN-0071/COMMENTS/Rev%20A/GMC" TargetMode="External"/><Relationship Id="rId260" Type="http://schemas.openxmlformats.org/officeDocument/2006/relationships/hyperlink" Target="../../2207/DRAWING/2207-NN-0108/COMMENTS/Rev%20A/CLIENT" TargetMode="External"/><Relationship Id="rId316" Type="http://schemas.openxmlformats.org/officeDocument/2006/relationships/hyperlink" Target="../../2207/DRAWING/2207-NN-0081/COMMENTS/Rev%20A/CLIENT" TargetMode="External"/><Relationship Id="rId523" Type="http://schemas.openxmlformats.org/officeDocument/2006/relationships/hyperlink" Target="../DRAWINGS/2207-NN-1107/COMMENTS/Rev%200/CLIENT" TargetMode="External"/><Relationship Id="rId719" Type="http://schemas.openxmlformats.org/officeDocument/2006/relationships/hyperlink" Target="../DRAWINGS/2207-NN-1069/COMMENTS/Rev%20A/GMC" TargetMode="External"/><Relationship Id="rId55" Type="http://schemas.openxmlformats.org/officeDocument/2006/relationships/hyperlink" Target="../../2207/DRAWING/2207-NN-0021/COMMENTS/Rev%20A/GMC" TargetMode="External"/><Relationship Id="rId97" Type="http://schemas.openxmlformats.org/officeDocument/2006/relationships/hyperlink" Target="../../2207/DRAWING/2207-NN-0070/Rev%20A" TargetMode="External"/><Relationship Id="rId120" Type="http://schemas.openxmlformats.org/officeDocument/2006/relationships/hyperlink" Target="../../2207/DRAWING/2207-NN-0142/Rev%20A" TargetMode="External"/><Relationship Id="rId358" Type="http://schemas.openxmlformats.org/officeDocument/2006/relationships/hyperlink" Target="../DRAWINGS/2207-NN-1033/Rev%20A" TargetMode="External"/><Relationship Id="rId565" Type="http://schemas.openxmlformats.org/officeDocument/2006/relationships/hyperlink" Target="../DRAWINGS/2207-NN-1115/COMMENTS/Rev%20A/GMC" TargetMode="External"/><Relationship Id="rId730" Type="http://schemas.openxmlformats.org/officeDocument/2006/relationships/hyperlink" Target="../DRAWINGS/2207-NN-0135/COMMENTS/Rev%20A/CLIENT" TargetMode="External"/><Relationship Id="rId772" Type="http://schemas.openxmlformats.org/officeDocument/2006/relationships/hyperlink" Target="../DRAWINGS/2207-NN-1127/REV-A" TargetMode="External"/><Relationship Id="rId162" Type="http://schemas.openxmlformats.org/officeDocument/2006/relationships/hyperlink" Target="../../2207/DRAWING/2207-NN-0119/REV%20A" TargetMode="External"/><Relationship Id="rId218" Type="http://schemas.openxmlformats.org/officeDocument/2006/relationships/hyperlink" Target="../../2207/DRAWING/2207-NN-0092/COMMENTS/Rev%20A/CLIENT" TargetMode="External"/><Relationship Id="rId425" Type="http://schemas.openxmlformats.org/officeDocument/2006/relationships/hyperlink" Target="../DRAWINGS/2207-NN-1107/Rev%20A" TargetMode="External"/><Relationship Id="rId467" Type="http://schemas.openxmlformats.org/officeDocument/2006/relationships/hyperlink" Target="../DRAWINGS/2207-NN-1046/COMMENTS/Rev%20B/CLIENT" TargetMode="External"/><Relationship Id="rId632" Type="http://schemas.openxmlformats.org/officeDocument/2006/relationships/hyperlink" Target="../DRAWINGS/2207-NN-1140/REV-A" TargetMode="External"/><Relationship Id="rId271" Type="http://schemas.openxmlformats.org/officeDocument/2006/relationships/hyperlink" Target="../../2207/DRAWING/2207-NN-0091/COMMENTS/Rev%20B/CLIENT" TargetMode="External"/><Relationship Id="rId674" Type="http://schemas.openxmlformats.org/officeDocument/2006/relationships/hyperlink" Target="../DRAWINGS/2207-NN-1103/COMMENTS/Rev%20A/CLIENT" TargetMode="External"/><Relationship Id="rId24" Type="http://schemas.openxmlformats.org/officeDocument/2006/relationships/hyperlink" Target="..\..\..\DRAWING\2207-NN-0039\REV-A" TargetMode="External"/><Relationship Id="rId66" Type="http://schemas.openxmlformats.org/officeDocument/2006/relationships/hyperlink" Target="../../2207/DRAWING/2207-NN-0011/COMMENTS/Rev%20A/GMC" TargetMode="External"/><Relationship Id="rId131" Type="http://schemas.openxmlformats.org/officeDocument/2006/relationships/hyperlink" Target="../../2207/DRAWING/2207-NN-0147/Rev%20A" TargetMode="External"/><Relationship Id="rId327" Type="http://schemas.openxmlformats.org/officeDocument/2006/relationships/hyperlink" Target="../../2207/DRAWING/2207-NN-0115/COMMENTS/Rev%20B/CLIENT" TargetMode="External"/><Relationship Id="rId369" Type="http://schemas.openxmlformats.org/officeDocument/2006/relationships/hyperlink" Target="../DRAWINGS/2207-NN-1142/Rev%20A" TargetMode="External"/><Relationship Id="rId534" Type="http://schemas.openxmlformats.org/officeDocument/2006/relationships/hyperlink" Target="../DRAWINGS/2207-NN-1114/Rev%200" TargetMode="External"/><Relationship Id="rId576" Type="http://schemas.openxmlformats.org/officeDocument/2006/relationships/hyperlink" Target="..\DRAWINGS\2207-NN-1117\Rev%200" TargetMode="External"/><Relationship Id="rId741" Type="http://schemas.openxmlformats.org/officeDocument/2006/relationships/hyperlink" Target="../DRAWINGS/2207-NN-1137/COMMENTS/Rev%20A/CLIENT" TargetMode="External"/><Relationship Id="rId783" Type="http://schemas.openxmlformats.org/officeDocument/2006/relationships/hyperlink" Target="../DRAWINGS/2207-NN-0122/COMMENTS/Rev%20A/CLIENT" TargetMode="External"/><Relationship Id="rId173" Type="http://schemas.openxmlformats.org/officeDocument/2006/relationships/hyperlink" Target="../../2207/DRAWING/2207-NN-0082/COMMENTS/Rev%20A/GMC" TargetMode="External"/><Relationship Id="rId229" Type="http://schemas.openxmlformats.org/officeDocument/2006/relationships/hyperlink" Target="../../2207/DRAWING/2207-NN-0109/COMMENTS/Rev%20A/GMC" TargetMode="External"/><Relationship Id="rId380" Type="http://schemas.openxmlformats.org/officeDocument/2006/relationships/hyperlink" Target="../DRAWINGS/2207-NN-1051/COMMENTS/Rev%20A/GMC" TargetMode="External"/><Relationship Id="rId436" Type="http://schemas.openxmlformats.org/officeDocument/2006/relationships/hyperlink" Target="../DRAWINGS/2207-NN-1109/COMMENTS/Rev%20A/GMC" TargetMode="External"/><Relationship Id="rId601" Type="http://schemas.openxmlformats.org/officeDocument/2006/relationships/hyperlink" Target="../DRAWINGS/2207-NN-0155/COMMENTS/Rev%20A/CLIENT" TargetMode="External"/><Relationship Id="rId643" Type="http://schemas.openxmlformats.org/officeDocument/2006/relationships/hyperlink" Target="../DRAWINGS/2207-NN-0134/Rev%20A" TargetMode="External"/><Relationship Id="rId240" Type="http://schemas.openxmlformats.org/officeDocument/2006/relationships/hyperlink" Target="../../2207/DRAWING/2207-NN-0103/COMMENTS/Rev%20A/GMC" TargetMode="External"/><Relationship Id="rId478" Type="http://schemas.openxmlformats.org/officeDocument/2006/relationships/hyperlink" Target="../DRAWINGS/2207-NN-1061/COMMENTS/Rev%20A/CLIENT" TargetMode="External"/><Relationship Id="rId685" Type="http://schemas.openxmlformats.org/officeDocument/2006/relationships/hyperlink" Target="../DRAWINGS/2207-NN-0120/COMMENTS/Rev%200/CLIENT" TargetMode="External"/><Relationship Id="rId35" Type="http://schemas.openxmlformats.org/officeDocument/2006/relationships/hyperlink" Target="..\..\..\DRAWING\2207-NN-0057\REV-A" TargetMode="External"/><Relationship Id="rId77" Type="http://schemas.openxmlformats.org/officeDocument/2006/relationships/hyperlink" Target="../../2207/DRAWING/2207-NN-0004/COMMENTS/Rev%20A/GMC" TargetMode="External"/><Relationship Id="rId100" Type="http://schemas.openxmlformats.org/officeDocument/2006/relationships/hyperlink" Target="../../2207/DRAWING/2207-NN-0067/COMMENTS/Rev%20C/CLIENT" TargetMode="External"/><Relationship Id="rId282" Type="http://schemas.openxmlformats.org/officeDocument/2006/relationships/hyperlink" Target="../../2207/DRAWING/2207-NN-0098/Rev%20B" TargetMode="External"/><Relationship Id="rId338" Type="http://schemas.openxmlformats.org/officeDocument/2006/relationships/hyperlink" Target="../../2207/DRAWING/2207-NN-0118/REV%20A" TargetMode="External"/><Relationship Id="rId503" Type="http://schemas.openxmlformats.org/officeDocument/2006/relationships/hyperlink" Target="../DRAWINGS/2207-NN-1108/Rev%200" TargetMode="External"/><Relationship Id="rId545" Type="http://schemas.openxmlformats.org/officeDocument/2006/relationships/hyperlink" Target="..\DRAWINGS\2207-NN-1105\Rev%20A" TargetMode="External"/><Relationship Id="rId587" Type="http://schemas.openxmlformats.org/officeDocument/2006/relationships/hyperlink" Target="..\DRAWINGS\2207-NN-1121\REV-0" TargetMode="External"/><Relationship Id="rId710" Type="http://schemas.openxmlformats.org/officeDocument/2006/relationships/hyperlink" Target="../DRAWINGS/2207-NN-1075/COMMENTS/Rev%20A/GMC" TargetMode="External"/><Relationship Id="rId752" Type="http://schemas.openxmlformats.org/officeDocument/2006/relationships/hyperlink" Target="../DRAWINGS/2207-NN-1162/REV%20A" TargetMode="External"/><Relationship Id="rId808" Type="http://schemas.openxmlformats.org/officeDocument/2006/relationships/hyperlink" Target="..\DRAWINGS\2207-NN-1122\COMMENTS\REV-0" TargetMode="External"/><Relationship Id="rId8" Type="http://schemas.openxmlformats.org/officeDocument/2006/relationships/hyperlink" Target="..\..\..\DRAWING\2207-NN-0012\REV-A" TargetMode="External"/><Relationship Id="rId142" Type="http://schemas.openxmlformats.org/officeDocument/2006/relationships/hyperlink" Target="../../2207/DRAWING/2207-NN-0143/COMMENTS/Rev%20A/CLIENT" TargetMode="External"/><Relationship Id="rId184" Type="http://schemas.openxmlformats.org/officeDocument/2006/relationships/hyperlink" Target="../../2207/DRAWING/2207-NN-0147/COMMENTS/Rev%20A/GMC" TargetMode="External"/><Relationship Id="rId391" Type="http://schemas.openxmlformats.org/officeDocument/2006/relationships/hyperlink" Target="../DRAWINGS/2207-NN-1048/COMMENTS/Rev%20A/GMC" TargetMode="External"/><Relationship Id="rId405" Type="http://schemas.openxmlformats.org/officeDocument/2006/relationships/hyperlink" Target="../DRAWINGS/2207-NN-1016/COMMENTS/Rev%20A/CLIENT" TargetMode="External"/><Relationship Id="rId447" Type="http://schemas.openxmlformats.org/officeDocument/2006/relationships/hyperlink" Target="../DRAWINGS/2207-NN-1114/Rev%20A" TargetMode="External"/><Relationship Id="rId612" Type="http://schemas.openxmlformats.org/officeDocument/2006/relationships/hyperlink" Target="../DRAWINGS/2207-NN-1111/Rev%200" TargetMode="External"/><Relationship Id="rId794" Type="http://schemas.openxmlformats.org/officeDocument/2006/relationships/hyperlink" Target="..\DRAWINGS\2207-NN-1127\REV-0" TargetMode="External"/><Relationship Id="rId251" Type="http://schemas.openxmlformats.org/officeDocument/2006/relationships/hyperlink" Target="../../2207/DRAWING/2207-NN-0092/COMMENTS/Rev%20B/GMC" TargetMode="External"/><Relationship Id="rId489" Type="http://schemas.openxmlformats.org/officeDocument/2006/relationships/hyperlink" Target="../DRAWINGS/2207-NN-1065/COMMENTS/Rev%200/CLIENT" TargetMode="External"/><Relationship Id="rId654" Type="http://schemas.openxmlformats.org/officeDocument/2006/relationships/hyperlink" Target="../DRAWINGS/2207-NN-1159/COMMENTS/Rev%20A/GMC" TargetMode="External"/><Relationship Id="rId696" Type="http://schemas.openxmlformats.org/officeDocument/2006/relationships/hyperlink" Target="../DRAWINGS/2207-NN-1078/COMMENTS/Rev%20A/CLIENT" TargetMode="External"/><Relationship Id="rId46" Type="http://schemas.openxmlformats.org/officeDocument/2006/relationships/hyperlink" Target="../../2207/DRAWING/2207-NN-0027/COMMENTS/Rev%20A/GMC" TargetMode="External"/><Relationship Id="rId293" Type="http://schemas.openxmlformats.org/officeDocument/2006/relationships/hyperlink" Target="../../2207/DRAWING/2207-NN-0093/Rev%20A" TargetMode="External"/><Relationship Id="rId307" Type="http://schemas.openxmlformats.org/officeDocument/2006/relationships/hyperlink" Target="../../2207/DRAWING/2207-NN-0084/COMMENTS/Rev%20A/CLIENT" TargetMode="External"/><Relationship Id="rId349" Type="http://schemas.openxmlformats.org/officeDocument/2006/relationships/hyperlink" Target="../DRAWINGS/2207-NN-1011/Rev%20A" TargetMode="External"/><Relationship Id="rId514" Type="http://schemas.openxmlformats.org/officeDocument/2006/relationships/hyperlink" Target="../DRAWINGS/2207-NN-1112/Rev%20A" TargetMode="External"/><Relationship Id="rId556" Type="http://schemas.openxmlformats.org/officeDocument/2006/relationships/hyperlink" Target="..\DRAWINGS\2207-NN-1106\COMMENTS\Rev%200\GMC" TargetMode="External"/><Relationship Id="rId721" Type="http://schemas.openxmlformats.org/officeDocument/2006/relationships/hyperlink" Target="../DRAWINGS/2207-NN-0126/COMMENTS/Rev%20A/CLIENT" TargetMode="External"/><Relationship Id="rId763" Type="http://schemas.openxmlformats.org/officeDocument/2006/relationships/hyperlink" Target="..\DRAWINGS\2207-NN-1066\COMMENTS\Rev%20A\CLIENT" TargetMode="External"/><Relationship Id="rId88" Type="http://schemas.openxmlformats.org/officeDocument/2006/relationships/hyperlink" Target="../../2207/DRAWING/2207-NN-0067/Rev%20B" TargetMode="External"/><Relationship Id="rId111" Type="http://schemas.openxmlformats.org/officeDocument/2006/relationships/hyperlink" Target="../../2207/DRAWING/2207-NN-0079/COMMENTS/Rev%20A/CLIENT" TargetMode="External"/><Relationship Id="rId153" Type="http://schemas.openxmlformats.org/officeDocument/2006/relationships/hyperlink" Target="../../2207/DRAWING/2207-NN-0071/COMMENTS/Rev%20B/GMC" TargetMode="External"/><Relationship Id="rId195" Type="http://schemas.openxmlformats.org/officeDocument/2006/relationships/hyperlink" Target="../../2207/DRAWING/2207-NN-0095/REV%20A" TargetMode="External"/><Relationship Id="rId209" Type="http://schemas.openxmlformats.org/officeDocument/2006/relationships/hyperlink" Target="../../2207/DRAWING/2207-NN-0105/Rev%20A" TargetMode="External"/><Relationship Id="rId360" Type="http://schemas.openxmlformats.org/officeDocument/2006/relationships/hyperlink" Target="../DRAWINGS/2207-NN-1038/Rev%20A" TargetMode="External"/><Relationship Id="rId416" Type="http://schemas.openxmlformats.org/officeDocument/2006/relationships/hyperlink" Target="../DRAWINGS/2207-NN-1043/COMMENTS/Rev%20A/CLIENT" TargetMode="External"/><Relationship Id="rId598" Type="http://schemas.openxmlformats.org/officeDocument/2006/relationships/hyperlink" Target="../DRAWINGS/2207-NN-1106/COMMENTS/Rev%201/GM" TargetMode="External"/><Relationship Id="rId819" Type="http://schemas.openxmlformats.org/officeDocument/2006/relationships/hyperlink" Target="..\DRAWINGS\2207-NN-1122\COMMENTS\REV-0\COMMENTS\CLIENT" TargetMode="External"/><Relationship Id="rId220" Type="http://schemas.openxmlformats.org/officeDocument/2006/relationships/hyperlink" Target="../../2207/DRAWING/2207-NN-0100/REV%20A" TargetMode="External"/><Relationship Id="rId458" Type="http://schemas.openxmlformats.org/officeDocument/2006/relationships/hyperlink" Target="../DRAWINGS/2207-NN-1066/REV-A" TargetMode="External"/><Relationship Id="rId623" Type="http://schemas.openxmlformats.org/officeDocument/2006/relationships/hyperlink" Target="../DRAWINGS/2207-NN-1131/REV-A" TargetMode="External"/><Relationship Id="rId665" Type="http://schemas.openxmlformats.org/officeDocument/2006/relationships/hyperlink" Target="../DRAWINGS/2207-NN-1117/COMMENTS/Rev%200/CLIENT" TargetMode="External"/><Relationship Id="rId15" Type="http://schemas.openxmlformats.org/officeDocument/2006/relationships/hyperlink" Target="../../../DRAWING/2207-NN-0024/REV-A" TargetMode="External"/><Relationship Id="rId57" Type="http://schemas.openxmlformats.org/officeDocument/2006/relationships/hyperlink" Target="../../2207/DRAWING/2207-NN-0031/COMMENTS/Rev%20A/GMC" TargetMode="External"/><Relationship Id="rId262" Type="http://schemas.openxmlformats.org/officeDocument/2006/relationships/hyperlink" Target="../../2207/DRAWING/2207-NN-0110/REV%20A" TargetMode="External"/><Relationship Id="rId318" Type="http://schemas.openxmlformats.org/officeDocument/2006/relationships/hyperlink" Target="../../2207/DRAWING/2207-NN-0095/COMMENTS/Rev%20A/CLIENT" TargetMode="External"/><Relationship Id="rId525" Type="http://schemas.openxmlformats.org/officeDocument/2006/relationships/hyperlink" Target="../DRAWINGS/2207-NN-1115/COMMENTS/Rev%20A/CLIENT" TargetMode="External"/><Relationship Id="rId567" Type="http://schemas.openxmlformats.org/officeDocument/2006/relationships/hyperlink" Target="../DRAWINGS/2207-NN-1097/COMMENTS/Rev%20A/GMC" TargetMode="External"/><Relationship Id="rId732" Type="http://schemas.openxmlformats.org/officeDocument/2006/relationships/hyperlink" Target="../DRAWINGS/2207-NN-0137/COMMENTS/Rev%20A/CLIENT" TargetMode="External"/><Relationship Id="rId99" Type="http://schemas.openxmlformats.org/officeDocument/2006/relationships/hyperlink" Target="../../2207/DRAWING/2207-NN-0071/Rev%20A" TargetMode="External"/><Relationship Id="rId122" Type="http://schemas.openxmlformats.org/officeDocument/2006/relationships/hyperlink" Target="../../2207/DRAWING/2207-NN-0144/Rev%20A" TargetMode="External"/><Relationship Id="rId164" Type="http://schemas.openxmlformats.org/officeDocument/2006/relationships/hyperlink" Target="../../2207/DRAWING/2207-NN-0085/COMMENTS/Rev%20A/GMC" TargetMode="External"/><Relationship Id="rId371" Type="http://schemas.openxmlformats.org/officeDocument/2006/relationships/hyperlink" Target="../DRAWINGS/2207-NN-1006/COMMENTS/Rev%20A/GMC" TargetMode="External"/><Relationship Id="rId774" Type="http://schemas.openxmlformats.org/officeDocument/2006/relationships/hyperlink" Target="../DRAWINGS/2207-NN-1120/REV-A" TargetMode="External"/><Relationship Id="rId427" Type="http://schemas.openxmlformats.org/officeDocument/2006/relationships/hyperlink" Target="../DRAWINGS/2207-NN-1142/COMMENTS/Rev%20A/GMC" TargetMode="External"/><Relationship Id="rId469" Type="http://schemas.openxmlformats.org/officeDocument/2006/relationships/hyperlink" Target="../DRAWINGS/2207-NN-1065/Rev%200" TargetMode="External"/><Relationship Id="rId634" Type="http://schemas.openxmlformats.org/officeDocument/2006/relationships/hyperlink" Target="../DRAWINGS/2207-NN-0125/Rev%20A" TargetMode="External"/><Relationship Id="rId676" Type="http://schemas.openxmlformats.org/officeDocument/2006/relationships/hyperlink" Target="..\DRAWINGS\2207-NN-1118\COMMENTS\Rev%200\CLIENT" TargetMode="External"/><Relationship Id="rId26" Type="http://schemas.openxmlformats.org/officeDocument/2006/relationships/hyperlink" Target="..\..\..\DRAWING\2207-NN-0042\REV-A" TargetMode="External"/><Relationship Id="rId231" Type="http://schemas.openxmlformats.org/officeDocument/2006/relationships/hyperlink" Target="../../2207/DRAWING/2207-NN-0119/COMMENTS/Rev%20A/GMC" TargetMode="External"/><Relationship Id="rId273" Type="http://schemas.openxmlformats.org/officeDocument/2006/relationships/hyperlink" Target="../../2207/DRAWING/2207-NN-0111/COMMENTS/Rev%20D/CLIENT" TargetMode="External"/><Relationship Id="rId329" Type="http://schemas.openxmlformats.org/officeDocument/2006/relationships/hyperlink" Target="../../2207/DRAWING/2207-NN-0113/COMMENTS/Rev%20A/CLIENT" TargetMode="External"/><Relationship Id="rId480" Type="http://schemas.openxmlformats.org/officeDocument/2006/relationships/hyperlink" Target="..\DRAWINGS\2207-NN-1066\COMMENTS\Rev%20A\CLIENT" TargetMode="External"/><Relationship Id="rId536" Type="http://schemas.openxmlformats.org/officeDocument/2006/relationships/hyperlink" Target="../DRAWINGS/2207-NN-1111/Rev%20A" TargetMode="External"/><Relationship Id="rId701" Type="http://schemas.openxmlformats.org/officeDocument/2006/relationships/hyperlink" Target="../DRAWINGS/2207-NN-1126/COMMENTS/Rev%201/CLIENT" TargetMode="External"/><Relationship Id="rId68" Type="http://schemas.openxmlformats.org/officeDocument/2006/relationships/hyperlink" Target="../../2207/DRAWING/2207-NN-0024/COMMENTS/Rev%20A/GMC" TargetMode="External"/><Relationship Id="rId133" Type="http://schemas.openxmlformats.org/officeDocument/2006/relationships/hyperlink" Target="../../2207/DRAWING/2207-NN-0149/Rev%20A" TargetMode="External"/><Relationship Id="rId175" Type="http://schemas.openxmlformats.org/officeDocument/2006/relationships/hyperlink" Target="../../2207/DRAWING/2207-NN-0084/COMMENTS/Rev%20A/GMC" TargetMode="External"/><Relationship Id="rId340" Type="http://schemas.openxmlformats.org/officeDocument/2006/relationships/hyperlink" Target="../../2207/DRAWING/2207-NN-0118/COMMENTS/Rev%20A/GMC" TargetMode="External"/><Relationship Id="rId578" Type="http://schemas.openxmlformats.org/officeDocument/2006/relationships/hyperlink" Target="../DRAWINGS/2207-NN-1072/COMMENTS/Rev%20A/CLIENT" TargetMode="External"/><Relationship Id="rId743" Type="http://schemas.openxmlformats.org/officeDocument/2006/relationships/hyperlink" Target="../DRAWINGS/2207-NN-1139/COMMENTS/Rev%20A/CLIENT" TargetMode="External"/><Relationship Id="rId785" Type="http://schemas.openxmlformats.org/officeDocument/2006/relationships/hyperlink" Target="../DRAWINGS/2207-NN-1124/COMMENTS/Rev%20A/CLIENT" TargetMode="External"/><Relationship Id="rId200" Type="http://schemas.openxmlformats.org/officeDocument/2006/relationships/hyperlink" Target="../../2207/DRAWING/2207-NN-0108/Rev%20A" TargetMode="External"/><Relationship Id="rId382" Type="http://schemas.openxmlformats.org/officeDocument/2006/relationships/hyperlink" Target="../DRAWINGS/2207-NN-1003/COMMENTS/Rev%20A/GMC" TargetMode="External"/><Relationship Id="rId438" Type="http://schemas.openxmlformats.org/officeDocument/2006/relationships/hyperlink" Target="../DRAWINGS/2207-NN-1110/COMMENTS/Rev%20A/CLIENT" TargetMode="External"/><Relationship Id="rId603" Type="http://schemas.openxmlformats.org/officeDocument/2006/relationships/hyperlink" Target="..\DRAWINGS\2207-NN-1125\Rev%20A" TargetMode="External"/><Relationship Id="rId645" Type="http://schemas.openxmlformats.org/officeDocument/2006/relationships/hyperlink" Target="../DRAWINGS/2207-NN-0136/Rev%20A" TargetMode="External"/><Relationship Id="rId687" Type="http://schemas.openxmlformats.org/officeDocument/2006/relationships/hyperlink" Target="../DRAWINGS/2207-NN-1125/COMMENTS/Rev%200/CLIENT" TargetMode="External"/><Relationship Id="rId810" Type="http://schemas.openxmlformats.org/officeDocument/2006/relationships/hyperlink" Target="..\DRAWINGS\2207-NN-0122\REV-2" TargetMode="External"/><Relationship Id="rId242" Type="http://schemas.openxmlformats.org/officeDocument/2006/relationships/hyperlink" Target="../../2207/DRAWING/2207-NN-0085/COMMENTS/Rev%20B/GMC" TargetMode="External"/><Relationship Id="rId284" Type="http://schemas.openxmlformats.org/officeDocument/2006/relationships/hyperlink" Target="../../2207/DRAWING/2207-NN-0108/COMMENTS/Rev%200/GMC" TargetMode="External"/><Relationship Id="rId491" Type="http://schemas.openxmlformats.org/officeDocument/2006/relationships/hyperlink" Target="../DRAWINGS/2207-NN-1067/COMMENTS/Rev%200/CLIENT" TargetMode="External"/><Relationship Id="rId505" Type="http://schemas.openxmlformats.org/officeDocument/2006/relationships/hyperlink" Target="../DRAWINGS/2207-NN-1113/COMMENTS/Rev%200/GMC" TargetMode="External"/><Relationship Id="rId712" Type="http://schemas.openxmlformats.org/officeDocument/2006/relationships/hyperlink" Target="../DRAWINGS/2207-NN-1078/COMMENTS/Rev%20A/GMC" TargetMode="External"/><Relationship Id="rId37" Type="http://schemas.openxmlformats.org/officeDocument/2006/relationships/hyperlink" Target="..\..\..\DRAWING\2207-NN-0061\REV-A" TargetMode="External"/><Relationship Id="rId79" Type="http://schemas.openxmlformats.org/officeDocument/2006/relationships/hyperlink" Target="../../2207/DRAWING/2207-NN-0014/COMMENTS/Rev%20A/GMC" TargetMode="External"/><Relationship Id="rId102" Type="http://schemas.openxmlformats.org/officeDocument/2006/relationships/hyperlink" Target="../../2207/DRAWING/2207-NN-0067/COMMENTS/Rev%20A/GMC" TargetMode="External"/><Relationship Id="rId144" Type="http://schemas.openxmlformats.org/officeDocument/2006/relationships/hyperlink" Target="../../2207/DRAWING/2207-NN-0111/REV%20A" TargetMode="External"/><Relationship Id="rId547" Type="http://schemas.openxmlformats.org/officeDocument/2006/relationships/hyperlink" Target="..\DRAWINGS\2207-NN-1123\Rev%20A" TargetMode="External"/><Relationship Id="rId589" Type="http://schemas.openxmlformats.org/officeDocument/2006/relationships/hyperlink" Target="../DRAWINGS/2207-NN-1074/COMMENTS/Rev%20A/GMC" TargetMode="External"/><Relationship Id="rId754" Type="http://schemas.openxmlformats.org/officeDocument/2006/relationships/hyperlink" Target="../DRAWINGS/2207-NN-0120/COMMENTS/Rev%202/MWS" TargetMode="External"/><Relationship Id="rId796" Type="http://schemas.openxmlformats.org/officeDocument/2006/relationships/hyperlink" Target="..\DRAWINGS\2207-NN-1104\REV-1" TargetMode="External"/><Relationship Id="rId90" Type="http://schemas.openxmlformats.org/officeDocument/2006/relationships/hyperlink" Target="../../2207/DRAWING/2207-NN-0066/COMMENTS/Rev%20C/GMC" TargetMode="External"/><Relationship Id="rId186" Type="http://schemas.openxmlformats.org/officeDocument/2006/relationships/hyperlink" Target="../../2207/DRAWING/2207-NN-0149/COMMENTS/Rev%20A/GMC" TargetMode="External"/><Relationship Id="rId351" Type="http://schemas.openxmlformats.org/officeDocument/2006/relationships/hyperlink" Target="../DRAWINGS/2207-NN-1016/Rev%20A" TargetMode="External"/><Relationship Id="rId393" Type="http://schemas.openxmlformats.org/officeDocument/2006/relationships/hyperlink" Target="../DRAWINGS/2207-NN-1058/COMMENTS/Rev%20A/GMC" TargetMode="External"/><Relationship Id="rId407" Type="http://schemas.openxmlformats.org/officeDocument/2006/relationships/hyperlink" Target="../DRAWINGS/2207-NN-1021/COMMENTS/Rev%20A/CLIENT" TargetMode="External"/><Relationship Id="rId449" Type="http://schemas.openxmlformats.org/officeDocument/2006/relationships/hyperlink" Target="../DRAWINGS/2207-NN-1036/Rev%20B" TargetMode="External"/><Relationship Id="rId614" Type="http://schemas.openxmlformats.org/officeDocument/2006/relationships/hyperlink" Target="../DRAWINGS/2207-NN-1125/Rev%200" TargetMode="External"/><Relationship Id="rId656" Type="http://schemas.openxmlformats.org/officeDocument/2006/relationships/hyperlink" Target="../DRAWINGS/2207-NN-0120/COMMENTS/Rev%201/MWS" TargetMode="External"/><Relationship Id="rId821" Type="http://schemas.openxmlformats.org/officeDocument/2006/relationships/hyperlink" Target="..\DRAWINGS\2207-NN-1127\COMMENTS\REV-0\CLIENT" TargetMode="External"/><Relationship Id="rId211" Type="http://schemas.openxmlformats.org/officeDocument/2006/relationships/hyperlink" Target="../../2207/DRAWING/2207-NN-0076/REV-A" TargetMode="External"/><Relationship Id="rId253" Type="http://schemas.openxmlformats.org/officeDocument/2006/relationships/hyperlink" Target="../../2207/DRAWING/2207-NN-0121/COMMENTS/Rev%20A/GMC" TargetMode="External"/><Relationship Id="rId295" Type="http://schemas.openxmlformats.org/officeDocument/2006/relationships/hyperlink" Target="../../2207/DRAWING/2207-NN-0109/COMMENTS/Rev%20A/CLIENT" TargetMode="External"/><Relationship Id="rId309" Type="http://schemas.openxmlformats.org/officeDocument/2006/relationships/hyperlink" Target="../../2207/DRAWING/2207-NN-0140/COMMENTS/Rev%20A/CLIENT" TargetMode="External"/><Relationship Id="rId460" Type="http://schemas.openxmlformats.org/officeDocument/2006/relationships/hyperlink" Target="../DRAWINGS/2207-NN-1060/Rev%20A" TargetMode="External"/><Relationship Id="rId516" Type="http://schemas.openxmlformats.org/officeDocument/2006/relationships/hyperlink" Target="../DRAWINGS/2207-NN-1110/COMMENTS/Rev%200/CLIENT" TargetMode="External"/><Relationship Id="rId698" Type="http://schemas.openxmlformats.org/officeDocument/2006/relationships/hyperlink" Target="../DRAWINGS/2207-NN-1161/COMMENTS/Rev%20A/CLIENT" TargetMode="External"/><Relationship Id="rId48" Type="http://schemas.openxmlformats.org/officeDocument/2006/relationships/hyperlink" Target="../../2207/DRAWING/2207-NN-0037/COMMENTS/Rev%20A/GMC" TargetMode="External"/><Relationship Id="rId113" Type="http://schemas.openxmlformats.org/officeDocument/2006/relationships/hyperlink" Target="../../2207/DRAWING/2207-NN-0094/Rev%20C" TargetMode="External"/><Relationship Id="rId320" Type="http://schemas.openxmlformats.org/officeDocument/2006/relationships/hyperlink" Target="../../2207/DRAWING/2207-NN-0113/Rev%20A" TargetMode="External"/><Relationship Id="rId558" Type="http://schemas.openxmlformats.org/officeDocument/2006/relationships/hyperlink" Target="../DRAWINGS/2207-NN-1107/COMMENTS/Rev%200/GMC" TargetMode="External"/><Relationship Id="rId723" Type="http://schemas.openxmlformats.org/officeDocument/2006/relationships/hyperlink" Target="../DRAWINGS/2207-NN-0128/COMMENTS/Rev%20A/CLIENT" TargetMode="External"/><Relationship Id="rId765" Type="http://schemas.openxmlformats.org/officeDocument/2006/relationships/hyperlink" Target="..\DRAWINGS\2207-NN-1104\Rev%20A" TargetMode="External"/><Relationship Id="rId155" Type="http://schemas.openxmlformats.org/officeDocument/2006/relationships/hyperlink" Target="../../2207/DRAWING/2207-NN-0109/REV%20A" TargetMode="External"/><Relationship Id="rId197" Type="http://schemas.openxmlformats.org/officeDocument/2006/relationships/hyperlink" Target="../../2207/DRAWING/2207-NN-0079/Rev%20B" TargetMode="External"/><Relationship Id="rId362" Type="http://schemas.openxmlformats.org/officeDocument/2006/relationships/hyperlink" Target="../DRAWINGS/2207-NN-1043/Rev%20A" TargetMode="External"/><Relationship Id="rId418" Type="http://schemas.openxmlformats.org/officeDocument/2006/relationships/hyperlink" Target="../DRAWINGS/2207-NN-1048/COMMENTS/Rev%20A/CLIENT" TargetMode="External"/><Relationship Id="rId625" Type="http://schemas.openxmlformats.org/officeDocument/2006/relationships/hyperlink" Target="../DRAWINGS/2207-NN-1133/REV-A" TargetMode="External"/><Relationship Id="rId222" Type="http://schemas.openxmlformats.org/officeDocument/2006/relationships/hyperlink" Target="../../2207/DRAWING/2207-NN-0119/COMMENTS/Rev%20A/CLIENT" TargetMode="External"/><Relationship Id="rId264" Type="http://schemas.openxmlformats.org/officeDocument/2006/relationships/hyperlink" Target="../../2207/DRAWING/2207-NN-0111/COMMENTS/Rev%20B/CLIENT" TargetMode="External"/><Relationship Id="rId471" Type="http://schemas.openxmlformats.org/officeDocument/2006/relationships/hyperlink" Target="../DRAWINGS/2207-NN-1068/REV-A" TargetMode="External"/><Relationship Id="rId667" Type="http://schemas.openxmlformats.org/officeDocument/2006/relationships/hyperlink" Target="../DRAWINGS/2207-NN-1098/COMMENTS/Rev%20A/CLIENT" TargetMode="External"/><Relationship Id="rId17" Type="http://schemas.openxmlformats.org/officeDocument/2006/relationships/hyperlink" Target="../../../DRAWING/2207-NN-0027/REV-A" TargetMode="External"/><Relationship Id="rId59" Type="http://schemas.openxmlformats.org/officeDocument/2006/relationships/hyperlink" Target="../../2207/DRAWING/2207-NN-0041/COMMENTS/Rev%20A/GMC" TargetMode="External"/><Relationship Id="rId124" Type="http://schemas.openxmlformats.org/officeDocument/2006/relationships/hyperlink" Target="../../2207/DRAWING/2207-NN-0146/Rev%20A" TargetMode="External"/><Relationship Id="rId527" Type="http://schemas.openxmlformats.org/officeDocument/2006/relationships/hyperlink" Target="../DRAWINGS/2207-NN-1092/Rev%20B" TargetMode="External"/><Relationship Id="rId569" Type="http://schemas.openxmlformats.org/officeDocument/2006/relationships/hyperlink" Target="../DRAWINGS/2207-NN-1117/COMMENTS/Rev%20A/GMC" TargetMode="External"/><Relationship Id="rId734" Type="http://schemas.openxmlformats.org/officeDocument/2006/relationships/hyperlink" Target="../DRAWINGS/2207-NN-1130/COMMENTS/Rev%20A/CLIENT" TargetMode="External"/><Relationship Id="rId776" Type="http://schemas.openxmlformats.org/officeDocument/2006/relationships/hyperlink" Target="..\DRAWINGS\2207-NN-1119\REV-A" TargetMode="External"/><Relationship Id="rId70" Type="http://schemas.openxmlformats.org/officeDocument/2006/relationships/hyperlink" Target="../../2207/DRAWING/2207-NN-0034/COMMENTS/Rev%20A/GMC" TargetMode="External"/><Relationship Id="rId166" Type="http://schemas.openxmlformats.org/officeDocument/2006/relationships/hyperlink" Target="../../2207/DRAWING/2207-NN-0106/COMMENTS/Rev%20A/GMC" TargetMode="External"/><Relationship Id="rId331" Type="http://schemas.openxmlformats.org/officeDocument/2006/relationships/hyperlink" Target="../../2207/DRAWING/2207-NN-0098/COMMENTS/Rev%20A/GMC" TargetMode="External"/><Relationship Id="rId373" Type="http://schemas.openxmlformats.org/officeDocument/2006/relationships/hyperlink" Target="../DRAWINGS/2207-NN-1016/COMMENTS/Rev%20A/GMC" TargetMode="External"/><Relationship Id="rId429" Type="http://schemas.openxmlformats.org/officeDocument/2006/relationships/hyperlink" Target="../DRAWINGS/2207-NN-1110/COMMENTS/Rev%20A/GMC" TargetMode="External"/><Relationship Id="rId580" Type="http://schemas.openxmlformats.org/officeDocument/2006/relationships/hyperlink" Target="..\DRAWINGS\2207-NN-1128\REV-A" TargetMode="External"/><Relationship Id="rId636" Type="http://schemas.openxmlformats.org/officeDocument/2006/relationships/hyperlink" Target="../DRAWINGS/2207-NN-0127/Rev%20A" TargetMode="External"/><Relationship Id="rId801" Type="http://schemas.openxmlformats.org/officeDocument/2006/relationships/hyperlink" Target="..\DRAWINGS\2207-NN-1122\COMMENTS\REV-0" TargetMode="External"/><Relationship Id="rId1" Type="http://schemas.openxmlformats.org/officeDocument/2006/relationships/hyperlink" Target="..\..\..\DRAWING\2207-NN-0001\REV-A" TargetMode="External"/><Relationship Id="rId233" Type="http://schemas.openxmlformats.org/officeDocument/2006/relationships/hyperlink" Target="../../2207/DRAWING/2207-NN-0112/COMMENTS/Rev%20A/GMC" TargetMode="External"/><Relationship Id="rId440" Type="http://schemas.openxmlformats.org/officeDocument/2006/relationships/hyperlink" Target="..\DRAWINGS\2207-NN-1095\COMMENTS\Rev%20A\CLIENT" TargetMode="External"/><Relationship Id="rId678" Type="http://schemas.openxmlformats.org/officeDocument/2006/relationships/hyperlink" Target="../DRAWINGS/2207-NN-1123/COMMENTS/Rev%200/CLIENT" TargetMode="External"/><Relationship Id="rId28" Type="http://schemas.openxmlformats.org/officeDocument/2006/relationships/hyperlink" Target="..\..\..\DRAWING\2207-NN-0046\REV-A" TargetMode="External"/><Relationship Id="rId275" Type="http://schemas.openxmlformats.org/officeDocument/2006/relationships/hyperlink" Target="../../2207/DRAWING/2207-NN-0108/Rev%200" TargetMode="External"/><Relationship Id="rId300" Type="http://schemas.openxmlformats.org/officeDocument/2006/relationships/hyperlink" Target="../../2207/DRAWING/2207-NN-0148/COMMENTS/Rev%20A/CLIENT" TargetMode="External"/><Relationship Id="rId482" Type="http://schemas.openxmlformats.org/officeDocument/2006/relationships/hyperlink" Target="../DRAWINGS/2207-NN-1068/REV-0" TargetMode="External"/><Relationship Id="rId538" Type="http://schemas.openxmlformats.org/officeDocument/2006/relationships/hyperlink" Target="..\DRAWINGS\2207-NN-1071\COMMENTS\Rev%20A\CLIENT" TargetMode="External"/><Relationship Id="rId703" Type="http://schemas.openxmlformats.org/officeDocument/2006/relationships/hyperlink" Target="../DRAWINGS/2207-NN-0120/Rev%202" TargetMode="External"/><Relationship Id="rId745" Type="http://schemas.openxmlformats.org/officeDocument/2006/relationships/hyperlink" Target="../DRAWINGS/2207-NN-1123/COMMENTS/Rev%201/MWS" TargetMode="External"/><Relationship Id="rId81" Type="http://schemas.openxmlformats.org/officeDocument/2006/relationships/hyperlink" Target="../../2207/DRAWING/2207-NN-0067/Rev%20A" TargetMode="External"/><Relationship Id="rId135" Type="http://schemas.openxmlformats.org/officeDocument/2006/relationships/hyperlink" Target="../../2207/DRAWING/2207-NN-0151/Rev%20A" TargetMode="External"/><Relationship Id="rId177" Type="http://schemas.openxmlformats.org/officeDocument/2006/relationships/hyperlink" Target="../../2207/DRAWING/2207-NN-0140/COMMENTS/Rev%20A/GMC" TargetMode="External"/><Relationship Id="rId342" Type="http://schemas.openxmlformats.org/officeDocument/2006/relationships/hyperlink" Target="../../2207/DRAWING/2207-NN-0138/COMMENTS/Rev%20A/CLIENT" TargetMode="External"/><Relationship Id="rId384" Type="http://schemas.openxmlformats.org/officeDocument/2006/relationships/hyperlink" Target="../DRAWINGS/2207-NN-1013/COMMENTS/Rev%20A/GMC" TargetMode="External"/><Relationship Id="rId591" Type="http://schemas.openxmlformats.org/officeDocument/2006/relationships/hyperlink" Target="../DRAWINGS/2207-NN-1118/COMMENTS/Rev%20A/GMC" TargetMode="External"/><Relationship Id="rId605" Type="http://schemas.openxmlformats.org/officeDocument/2006/relationships/hyperlink" Target="..\DRAWINGS\2207-NN-0120\Rev%20A" TargetMode="External"/><Relationship Id="rId787" Type="http://schemas.openxmlformats.org/officeDocument/2006/relationships/hyperlink" Target="../DRAWINGS/2207-NN-1102/COMMENTS/Rev%20B/CLIENT" TargetMode="External"/><Relationship Id="rId812" Type="http://schemas.openxmlformats.org/officeDocument/2006/relationships/hyperlink" Target="..\DRAWINGS\2207-NN-1120\COMMENTS\REV-0\MWS" TargetMode="External"/><Relationship Id="rId202" Type="http://schemas.openxmlformats.org/officeDocument/2006/relationships/hyperlink" Target="../../2207/DRAWING/2207-NN-0109/REV%20C" TargetMode="External"/><Relationship Id="rId244" Type="http://schemas.openxmlformats.org/officeDocument/2006/relationships/hyperlink" Target="../../2207/DRAWING/2207-NN-0107/REV%20A" TargetMode="External"/><Relationship Id="rId647" Type="http://schemas.openxmlformats.org/officeDocument/2006/relationships/hyperlink" Target="../DRAWINGS/2207-NN-1076/COMMENTS/Rev%20A/GMC" TargetMode="External"/><Relationship Id="rId689" Type="http://schemas.openxmlformats.org/officeDocument/2006/relationships/hyperlink" Target="../DRAWINGS/2207-NN-0120/COMMENTS/Rev%201/CLIENT" TargetMode="External"/><Relationship Id="rId39" Type="http://schemas.openxmlformats.org/officeDocument/2006/relationships/hyperlink" Target="..\..\..\DRAWING\2207-NN-0064\REV-A" TargetMode="External"/><Relationship Id="rId286" Type="http://schemas.openxmlformats.org/officeDocument/2006/relationships/hyperlink" Target="../../2207/DRAWING/2207-NN-0110/COMMENTS/Rev%20A/MWS" TargetMode="External"/><Relationship Id="rId451" Type="http://schemas.openxmlformats.org/officeDocument/2006/relationships/hyperlink" Target="../DRAWINGS/2207-NN-1046/Rev%20B" TargetMode="External"/><Relationship Id="rId493" Type="http://schemas.openxmlformats.org/officeDocument/2006/relationships/hyperlink" Target="../DRAWINGS/2207-NN-1157/Rev%20A" TargetMode="External"/><Relationship Id="rId507" Type="http://schemas.openxmlformats.org/officeDocument/2006/relationships/hyperlink" Target="../DRAWINGS/2207-NN-1110/COMMENTS/Rev%200/GMC" TargetMode="External"/><Relationship Id="rId549" Type="http://schemas.openxmlformats.org/officeDocument/2006/relationships/hyperlink" Target="..\DRAWINGS\2207-NN-1098\Rev%20A" TargetMode="External"/><Relationship Id="rId714" Type="http://schemas.openxmlformats.org/officeDocument/2006/relationships/hyperlink" Target="../DRAWINGS/2207-NN-1101/COMMENTS/Rev%20A/GMC" TargetMode="External"/><Relationship Id="rId756" Type="http://schemas.openxmlformats.org/officeDocument/2006/relationships/hyperlink" Target="..\DRAWINGS\2207-NN-1065\COMMENTS\Rev%20A\CLIENT" TargetMode="External"/><Relationship Id="rId50" Type="http://schemas.openxmlformats.org/officeDocument/2006/relationships/hyperlink" Target="../../2207/DRAWING/2207-NN-0047/COMMENTS/Rev%20A/GMC" TargetMode="External"/><Relationship Id="rId104" Type="http://schemas.openxmlformats.org/officeDocument/2006/relationships/hyperlink" Target="../../2207/DRAWING/2207-NN-0069/COMMENTS/Rev%20A/CLIENT" TargetMode="External"/><Relationship Id="rId146" Type="http://schemas.openxmlformats.org/officeDocument/2006/relationships/hyperlink" Target="../../2207/DRAWING/2207-NN-0099/COMMENTS/Rev%20A/CLIENT" TargetMode="External"/><Relationship Id="rId188" Type="http://schemas.openxmlformats.org/officeDocument/2006/relationships/hyperlink" Target="../../2207/DRAWING/2207-NN-0151/COMMENTS/Rev%20A/GMC" TargetMode="External"/><Relationship Id="rId311" Type="http://schemas.openxmlformats.org/officeDocument/2006/relationships/hyperlink" Target="../../2207/DRAWING/2207-NN-0083/COMMENTS/Rev%20A/CLIENT" TargetMode="External"/><Relationship Id="rId353" Type="http://schemas.openxmlformats.org/officeDocument/2006/relationships/hyperlink" Target="../DRAWINGS/2207-NN-1021/Rev%20A" TargetMode="External"/><Relationship Id="rId395" Type="http://schemas.openxmlformats.org/officeDocument/2006/relationships/hyperlink" Target="../DRAWINGS/2207-NN-1093/Rev%20A" TargetMode="External"/><Relationship Id="rId409" Type="http://schemas.openxmlformats.org/officeDocument/2006/relationships/hyperlink" Target="../DRAWINGS/2207-NN-1026/COMMENTS/Rev%20A/CLIENT" TargetMode="External"/><Relationship Id="rId560" Type="http://schemas.openxmlformats.org/officeDocument/2006/relationships/hyperlink" Target="../DRAWINGS/2207-NN-1109/COMMENTS/Rev%200/GMC" TargetMode="External"/><Relationship Id="rId798" Type="http://schemas.openxmlformats.org/officeDocument/2006/relationships/hyperlink" Target="..\DRAWINGS\2207-NN-1124\REV-1" TargetMode="External"/><Relationship Id="rId92" Type="http://schemas.openxmlformats.org/officeDocument/2006/relationships/hyperlink" Target="../../2207/DRAWING/2207-NN-0068/Rev%20B" TargetMode="External"/><Relationship Id="rId213" Type="http://schemas.openxmlformats.org/officeDocument/2006/relationships/hyperlink" Target="../../2207/DRAWING/2207-NN-0090/REV%20A" TargetMode="External"/><Relationship Id="rId420" Type="http://schemas.openxmlformats.org/officeDocument/2006/relationships/hyperlink" Target="../DRAWINGS/2207-NN-1053/COMMENTS/Rev%20A/CLIENT" TargetMode="External"/><Relationship Id="rId616" Type="http://schemas.openxmlformats.org/officeDocument/2006/relationships/hyperlink" Target="../DRAWINGS/2207-NN-0120/Rev%200" TargetMode="External"/><Relationship Id="rId658" Type="http://schemas.openxmlformats.org/officeDocument/2006/relationships/hyperlink" Target="../DRAWINGS/2207-NN-1126/COMMENTS/Rev%201/MWS" TargetMode="External"/><Relationship Id="rId823" Type="http://schemas.openxmlformats.org/officeDocument/2006/relationships/hyperlink" Target="..\DRAWINGS\2207-NN-1173\REV-A" TargetMode="External"/><Relationship Id="rId255" Type="http://schemas.openxmlformats.org/officeDocument/2006/relationships/hyperlink" Target="../../2207/DRAWING/2207-NN-0109/COMMENTS/Rev%20C/GM" TargetMode="External"/><Relationship Id="rId297" Type="http://schemas.openxmlformats.org/officeDocument/2006/relationships/hyperlink" Target="../../2207/DRAWING/2207-NN-0145/COMMENTS/Rev%20A/CLIENT" TargetMode="External"/><Relationship Id="rId462" Type="http://schemas.openxmlformats.org/officeDocument/2006/relationships/hyperlink" Target="..\DRAWINGS\2207-NN-1065\COMMENTS\Rev%20A\CLIENT" TargetMode="External"/><Relationship Id="rId518" Type="http://schemas.openxmlformats.org/officeDocument/2006/relationships/hyperlink" Target="../DRAWINGS/2207-NN-1109/COMMENTS/Rev%200/CLIENT" TargetMode="External"/><Relationship Id="rId725" Type="http://schemas.openxmlformats.org/officeDocument/2006/relationships/hyperlink" Target="../DRAWINGS/2207-NN-0130/COMMENTS/Rev%20A/CLIENT" TargetMode="External"/><Relationship Id="rId115" Type="http://schemas.openxmlformats.org/officeDocument/2006/relationships/hyperlink" Target="../../2207/DRAWING/2207-NN-0104/Rev%20A" TargetMode="External"/><Relationship Id="rId157" Type="http://schemas.openxmlformats.org/officeDocument/2006/relationships/hyperlink" Target="../../2207/DRAWING/2207-NN-0071/COMMENTS/Rev%20B/CLIENT" TargetMode="External"/><Relationship Id="rId322" Type="http://schemas.openxmlformats.org/officeDocument/2006/relationships/hyperlink" Target="../../2207/DRAWING/2207-NN-0107/COMMENTS/Rev%20A/CLIENT" TargetMode="External"/><Relationship Id="rId364" Type="http://schemas.openxmlformats.org/officeDocument/2006/relationships/hyperlink" Target="../DRAWINGS/2207-NN-1048/Rev%20A" TargetMode="External"/><Relationship Id="rId767" Type="http://schemas.openxmlformats.org/officeDocument/2006/relationships/hyperlink" Target="../DRAWINGS/2207-NN-1163/Rev%20A" TargetMode="External"/><Relationship Id="rId61" Type="http://schemas.openxmlformats.org/officeDocument/2006/relationships/hyperlink" Target="../../2207/DRAWING/2207-NN-0051/COMMENTS/Rev%20A/GMC" TargetMode="External"/><Relationship Id="rId199" Type="http://schemas.openxmlformats.org/officeDocument/2006/relationships/hyperlink" Target="../../2207/DRAWING/2207-NN-0092/REV%20B" TargetMode="External"/><Relationship Id="rId571" Type="http://schemas.openxmlformats.org/officeDocument/2006/relationships/hyperlink" Target="..\DRAWINGS\2207-NN-0155\Rev%20A" TargetMode="External"/><Relationship Id="rId627" Type="http://schemas.openxmlformats.org/officeDocument/2006/relationships/hyperlink" Target="../DRAWINGS/2207-NN-1135/REV-A" TargetMode="External"/><Relationship Id="rId669" Type="http://schemas.openxmlformats.org/officeDocument/2006/relationships/hyperlink" Target="../DRAWINGS/2207-NN-1077/COMMENTS/Rev%20A/CLIENT" TargetMode="External"/><Relationship Id="rId19" Type="http://schemas.openxmlformats.org/officeDocument/2006/relationships/hyperlink" Target="../../../DRAWING/2207-NN-0031/REV-A" TargetMode="External"/><Relationship Id="rId224" Type="http://schemas.openxmlformats.org/officeDocument/2006/relationships/hyperlink" Target="../../2207/DRAWING/2207-NN-0105/COMMENTS/Rev%20A/CLIENT" TargetMode="External"/><Relationship Id="rId266" Type="http://schemas.openxmlformats.org/officeDocument/2006/relationships/hyperlink" Target="../../2207/DRAWING/2207-NN-0100/COMMENTS/Rev%20A/CLIENT" TargetMode="External"/><Relationship Id="rId431" Type="http://schemas.openxmlformats.org/officeDocument/2006/relationships/hyperlink" Target="../DRAWINGS/2207-NN-1113/COMMENTS/Rev%20A/GMC" TargetMode="External"/><Relationship Id="rId473" Type="http://schemas.openxmlformats.org/officeDocument/2006/relationships/hyperlink" Target="../DRAWINGS/2207-NN-1036/Rev%20C" TargetMode="External"/><Relationship Id="rId529" Type="http://schemas.openxmlformats.org/officeDocument/2006/relationships/hyperlink" Target="../DRAWINGS/2207-NN-0124/Rev%20A" TargetMode="External"/><Relationship Id="rId680" Type="http://schemas.openxmlformats.org/officeDocument/2006/relationships/hyperlink" Target="../DRAWINGS/2207-NN-1102/COMMENTS/Rev%20A/CLIENT" TargetMode="External"/><Relationship Id="rId736" Type="http://schemas.openxmlformats.org/officeDocument/2006/relationships/hyperlink" Target="../DRAWINGS/2207-NN-1132/COMMENTS/Rev%20A/CLIENT" TargetMode="External"/><Relationship Id="rId30" Type="http://schemas.openxmlformats.org/officeDocument/2006/relationships/hyperlink" Target="..\..\..\DRAWING\2207-NN-0049\REV-A" TargetMode="External"/><Relationship Id="rId126" Type="http://schemas.openxmlformats.org/officeDocument/2006/relationships/hyperlink" Target="../../2207/DRAWING/2207-NN-0102/Rev%20A" TargetMode="External"/><Relationship Id="rId168" Type="http://schemas.openxmlformats.org/officeDocument/2006/relationships/hyperlink" Target="../../2207/DRAWING/2207-NN-0089/REV%20A" TargetMode="External"/><Relationship Id="rId333" Type="http://schemas.openxmlformats.org/officeDocument/2006/relationships/hyperlink" Target="../../2207/DRAWING/2207-NN-0115/COMMENTS/Rev%20A/GMC" TargetMode="External"/><Relationship Id="rId540" Type="http://schemas.openxmlformats.org/officeDocument/2006/relationships/hyperlink" Target="../DRAWINGS/2207-NN-1106/COMMENTS/Rev%200/CLIENT" TargetMode="External"/><Relationship Id="rId778" Type="http://schemas.openxmlformats.org/officeDocument/2006/relationships/hyperlink" Target="../DRAWINGS/2207-NN-1163/COMMENTS/Rev%20A/CLIENT" TargetMode="External"/><Relationship Id="rId72" Type="http://schemas.openxmlformats.org/officeDocument/2006/relationships/hyperlink" Target="../../2207/DRAWING/2207-NN-0044/COMMENTS/Rev%20A/GMC" TargetMode="External"/><Relationship Id="rId375" Type="http://schemas.openxmlformats.org/officeDocument/2006/relationships/hyperlink" Target="../DRAWINGS/2207-NN-1026/COMMENTS/Rev%20A/GMC" TargetMode="External"/><Relationship Id="rId582" Type="http://schemas.openxmlformats.org/officeDocument/2006/relationships/hyperlink" Target="..\DRAWINGS\2207-NN-1103\REV-A" TargetMode="External"/><Relationship Id="rId638" Type="http://schemas.openxmlformats.org/officeDocument/2006/relationships/hyperlink" Target="../DRAWINGS/2207-NN-0129/Rev%20A" TargetMode="External"/><Relationship Id="rId803" Type="http://schemas.openxmlformats.org/officeDocument/2006/relationships/hyperlink" Target="..\DRAWINGS\2207-NN-1120\COMMENTS\REV-0\MWS" TargetMode="External"/><Relationship Id="rId3" Type="http://schemas.openxmlformats.org/officeDocument/2006/relationships/hyperlink" Target="..\..\..\DRAWING\2207-NN-0004\REV-A" TargetMode="External"/><Relationship Id="rId235" Type="http://schemas.openxmlformats.org/officeDocument/2006/relationships/hyperlink" Target="../../2207/DRAWING/2207-NN-0078/COMMENTS/Rev%20A/GMC" TargetMode="External"/><Relationship Id="rId277" Type="http://schemas.openxmlformats.org/officeDocument/2006/relationships/hyperlink" Target="../../2207/DRAWING/2207-NN-0154/COMMENTS/Rev%20A/CLIENT" TargetMode="External"/><Relationship Id="rId400" Type="http://schemas.openxmlformats.org/officeDocument/2006/relationships/hyperlink" Target="../DRAWINGS/2207-NN-1003/COMMENTS/Rev%20A/CLIENT" TargetMode="External"/><Relationship Id="rId442" Type="http://schemas.openxmlformats.org/officeDocument/2006/relationships/hyperlink" Target="../DRAWINGS/2207-NN-1113/COMMENTS/Rev%20A/CLIENT" TargetMode="External"/><Relationship Id="rId484" Type="http://schemas.openxmlformats.org/officeDocument/2006/relationships/hyperlink" Target="../DRAWINGS/2207-NN-1036/COMMENTS/Rev%20C/CLIENT" TargetMode="External"/><Relationship Id="rId705" Type="http://schemas.openxmlformats.org/officeDocument/2006/relationships/hyperlink" Target="../DRAWINGS/2207-NN-1070/COMMENTS/Rev%20A/GMC" TargetMode="External"/><Relationship Id="rId137" Type="http://schemas.openxmlformats.org/officeDocument/2006/relationships/hyperlink" Target="../../2207/DRAWING/2207-NN-0082/Rev%20A" TargetMode="External"/><Relationship Id="rId302" Type="http://schemas.openxmlformats.org/officeDocument/2006/relationships/hyperlink" Target="../../2207/DRAWING/2207-NN-0150/COMMENTS/Rev%20A/CLIENT" TargetMode="External"/><Relationship Id="rId344" Type="http://schemas.openxmlformats.org/officeDocument/2006/relationships/hyperlink" Target="../../2207/DRAWING/2207-NN-0138/COMMENTS/Rev%20A/GMC" TargetMode="External"/><Relationship Id="rId691" Type="http://schemas.openxmlformats.org/officeDocument/2006/relationships/hyperlink" Target="../DRAWINGS/2207-NN-1159/COMMENTS/Rev%20B/CLIENT" TargetMode="External"/><Relationship Id="rId747" Type="http://schemas.openxmlformats.org/officeDocument/2006/relationships/hyperlink" Target="../DRAWINGS/2207-NN-1070/REV-0" TargetMode="External"/><Relationship Id="rId789" Type="http://schemas.openxmlformats.org/officeDocument/2006/relationships/hyperlink" Target="..\DRAWINGS\2207-NN-1104\REV-0" TargetMode="External"/><Relationship Id="rId41" Type="http://schemas.openxmlformats.org/officeDocument/2006/relationships/hyperlink" Target="../../2207/DRAWING/2207-NN-0002/COMMENTS/Rev%20A/GMC" TargetMode="External"/><Relationship Id="rId83" Type="http://schemas.openxmlformats.org/officeDocument/2006/relationships/hyperlink" Target="../../2207/DRAWING/2207-NN-0067/COMMENTS/Rev%20A/CLIENT" TargetMode="External"/><Relationship Id="rId179" Type="http://schemas.openxmlformats.org/officeDocument/2006/relationships/hyperlink" Target="../../2207/DRAWING/2207-NN-0142/COMMENTS/Rev%20A/GMC" TargetMode="External"/><Relationship Id="rId386" Type="http://schemas.openxmlformats.org/officeDocument/2006/relationships/hyperlink" Target="../DRAWINGS/2207-NN-1023/COMMENTS/Rev%20A/GMC" TargetMode="External"/><Relationship Id="rId551" Type="http://schemas.openxmlformats.org/officeDocument/2006/relationships/hyperlink" Target="..\DRAWINGS\2207-NN-1089\REV-A" TargetMode="External"/><Relationship Id="rId593" Type="http://schemas.openxmlformats.org/officeDocument/2006/relationships/hyperlink" Target="../DRAWINGS/2207-NN-1099/COMMENTS/Rev%20A/GMC" TargetMode="External"/><Relationship Id="rId607" Type="http://schemas.openxmlformats.org/officeDocument/2006/relationships/hyperlink" Target="..\DRAWINGS\2207-NN-1077\REV-A" TargetMode="External"/><Relationship Id="rId649" Type="http://schemas.openxmlformats.org/officeDocument/2006/relationships/hyperlink" Target="../DRAWINGS/2207-NN-1118/COMMENTS/Rev%200/GMC" TargetMode="External"/><Relationship Id="rId814" Type="http://schemas.openxmlformats.org/officeDocument/2006/relationships/hyperlink" Target="..\DRAWINGS\2207-NN-1104\COMMENTS\REV-0\MWS" TargetMode="External"/><Relationship Id="rId190" Type="http://schemas.openxmlformats.org/officeDocument/2006/relationships/hyperlink" Target="../../2207/DRAWING/2207-NN-0099/COMMENTS/Rev%20A/GMC" TargetMode="External"/><Relationship Id="rId204" Type="http://schemas.openxmlformats.org/officeDocument/2006/relationships/hyperlink" Target="../../2207/DRAWING/2207-NN-0091/REV%20B" TargetMode="External"/><Relationship Id="rId246" Type="http://schemas.openxmlformats.org/officeDocument/2006/relationships/hyperlink" Target="../../2207/DRAWING/2207-NN-0111/COMMENTS/Rev%20C/GMC" TargetMode="External"/><Relationship Id="rId288" Type="http://schemas.openxmlformats.org/officeDocument/2006/relationships/hyperlink" Target="../../2207/DRAWING/2207-NN-0098/COMMENTS/Rev%20A/CLIENT" TargetMode="External"/><Relationship Id="rId411" Type="http://schemas.openxmlformats.org/officeDocument/2006/relationships/hyperlink" Target="../DRAWINGS/2207-NN-1031/COMMENTS/Rev%20A/CLIENT" TargetMode="External"/><Relationship Id="rId453" Type="http://schemas.openxmlformats.org/officeDocument/2006/relationships/hyperlink" Target="../DRAWINGS/2207-NN-1114/COMMENTS/Rev%20A/CLIENT" TargetMode="External"/><Relationship Id="rId509" Type="http://schemas.openxmlformats.org/officeDocument/2006/relationships/hyperlink" Target="../DRAWINGS/2207-NN-1088/COMMENTS/Rev%20A/CLIENT" TargetMode="External"/><Relationship Id="rId660" Type="http://schemas.openxmlformats.org/officeDocument/2006/relationships/hyperlink" Target="..\DRAWINGS\2207-NN-1126\Rev%201" TargetMode="External"/><Relationship Id="rId106" Type="http://schemas.openxmlformats.org/officeDocument/2006/relationships/hyperlink" Target="../../2207/DRAWING/2207-NN-0071/COMMENTS/Rev%20A/CLIENT" TargetMode="External"/><Relationship Id="rId313" Type="http://schemas.openxmlformats.org/officeDocument/2006/relationships/hyperlink" Target="../../2207/DRAWING/2207-NN-0077/COMMENTS/Rev%20A/CLIENT" TargetMode="External"/><Relationship Id="rId495" Type="http://schemas.openxmlformats.org/officeDocument/2006/relationships/hyperlink" Target="../DRAWINGS/2207-NN-1068/COMMENTS/Rev%200/GMC" TargetMode="External"/><Relationship Id="rId716" Type="http://schemas.openxmlformats.org/officeDocument/2006/relationships/hyperlink" Target="../DRAWINGS/2207-NN-1108/COMMENTS/Rev%201/MWS" TargetMode="External"/><Relationship Id="rId758" Type="http://schemas.openxmlformats.org/officeDocument/2006/relationships/hyperlink" Target="../DRAWINGS/2207-NN-1162/COMMENTS/Rev%20A/GMC" TargetMode="External"/><Relationship Id="rId10" Type="http://schemas.openxmlformats.org/officeDocument/2006/relationships/hyperlink" Target="../../../DRAWING/2207-NN-0016/REV-A" TargetMode="External"/><Relationship Id="rId52" Type="http://schemas.openxmlformats.org/officeDocument/2006/relationships/hyperlink" Target="../../2207/DRAWING/2207-NN-0057/COMMENTS/Rev%20A/GMC" TargetMode="External"/><Relationship Id="rId94" Type="http://schemas.openxmlformats.org/officeDocument/2006/relationships/hyperlink" Target="../../2207/DRAWING/2207-NN-0094/Rev%20A" TargetMode="External"/><Relationship Id="rId148" Type="http://schemas.openxmlformats.org/officeDocument/2006/relationships/hyperlink" Target="../../2207/DRAWING/2207-NN-0106/COMMENTS/Rev%20A/CLIENT" TargetMode="External"/><Relationship Id="rId355" Type="http://schemas.openxmlformats.org/officeDocument/2006/relationships/hyperlink" Target="../DRAWINGS/2207-NN-1026/Rev%20A" TargetMode="External"/><Relationship Id="rId397" Type="http://schemas.openxmlformats.org/officeDocument/2006/relationships/hyperlink" Target="../DRAWINGS/2207-NN-1143/Rev%20A" TargetMode="External"/><Relationship Id="rId520" Type="http://schemas.openxmlformats.org/officeDocument/2006/relationships/hyperlink" Target="../DRAWINGS/2207-NN-1097/Rev%20A" TargetMode="External"/><Relationship Id="rId562" Type="http://schemas.openxmlformats.org/officeDocument/2006/relationships/hyperlink" Target="..\DRAWINGS\2207-NN-1073\REV-A" TargetMode="External"/><Relationship Id="rId618" Type="http://schemas.openxmlformats.org/officeDocument/2006/relationships/hyperlink" Target="../DRAWINGS/2207-NN-0156/Rev%201" TargetMode="External"/><Relationship Id="rId825" Type="http://schemas.openxmlformats.org/officeDocument/2006/relationships/printerSettings" Target="../printerSettings/printerSettings3.bin"/><Relationship Id="rId215" Type="http://schemas.openxmlformats.org/officeDocument/2006/relationships/hyperlink" Target="../../2207/DRAWING/2207-NN-0075/COMMENTS/Rev%20A/CLIENT" TargetMode="External"/><Relationship Id="rId257" Type="http://schemas.openxmlformats.org/officeDocument/2006/relationships/hyperlink" Target="../../2207/DRAWING/2207-NN-0100/COMMENTS/Rev%20A/GMC" TargetMode="External"/><Relationship Id="rId422" Type="http://schemas.openxmlformats.org/officeDocument/2006/relationships/hyperlink" Target="../DRAWINGS/2207-NN-1058/COMMENTS/Rev%20A/CLIENT" TargetMode="External"/><Relationship Id="rId464" Type="http://schemas.openxmlformats.org/officeDocument/2006/relationships/hyperlink" Target="../DRAWINGS/2207-NN-1001/COMMENTS/Rev%20B/CLIENT" TargetMode="External"/><Relationship Id="rId299" Type="http://schemas.openxmlformats.org/officeDocument/2006/relationships/hyperlink" Target="../../2207/DRAWING/2207-NN-0147/COMMENTS/Rev%20A/CLIENT" TargetMode="External"/><Relationship Id="rId727" Type="http://schemas.openxmlformats.org/officeDocument/2006/relationships/hyperlink" Target="../DRAWINGS/2207-NN-0132/COMMENTS/Rev%20A/CLIENT" TargetMode="External"/><Relationship Id="rId63" Type="http://schemas.openxmlformats.org/officeDocument/2006/relationships/hyperlink" Target="../../2207/DRAWING/2207-NN-0061/COMMENTS/Rev%20A/GMC" TargetMode="External"/><Relationship Id="rId159" Type="http://schemas.openxmlformats.org/officeDocument/2006/relationships/hyperlink" Target="../../2207/DRAWING/2207-NN-0082/COMMENTS/Rev%20A/CLIENT" TargetMode="External"/><Relationship Id="rId366" Type="http://schemas.openxmlformats.org/officeDocument/2006/relationships/hyperlink" Target="../DRAWINGS/2207-NN-1053/Rev%20A" TargetMode="External"/><Relationship Id="rId573" Type="http://schemas.openxmlformats.org/officeDocument/2006/relationships/hyperlink" Target="../DRAWINGS/2207-NN-1114/COMMENTS/Rev%200/CLIENT" TargetMode="External"/><Relationship Id="rId780" Type="http://schemas.openxmlformats.org/officeDocument/2006/relationships/hyperlink" Target="..\DRAWINGS\2207-NN-1120\COMMENTS\Rev%20A\CLIENT" TargetMode="External"/><Relationship Id="rId226" Type="http://schemas.openxmlformats.org/officeDocument/2006/relationships/hyperlink" Target="../../2207/DRAWING/2207-NN-0076/COMMENTS/Rev%20A/CLIENT" TargetMode="External"/><Relationship Id="rId433" Type="http://schemas.openxmlformats.org/officeDocument/2006/relationships/hyperlink" Target="../DRAWINGS/2207-NN-1107/COMMENTS/Rev%20A/GMC" TargetMode="External"/><Relationship Id="rId640" Type="http://schemas.openxmlformats.org/officeDocument/2006/relationships/hyperlink" Target="../DRAWINGS/2207-NN-0131/Rev%20A" TargetMode="External"/><Relationship Id="rId738" Type="http://schemas.openxmlformats.org/officeDocument/2006/relationships/hyperlink" Target="../DRAWINGS/2207-NN-1134/COMMENTS/Rev%20A/CLIENT" TargetMode="External"/><Relationship Id="rId74" Type="http://schemas.openxmlformats.org/officeDocument/2006/relationships/hyperlink" Target="../../2207/DRAWING/2207-NN-0054/COMMENTS/Rev%20A/GMC" TargetMode="External"/><Relationship Id="rId377" Type="http://schemas.openxmlformats.org/officeDocument/2006/relationships/hyperlink" Target="../DRAWINGS/2207-NN-1036/COMMENTS/Rev%20A/GMC" TargetMode="External"/><Relationship Id="rId500" Type="http://schemas.openxmlformats.org/officeDocument/2006/relationships/hyperlink" Target="../DRAWINGS/2207-NN-1110/Rev%200" TargetMode="External"/><Relationship Id="rId584" Type="http://schemas.openxmlformats.org/officeDocument/2006/relationships/hyperlink" Target="..\DRAWINGS\2207-NN-1076\REV-A" TargetMode="External"/><Relationship Id="rId805" Type="http://schemas.openxmlformats.org/officeDocument/2006/relationships/hyperlink" Target="..\DRAWINGS\2207-NN-0122\COMMENTS\REV-0\MWS" TargetMode="External"/><Relationship Id="rId5" Type="http://schemas.openxmlformats.org/officeDocument/2006/relationships/hyperlink" Target="..\..\..\DRAWING\2207-NN-0007\REV-A" TargetMode="External"/><Relationship Id="rId237" Type="http://schemas.openxmlformats.org/officeDocument/2006/relationships/hyperlink" Target="../../2207/DRAWING/2207-NN-0086/COMMENTS/Rev%20A/GMC" TargetMode="External"/><Relationship Id="rId791" Type="http://schemas.openxmlformats.org/officeDocument/2006/relationships/hyperlink" Target="..\DRAWINGS\2207-NN-1120\REV-0" TargetMode="External"/><Relationship Id="rId444" Type="http://schemas.openxmlformats.org/officeDocument/2006/relationships/hyperlink" Target="..\DRAWINGS\2207-NN-1109\COMMENTS\Rev%20A\CLIENT" TargetMode="External"/><Relationship Id="rId651" Type="http://schemas.openxmlformats.org/officeDocument/2006/relationships/hyperlink" Target="../DRAWINGS/2207-NN-1123/COMMENTS/Rev%200/GMC" TargetMode="External"/><Relationship Id="rId749" Type="http://schemas.openxmlformats.org/officeDocument/2006/relationships/hyperlink" Target="../DRAWINGS/2207-NN-1070/COMMENTS/Rev%200/GMC" TargetMode="External"/><Relationship Id="rId290" Type="http://schemas.openxmlformats.org/officeDocument/2006/relationships/hyperlink" Target="../../2207/DRAWING/2207-NN-0090/COMMENTS/Rev%20B/CLIENT" TargetMode="External"/><Relationship Id="rId304" Type="http://schemas.openxmlformats.org/officeDocument/2006/relationships/hyperlink" Target="../../2207/DRAWING/2207-NN-0152/COMMENTS/Rev%20A/CLIENT" TargetMode="External"/><Relationship Id="rId388" Type="http://schemas.openxmlformats.org/officeDocument/2006/relationships/hyperlink" Target="../DRAWINGS/2207-NN-1033/COMMENTS/Rev%20A/GMC" TargetMode="External"/><Relationship Id="rId511" Type="http://schemas.openxmlformats.org/officeDocument/2006/relationships/hyperlink" Target="../DRAWINGS/2207-NN-1096/Rev%20A" TargetMode="External"/><Relationship Id="rId609" Type="http://schemas.openxmlformats.org/officeDocument/2006/relationships/hyperlink" Target="../DRAWINGS/2207-NN-1101/REV-A" TargetMode="External"/><Relationship Id="rId85" Type="http://schemas.openxmlformats.org/officeDocument/2006/relationships/hyperlink" Target="../../2207/DRAWING/2207-NN-0066/COMMENTS/Rev%20B/GMC" TargetMode="External"/><Relationship Id="rId150" Type="http://schemas.openxmlformats.org/officeDocument/2006/relationships/hyperlink" Target="../../2207/DRAWING/2207-NN-0091/REV%20A" TargetMode="External"/><Relationship Id="rId595" Type="http://schemas.openxmlformats.org/officeDocument/2006/relationships/hyperlink" Target="../DRAWINGS/2207-NN-1123/COMMENTS/Rev%20A/GMC" TargetMode="External"/><Relationship Id="rId816" Type="http://schemas.openxmlformats.org/officeDocument/2006/relationships/hyperlink" Target="..\DRAWINGS\2207-NN-1104\REV-0\COMMENTS\CLIENT" TargetMode="External"/><Relationship Id="rId248" Type="http://schemas.openxmlformats.org/officeDocument/2006/relationships/hyperlink" Target="../../2207/DRAWING/2207-NN-0090/COMMENTS/Rev%20A/GMC" TargetMode="External"/><Relationship Id="rId455" Type="http://schemas.openxmlformats.org/officeDocument/2006/relationships/hyperlink" Target="../DRAWINGS/2207-NN-1065/Rev%20A" TargetMode="External"/><Relationship Id="rId662" Type="http://schemas.openxmlformats.org/officeDocument/2006/relationships/hyperlink" Target="../DRAWINGS/2207-NN-1123/COMMENTS/Rev%20A/CLI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33"/>
  <sheetViews>
    <sheetView zoomScale="90" zoomScaleNormal="90" zoomScaleSheetLayoutView="100" workbookViewId="0">
      <pane xSplit="5" ySplit="10" topLeftCell="F38" activePane="bottomRight" state="frozen"/>
      <selection pane="topRight" activeCell="F1" sqref="F1"/>
      <selection pane="bottomLeft" activeCell="A11" sqref="A11"/>
      <selection pane="bottomRight" activeCell="O232" sqref="O232"/>
    </sheetView>
  </sheetViews>
  <sheetFormatPr defaultColWidth="10.6640625" defaultRowHeight="12.75" x14ac:dyDescent="0.2"/>
  <cols>
    <col min="1" max="1" width="6.83203125" style="2" customWidth="1"/>
    <col min="2" max="2" width="47.33203125" style="2" customWidth="1"/>
    <col min="3" max="3" width="20.83203125" style="1" customWidth="1"/>
    <col min="4" max="4" width="22.83203125" style="1" customWidth="1"/>
    <col min="5" max="5" width="10.5" style="1" bestFit="1" customWidth="1"/>
    <col min="6" max="6" width="6.83203125" style="1" customWidth="1"/>
    <col min="7" max="7" width="11.1640625" style="1" customWidth="1"/>
    <col min="8" max="9" width="11.1640625" style="1" hidden="1" customWidth="1"/>
    <col min="10" max="10" width="23" style="1" hidden="1" customWidth="1"/>
    <col min="11" max="11" width="23.6640625" style="1" bestFit="1" customWidth="1"/>
    <col min="12" max="12" width="11.1640625" style="1" customWidth="1"/>
    <col min="13" max="13" width="24.83203125" style="2" bestFit="1" customWidth="1"/>
    <col min="14" max="14" width="12" style="6" bestFit="1" customWidth="1"/>
    <col min="15" max="15" width="21.6640625" style="2" bestFit="1" customWidth="1"/>
    <col min="16" max="16" width="10.83203125" style="6" customWidth="1"/>
    <col min="17" max="17" width="15.1640625" style="50" customWidth="1"/>
    <col min="18" max="18" width="33.83203125" style="2" bestFit="1" customWidth="1"/>
    <col min="19" max="19" width="12.5" style="2" customWidth="1"/>
    <col min="20" max="20" width="15.1640625" style="2" bestFit="1" customWidth="1"/>
    <col min="21" max="21" width="10.5" style="6" bestFit="1" customWidth="1"/>
    <col min="22" max="22" width="16.1640625" style="50" customWidth="1"/>
    <col min="23" max="23" width="22.83203125" style="50" customWidth="1"/>
    <col min="24" max="24" width="23.6640625" style="1" bestFit="1" customWidth="1"/>
    <col min="25" max="25" width="11.1640625" style="1" customWidth="1"/>
    <col min="26" max="26" width="21.1640625" style="2" bestFit="1" customWidth="1"/>
    <col min="27" max="27" width="10.83203125" style="6" customWidth="1"/>
    <col min="28" max="28" width="8.83203125" style="2" customWidth="1"/>
    <col min="29" max="29" width="10.83203125" style="6" customWidth="1"/>
    <col min="30" max="30" width="8.83203125" style="2" customWidth="1"/>
    <col min="31" max="33" width="12.5" style="2" customWidth="1"/>
    <col min="34" max="34" width="9.83203125" style="6" customWidth="1"/>
    <col min="35" max="35" width="8.83203125" style="2" customWidth="1"/>
    <col min="36" max="36" width="22.83203125" style="2" customWidth="1"/>
    <col min="37" max="16384" width="10.6640625" style="2"/>
  </cols>
  <sheetData>
    <row r="1" spans="1:36" s="7" customFormat="1" ht="20.100000000000001" customHeight="1" x14ac:dyDescent="0.2">
      <c r="A1" s="55"/>
      <c r="B1" s="56"/>
      <c r="C1" s="399" t="s">
        <v>10</v>
      </c>
      <c r="D1" s="400"/>
      <c r="E1" s="400"/>
      <c r="F1" s="400"/>
      <c r="G1" s="401"/>
      <c r="H1" s="401"/>
      <c r="I1" s="401"/>
      <c r="J1" s="400"/>
      <c r="K1" s="400"/>
      <c r="L1" s="400"/>
      <c r="M1" s="400"/>
      <c r="N1" s="400"/>
      <c r="O1" s="400"/>
      <c r="P1" s="400"/>
      <c r="Q1" s="402"/>
      <c r="R1" s="388" t="s">
        <v>7</v>
      </c>
      <c r="S1" s="389"/>
      <c r="T1" s="389"/>
      <c r="U1" s="390"/>
      <c r="V1" s="379" t="s">
        <v>1430</v>
      </c>
      <c r="W1" s="380"/>
      <c r="AE1" s="419"/>
      <c r="AF1" s="420"/>
      <c r="AG1" s="420"/>
      <c r="AH1" s="421"/>
      <c r="AI1" s="422"/>
      <c r="AJ1" s="423"/>
    </row>
    <row r="2" spans="1:36" s="7" customFormat="1" ht="19.5" customHeight="1" x14ac:dyDescent="0.2">
      <c r="A2" s="57"/>
      <c r="B2" s="58"/>
      <c r="C2" s="381" t="s">
        <v>23</v>
      </c>
      <c r="D2" s="382"/>
      <c r="E2" s="382"/>
      <c r="F2" s="382"/>
      <c r="G2" s="383"/>
      <c r="H2" s="383"/>
      <c r="I2" s="383"/>
      <c r="J2" s="382"/>
      <c r="K2" s="382"/>
      <c r="L2" s="382"/>
      <c r="M2" s="382"/>
      <c r="N2" s="382"/>
      <c r="O2" s="382"/>
      <c r="P2" s="382"/>
      <c r="Q2" s="384"/>
      <c r="R2" s="385" t="s">
        <v>16</v>
      </c>
      <c r="S2" s="386"/>
      <c r="T2" s="386"/>
      <c r="U2" s="387"/>
      <c r="V2" s="397" t="s">
        <v>1431</v>
      </c>
      <c r="W2" s="398"/>
      <c r="AE2" s="424"/>
      <c r="AF2" s="425"/>
      <c r="AG2" s="425"/>
      <c r="AH2" s="426"/>
      <c r="AI2" s="427"/>
      <c r="AJ2" s="428"/>
    </row>
    <row r="3" spans="1:36" s="7" customFormat="1" ht="19.5" customHeight="1" x14ac:dyDescent="0.2">
      <c r="A3" s="57"/>
      <c r="B3" s="58"/>
      <c r="C3" s="381" t="s">
        <v>24</v>
      </c>
      <c r="D3" s="382"/>
      <c r="E3" s="382"/>
      <c r="F3" s="382"/>
      <c r="G3" s="383"/>
      <c r="H3" s="383"/>
      <c r="I3" s="383"/>
      <c r="J3" s="382"/>
      <c r="K3" s="382"/>
      <c r="L3" s="382"/>
      <c r="M3" s="382"/>
      <c r="N3" s="382"/>
      <c r="O3" s="382"/>
      <c r="P3" s="382"/>
      <c r="Q3" s="384"/>
      <c r="R3" s="406" t="s">
        <v>9</v>
      </c>
      <c r="S3" s="407"/>
      <c r="T3" s="407"/>
      <c r="U3" s="408"/>
      <c r="V3" s="397" t="s">
        <v>1432</v>
      </c>
      <c r="W3" s="398"/>
      <c r="AE3" s="429"/>
      <c r="AF3" s="430"/>
      <c r="AG3" s="430"/>
      <c r="AH3" s="431"/>
      <c r="AI3" s="427"/>
      <c r="AJ3" s="428"/>
    </row>
    <row r="4" spans="1:36" s="7" customFormat="1" ht="19.5" customHeight="1" thickBot="1" x14ac:dyDescent="0.25">
      <c r="A4" s="57"/>
      <c r="B4" s="58"/>
      <c r="C4" s="409" t="s">
        <v>20</v>
      </c>
      <c r="D4" s="410"/>
      <c r="E4" s="410"/>
      <c r="F4" s="410"/>
      <c r="G4" s="411"/>
      <c r="H4" s="411"/>
      <c r="I4" s="411"/>
      <c r="J4" s="410"/>
      <c r="K4" s="410"/>
      <c r="L4" s="410"/>
      <c r="M4" s="410"/>
      <c r="N4" s="410"/>
      <c r="O4" s="410"/>
      <c r="P4" s="410"/>
      <c r="Q4" s="412"/>
      <c r="R4" s="413" t="s">
        <v>8</v>
      </c>
      <c r="S4" s="414"/>
      <c r="T4" s="414"/>
      <c r="U4" s="415"/>
      <c r="V4" s="403">
        <v>41723</v>
      </c>
      <c r="W4" s="404"/>
      <c r="AE4" s="440"/>
      <c r="AF4" s="441"/>
      <c r="AG4" s="441"/>
      <c r="AH4" s="442"/>
      <c r="AI4" s="443"/>
      <c r="AJ4" s="444"/>
    </row>
    <row r="5" spans="1:36" s="12" customFormat="1" ht="15" customHeight="1" x14ac:dyDescent="0.2">
      <c r="A5" s="362" t="s">
        <v>0</v>
      </c>
      <c r="B5" s="365" t="s">
        <v>1</v>
      </c>
      <c r="C5" s="368" t="s">
        <v>17</v>
      </c>
      <c r="D5" s="368" t="s">
        <v>18</v>
      </c>
      <c r="E5" s="368" t="s">
        <v>15</v>
      </c>
      <c r="F5" s="368" t="s">
        <v>22</v>
      </c>
      <c r="G5" s="368" t="s">
        <v>12</v>
      </c>
      <c r="H5" s="368" t="s">
        <v>2349</v>
      </c>
      <c r="I5" s="368" t="s">
        <v>2371</v>
      </c>
      <c r="J5" s="368" t="s">
        <v>1540</v>
      </c>
      <c r="K5" s="447" t="s">
        <v>13</v>
      </c>
      <c r="L5" s="448"/>
      <c r="M5" s="448"/>
      <c r="N5" s="449"/>
      <c r="O5" s="405" t="s">
        <v>14</v>
      </c>
      <c r="P5" s="405"/>
      <c r="Q5" s="405"/>
      <c r="R5" s="405" t="s">
        <v>1371</v>
      </c>
      <c r="S5" s="405"/>
      <c r="T5" s="405"/>
      <c r="U5" s="405"/>
      <c r="V5" s="405"/>
      <c r="W5" s="416" t="s">
        <v>2</v>
      </c>
      <c r="X5" s="28"/>
      <c r="Y5" s="28"/>
      <c r="Z5" s="391" t="s">
        <v>13</v>
      </c>
      <c r="AA5" s="391"/>
      <c r="AB5" s="391" t="s">
        <v>14</v>
      </c>
      <c r="AC5" s="391"/>
      <c r="AD5" s="391"/>
      <c r="AE5" s="391" t="s">
        <v>1371</v>
      </c>
      <c r="AF5" s="391"/>
      <c r="AG5" s="391"/>
      <c r="AH5" s="391"/>
      <c r="AI5" s="391"/>
      <c r="AJ5" s="432" t="s">
        <v>2</v>
      </c>
    </row>
    <row r="6" spans="1:36" s="12" customFormat="1" ht="24.95" customHeight="1" x14ac:dyDescent="0.2">
      <c r="A6" s="363"/>
      <c r="B6" s="366"/>
      <c r="C6" s="369"/>
      <c r="D6" s="369"/>
      <c r="E6" s="371"/>
      <c r="F6" s="369"/>
      <c r="G6" s="369"/>
      <c r="H6" s="369"/>
      <c r="I6" s="369"/>
      <c r="J6" s="369"/>
      <c r="K6" s="377" t="s">
        <v>4</v>
      </c>
      <c r="L6" s="394"/>
      <c r="M6" s="394"/>
      <c r="N6" s="378"/>
      <c r="O6" s="453" t="s">
        <v>5</v>
      </c>
      <c r="P6" s="453"/>
      <c r="Q6" s="453"/>
      <c r="R6" s="376" t="s">
        <v>4</v>
      </c>
      <c r="S6" s="376"/>
      <c r="T6" s="395" t="s">
        <v>5</v>
      </c>
      <c r="U6" s="395"/>
      <c r="V6" s="396"/>
      <c r="W6" s="417"/>
      <c r="X6" s="392" t="s">
        <v>4</v>
      </c>
      <c r="Y6" s="435"/>
      <c r="Z6" s="435"/>
      <c r="AA6" s="393"/>
      <c r="AB6" s="436" t="s">
        <v>5</v>
      </c>
      <c r="AC6" s="436"/>
      <c r="AD6" s="436"/>
      <c r="AE6" s="437" t="s">
        <v>4</v>
      </c>
      <c r="AF6" s="437"/>
      <c r="AG6" s="438" t="s">
        <v>5</v>
      </c>
      <c r="AH6" s="438"/>
      <c r="AI6" s="439"/>
      <c r="AJ6" s="433"/>
    </row>
    <row r="7" spans="1:36" s="12" customFormat="1" ht="24.95" customHeight="1" x14ac:dyDescent="0.2">
      <c r="A7" s="363"/>
      <c r="B7" s="366"/>
      <c r="C7" s="369"/>
      <c r="D7" s="369"/>
      <c r="E7" s="371"/>
      <c r="F7" s="369"/>
      <c r="G7" s="369"/>
      <c r="H7" s="369"/>
      <c r="I7" s="369"/>
      <c r="J7" s="369"/>
      <c r="K7" s="377" t="s">
        <v>1433</v>
      </c>
      <c r="L7" s="378"/>
      <c r="M7" s="394" t="s">
        <v>1434</v>
      </c>
      <c r="N7" s="378"/>
      <c r="O7" s="446" t="s">
        <v>1435</v>
      </c>
      <c r="P7" s="395"/>
      <c r="Q7" s="396"/>
      <c r="R7" s="376" t="s">
        <v>1437</v>
      </c>
      <c r="S7" s="376"/>
      <c r="T7" s="376" t="s">
        <v>1438</v>
      </c>
      <c r="U7" s="376"/>
      <c r="V7" s="376"/>
      <c r="W7" s="417"/>
      <c r="X7" s="392" t="s">
        <v>1433</v>
      </c>
      <c r="Y7" s="393"/>
      <c r="Z7" s="435" t="s">
        <v>1434</v>
      </c>
      <c r="AA7" s="393"/>
      <c r="AB7" s="445" t="s">
        <v>1435</v>
      </c>
      <c r="AC7" s="438"/>
      <c r="AD7" s="439"/>
      <c r="AE7" s="437" t="s">
        <v>1437</v>
      </c>
      <c r="AF7" s="437"/>
      <c r="AG7" s="437" t="s">
        <v>1438</v>
      </c>
      <c r="AH7" s="437"/>
      <c r="AI7" s="437"/>
      <c r="AJ7" s="433"/>
    </row>
    <row r="8" spans="1:36" s="12" customFormat="1" ht="15" customHeight="1" thickBot="1" x14ac:dyDescent="0.25">
      <c r="A8" s="364"/>
      <c r="B8" s="367"/>
      <c r="C8" s="370"/>
      <c r="D8" s="370"/>
      <c r="E8" s="372"/>
      <c r="F8" s="370"/>
      <c r="G8" s="370"/>
      <c r="H8" s="370"/>
      <c r="I8" s="370"/>
      <c r="J8" s="370"/>
      <c r="K8" s="3" t="s">
        <v>6</v>
      </c>
      <c r="L8" s="4" t="s">
        <v>3</v>
      </c>
      <c r="M8" s="3" t="s">
        <v>6</v>
      </c>
      <c r="N8" s="4" t="s">
        <v>3</v>
      </c>
      <c r="O8" s="3" t="s">
        <v>6</v>
      </c>
      <c r="P8" s="4" t="s">
        <v>3</v>
      </c>
      <c r="Q8" s="23" t="s">
        <v>11</v>
      </c>
      <c r="R8" s="27" t="s">
        <v>6</v>
      </c>
      <c r="S8" s="4" t="s">
        <v>3</v>
      </c>
      <c r="T8" s="27" t="s">
        <v>6</v>
      </c>
      <c r="U8" s="4" t="s">
        <v>3</v>
      </c>
      <c r="V8" s="23" t="s">
        <v>11</v>
      </c>
      <c r="W8" s="418"/>
      <c r="X8" s="29" t="s">
        <v>6</v>
      </c>
      <c r="Y8" s="30" t="s">
        <v>3</v>
      </c>
      <c r="Z8" s="29" t="s">
        <v>6</v>
      </c>
      <c r="AA8" s="30" t="s">
        <v>3</v>
      </c>
      <c r="AB8" s="29" t="s">
        <v>6</v>
      </c>
      <c r="AC8" s="30" t="s">
        <v>3</v>
      </c>
      <c r="AD8" s="29" t="s">
        <v>11</v>
      </c>
      <c r="AE8" s="31" t="s">
        <v>6</v>
      </c>
      <c r="AF8" s="30" t="s">
        <v>3</v>
      </c>
      <c r="AG8" s="31" t="s">
        <v>6</v>
      </c>
      <c r="AH8" s="30" t="s">
        <v>3</v>
      </c>
      <c r="AI8" s="29" t="s">
        <v>11</v>
      </c>
      <c r="AJ8" s="434"/>
    </row>
    <row r="9" spans="1:36" s="5" customFormat="1" ht="24.75" hidden="1" customHeight="1" x14ac:dyDescent="0.2">
      <c r="A9" s="10">
        <v>1</v>
      </c>
      <c r="B9" s="373" t="s">
        <v>25</v>
      </c>
      <c r="C9" s="375" t="s">
        <v>133</v>
      </c>
      <c r="D9" s="375" t="s">
        <v>251</v>
      </c>
      <c r="E9" s="46" t="s">
        <v>1432</v>
      </c>
      <c r="F9" s="22">
        <v>2</v>
      </c>
      <c r="G9" s="62">
        <v>41744</v>
      </c>
      <c r="H9" s="62"/>
      <c r="I9" s="62"/>
      <c r="J9" s="74"/>
      <c r="K9" s="21" t="s">
        <v>1456</v>
      </c>
      <c r="L9" s="21">
        <v>41737</v>
      </c>
      <c r="M9" s="20" t="s">
        <v>1436</v>
      </c>
      <c r="N9" s="21">
        <v>41738</v>
      </c>
      <c r="O9" s="46" t="s">
        <v>1878</v>
      </c>
      <c r="P9" s="21">
        <v>41752</v>
      </c>
      <c r="Q9" s="47">
        <v>2</v>
      </c>
      <c r="R9" s="11" t="s">
        <v>1447</v>
      </c>
      <c r="S9" s="21">
        <v>41742</v>
      </c>
      <c r="T9" s="46" t="s">
        <v>1448</v>
      </c>
      <c r="U9" s="51">
        <v>41757</v>
      </c>
      <c r="V9" s="63" t="s">
        <v>1465</v>
      </c>
      <c r="W9" s="53"/>
      <c r="X9" s="32"/>
      <c r="Y9" s="32"/>
      <c r="Z9" s="33"/>
      <c r="AA9" s="32"/>
      <c r="AB9" s="34"/>
      <c r="AC9" s="35"/>
      <c r="AD9" s="34"/>
      <c r="AE9" s="34"/>
      <c r="AF9" s="34"/>
      <c r="AG9" s="34"/>
      <c r="AH9" s="35"/>
      <c r="AI9" s="34"/>
      <c r="AJ9" s="36"/>
    </row>
    <row r="10" spans="1:36" s="5" customFormat="1" ht="12.75" hidden="1" customHeight="1" x14ac:dyDescent="0.2">
      <c r="A10" s="165"/>
      <c r="B10" s="374"/>
      <c r="C10" s="346"/>
      <c r="D10" s="346"/>
      <c r="E10" s="46" t="s">
        <v>1459</v>
      </c>
      <c r="F10" s="166" t="s">
        <v>1442</v>
      </c>
      <c r="G10" s="62"/>
      <c r="H10" s="62"/>
      <c r="I10" s="62"/>
      <c r="J10" s="74"/>
      <c r="K10" s="99" t="s">
        <v>1630</v>
      </c>
      <c r="L10" s="99">
        <v>41841</v>
      </c>
      <c r="M10" s="131" t="s">
        <v>1632</v>
      </c>
      <c r="N10" s="104">
        <v>41850</v>
      </c>
      <c r="O10" s="46" t="s">
        <v>1670</v>
      </c>
      <c r="P10" s="62">
        <v>41855</v>
      </c>
      <c r="Q10" s="63" t="s">
        <v>1465</v>
      </c>
      <c r="R10" s="172" t="s">
        <v>1659</v>
      </c>
      <c r="S10" s="62">
        <v>41851</v>
      </c>
      <c r="T10" s="46" t="s">
        <v>1666</v>
      </c>
      <c r="U10" s="175">
        <v>41851</v>
      </c>
      <c r="V10" s="63" t="s">
        <v>1465</v>
      </c>
      <c r="W10" s="106" t="s">
        <v>1442</v>
      </c>
      <c r="X10" s="32"/>
      <c r="Y10" s="32"/>
      <c r="Z10" s="167"/>
      <c r="AA10" s="32"/>
      <c r="AB10" s="168"/>
      <c r="AC10" s="169"/>
      <c r="AD10" s="168"/>
      <c r="AE10" s="168"/>
      <c r="AF10" s="168"/>
      <c r="AG10" s="168"/>
      <c r="AH10" s="169"/>
      <c r="AI10" s="168"/>
      <c r="AJ10" s="170"/>
    </row>
    <row r="11" spans="1:36" s="5" customFormat="1" ht="24.95" customHeight="1" x14ac:dyDescent="0.2">
      <c r="A11" s="13">
        <f>A9+1</f>
        <v>2</v>
      </c>
      <c r="B11" s="450" t="s">
        <v>2385</v>
      </c>
      <c r="C11" s="345" t="s">
        <v>134</v>
      </c>
      <c r="D11" s="345" t="s">
        <v>252</v>
      </c>
      <c r="E11" s="46" t="s">
        <v>1432</v>
      </c>
      <c r="F11" s="17">
        <v>2</v>
      </c>
      <c r="G11" s="18">
        <v>42070</v>
      </c>
      <c r="H11" s="175"/>
      <c r="I11" s="175"/>
      <c r="J11" s="74">
        <v>-16</v>
      </c>
      <c r="K11" s="61" t="s">
        <v>2260</v>
      </c>
      <c r="L11" s="61">
        <v>42086</v>
      </c>
      <c r="M11" s="17" t="s">
        <v>2261</v>
      </c>
      <c r="N11" s="18">
        <v>42088</v>
      </c>
      <c r="O11" s="46" t="s">
        <v>2279</v>
      </c>
      <c r="P11" s="26">
        <v>42106</v>
      </c>
      <c r="Q11" s="52">
        <v>2</v>
      </c>
      <c r="R11" s="224" t="s">
        <v>2263</v>
      </c>
      <c r="S11" s="62">
        <v>42088</v>
      </c>
      <c r="T11" s="46" t="s">
        <v>2273</v>
      </c>
      <c r="U11" s="26">
        <v>42099</v>
      </c>
      <c r="V11" s="52" t="s">
        <v>1369</v>
      </c>
      <c r="W11" s="67" t="s">
        <v>1442</v>
      </c>
      <c r="X11" s="37"/>
      <c r="Y11" s="37"/>
      <c r="Z11" s="38"/>
      <c r="AA11" s="39"/>
      <c r="AB11" s="40"/>
      <c r="AC11" s="41"/>
      <c r="AD11" s="40"/>
      <c r="AE11" s="40"/>
      <c r="AF11" s="40"/>
      <c r="AG11" s="40"/>
      <c r="AH11" s="41"/>
      <c r="AI11" s="40"/>
      <c r="AJ11" s="42"/>
    </row>
    <row r="12" spans="1:36" s="5" customFormat="1" ht="24.95" customHeight="1" x14ac:dyDescent="0.2">
      <c r="A12" s="13"/>
      <c r="B12" s="451"/>
      <c r="C12" s="355"/>
      <c r="D12" s="355"/>
      <c r="E12" s="46">
        <v>0</v>
      </c>
      <c r="F12" s="17" t="s">
        <v>1442</v>
      </c>
      <c r="G12" s="18" t="s">
        <v>1442</v>
      </c>
      <c r="H12" s="175"/>
      <c r="I12" s="175"/>
      <c r="J12" s="74"/>
      <c r="K12" s="61" t="s">
        <v>3134</v>
      </c>
      <c r="L12" s="61">
        <v>42351</v>
      </c>
      <c r="M12" s="17" t="s">
        <v>3135</v>
      </c>
      <c r="N12" s="175">
        <v>42352</v>
      </c>
      <c r="O12" s="46" t="s">
        <v>3160</v>
      </c>
      <c r="P12" s="163">
        <v>42367</v>
      </c>
      <c r="Q12" s="52">
        <v>1</v>
      </c>
      <c r="R12" s="244" t="s">
        <v>3147</v>
      </c>
      <c r="S12" s="18">
        <v>42353</v>
      </c>
      <c r="T12" s="46" t="s">
        <v>3171</v>
      </c>
      <c r="U12" s="26">
        <v>42007</v>
      </c>
      <c r="V12" s="52" t="s">
        <v>1369</v>
      </c>
      <c r="W12" s="299" t="s">
        <v>1442</v>
      </c>
      <c r="X12" s="37"/>
      <c r="Y12" s="37"/>
      <c r="Z12" s="38"/>
      <c r="AA12" s="39"/>
      <c r="AB12" s="40"/>
      <c r="AC12" s="41"/>
      <c r="AD12" s="40"/>
      <c r="AE12" s="40"/>
      <c r="AF12" s="40"/>
      <c r="AG12" s="40"/>
      <c r="AH12" s="41"/>
      <c r="AI12" s="40"/>
      <c r="AJ12" s="42"/>
    </row>
    <row r="13" spans="1:36" s="5" customFormat="1" ht="24.75" customHeight="1" x14ac:dyDescent="0.2">
      <c r="A13" s="13"/>
      <c r="B13" s="452"/>
      <c r="C13" s="346"/>
      <c r="D13" s="346"/>
      <c r="E13" s="46"/>
      <c r="F13" s="17"/>
      <c r="G13" s="18"/>
      <c r="H13" s="175"/>
      <c r="I13" s="175"/>
      <c r="J13" s="74"/>
      <c r="K13" s="62"/>
      <c r="L13" s="61"/>
      <c r="M13" s="17"/>
      <c r="N13" s="175"/>
      <c r="O13" s="46"/>
      <c r="P13" s="163"/>
      <c r="Q13" s="52"/>
      <c r="R13" s="297"/>
      <c r="S13" s="62"/>
      <c r="T13" s="46"/>
      <c r="U13" s="26"/>
      <c r="V13" s="52"/>
      <c r="W13" s="299"/>
      <c r="X13" s="37"/>
      <c r="Y13" s="37"/>
      <c r="Z13" s="38"/>
      <c r="AA13" s="39"/>
      <c r="AB13" s="40"/>
      <c r="AC13" s="41"/>
      <c r="AD13" s="40"/>
      <c r="AE13" s="40"/>
      <c r="AF13" s="40"/>
      <c r="AG13" s="40"/>
      <c r="AH13" s="41"/>
      <c r="AI13" s="40"/>
      <c r="AJ13" s="42"/>
    </row>
    <row r="14" spans="1:36" s="5" customFormat="1" ht="21" x14ac:dyDescent="0.2">
      <c r="A14" s="13">
        <f>A11+1</f>
        <v>3</v>
      </c>
      <c r="B14" s="25" t="s">
        <v>26</v>
      </c>
      <c r="C14" s="15" t="s">
        <v>135</v>
      </c>
      <c r="D14" s="15" t="s">
        <v>253</v>
      </c>
      <c r="E14" s="46" t="s">
        <v>1432</v>
      </c>
      <c r="F14" s="17">
        <v>2</v>
      </c>
      <c r="G14" s="61">
        <v>41810</v>
      </c>
      <c r="H14" s="62"/>
      <c r="I14" s="62"/>
      <c r="J14" s="74"/>
      <c r="K14" s="99" t="s">
        <v>1652</v>
      </c>
      <c r="L14" s="16">
        <v>41847</v>
      </c>
      <c r="M14" s="131" t="s">
        <v>1653</v>
      </c>
      <c r="N14" s="104">
        <v>41851</v>
      </c>
      <c r="O14" s="46" t="s">
        <v>1673</v>
      </c>
      <c r="P14" s="62">
        <v>41855</v>
      </c>
      <c r="Q14" s="63" t="s">
        <v>1465</v>
      </c>
      <c r="R14" s="172" t="s">
        <v>1664</v>
      </c>
      <c r="S14" s="62">
        <v>41854</v>
      </c>
      <c r="T14" s="46" t="s">
        <v>1716</v>
      </c>
      <c r="U14" s="26">
        <v>41869</v>
      </c>
      <c r="V14" s="63" t="s">
        <v>1465</v>
      </c>
      <c r="W14" s="106" t="s">
        <v>1442</v>
      </c>
      <c r="X14" s="37"/>
      <c r="Y14" s="37"/>
      <c r="Z14" s="38"/>
      <c r="AA14" s="39"/>
      <c r="AB14" s="40"/>
      <c r="AC14" s="41"/>
      <c r="AD14" s="40"/>
      <c r="AE14" s="40"/>
      <c r="AF14" s="40"/>
      <c r="AG14" s="40"/>
      <c r="AH14" s="41"/>
      <c r="AI14" s="40"/>
      <c r="AJ14" s="42"/>
    </row>
    <row r="15" spans="1:36" s="5" customFormat="1" x14ac:dyDescent="0.2">
      <c r="A15" s="13">
        <f>A14+1</f>
        <v>4</v>
      </c>
      <c r="B15" s="353" t="s">
        <v>27</v>
      </c>
      <c r="C15" s="345" t="s">
        <v>136</v>
      </c>
      <c r="D15" s="345" t="s">
        <v>254</v>
      </c>
      <c r="E15" s="46" t="s">
        <v>1432</v>
      </c>
      <c r="F15" s="17">
        <v>2</v>
      </c>
      <c r="G15" s="61">
        <v>41849</v>
      </c>
      <c r="H15" s="62"/>
      <c r="I15" s="62"/>
      <c r="J15" s="74"/>
      <c r="K15" s="61" t="s">
        <v>1688</v>
      </c>
      <c r="L15" s="16">
        <v>41858</v>
      </c>
      <c r="M15" s="17" t="s">
        <v>1689</v>
      </c>
      <c r="N15" s="18">
        <v>41871</v>
      </c>
      <c r="O15" s="46" t="s">
        <v>1727</v>
      </c>
      <c r="P15" s="26">
        <v>41871</v>
      </c>
      <c r="Q15" s="52">
        <v>2</v>
      </c>
      <c r="R15" s="15" t="s">
        <v>1698</v>
      </c>
      <c r="S15" s="62">
        <v>41862</v>
      </c>
      <c r="T15" s="46" t="s">
        <v>1723</v>
      </c>
      <c r="U15" s="26">
        <v>41870</v>
      </c>
      <c r="V15" s="63" t="s">
        <v>1465</v>
      </c>
      <c r="W15" s="106" t="s">
        <v>1442</v>
      </c>
      <c r="X15" s="37"/>
      <c r="Y15" s="37"/>
      <c r="Z15" s="38"/>
      <c r="AA15" s="39"/>
      <c r="AB15" s="40"/>
      <c r="AC15" s="41"/>
      <c r="AD15" s="40"/>
      <c r="AE15" s="40"/>
      <c r="AF15" s="40"/>
      <c r="AG15" s="40"/>
      <c r="AH15" s="41"/>
      <c r="AI15" s="40"/>
      <c r="AJ15" s="42"/>
    </row>
    <row r="16" spans="1:36" s="5" customFormat="1" x14ac:dyDescent="0.2">
      <c r="A16" s="13"/>
      <c r="B16" s="354"/>
      <c r="C16" s="346"/>
      <c r="D16" s="346"/>
      <c r="E16" s="46">
        <v>0</v>
      </c>
      <c r="F16" s="17" t="s">
        <v>1442</v>
      </c>
      <c r="G16" s="61" t="s">
        <v>1442</v>
      </c>
      <c r="H16" s="62"/>
      <c r="I16" s="62"/>
      <c r="J16" s="74"/>
      <c r="K16" s="61" t="s">
        <v>1748</v>
      </c>
      <c r="L16" s="61">
        <v>41889</v>
      </c>
      <c r="M16" s="17" t="s">
        <v>1751</v>
      </c>
      <c r="N16" s="18">
        <v>41890</v>
      </c>
      <c r="O16" s="46" t="s">
        <v>1824</v>
      </c>
      <c r="P16" s="26">
        <v>41893</v>
      </c>
      <c r="Q16" s="63" t="s">
        <v>1465</v>
      </c>
      <c r="R16" s="15" t="s">
        <v>1771</v>
      </c>
      <c r="S16" s="62">
        <v>41891</v>
      </c>
      <c r="T16" s="46" t="s">
        <v>1827</v>
      </c>
      <c r="U16" s="26">
        <v>41896</v>
      </c>
      <c r="V16" s="63" t="s">
        <v>1465</v>
      </c>
      <c r="W16" s="190" t="s">
        <v>1442</v>
      </c>
      <c r="X16" s="37"/>
      <c r="Y16" s="37"/>
      <c r="Z16" s="38"/>
      <c r="AA16" s="39"/>
      <c r="AB16" s="40"/>
      <c r="AC16" s="41"/>
      <c r="AD16" s="40"/>
      <c r="AE16" s="40"/>
      <c r="AF16" s="40"/>
      <c r="AG16" s="40"/>
      <c r="AH16" s="41"/>
      <c r="AI16" s="40"/>
      <c r="AJ16" s="42"/>
    </row>
    <row r="17" spans="1:36" s="5" customFormat="1" ht="21" x14ac:dyDescent="0.2">
      <c r="A17" s="13">
        <f>A15+1</f>
        <v>5</v>
      </c>
      <c r="B17" s="353" t="s">
        <v>28</v>
      </c>
      <c r="C17" s="345" t="s">
        <v>137</v>
      </c>
      <c r="D17" s="345" t="s">
        <v>255</v>
      </c>
      <c r="E17" s="46" t="s">
        <v>1432</v>
      </c>
      <c r="F17" s="17">
        <v>2</v>
      </c>
      <c r="G17" s="61">
        <v>41773</v>
      </c>
      <c r="H17" s="62"/>
      <c r="I17" s="62"/>
      <c r="J17" s="74"/>
      <c r="K17" s="21" t="s">
        <v>1457</v>
      </c>
      <c r="L17" s="16">
        <v>41787</v>
      </c>
      <c r="M17" s="17" t="s">
        <v>1452</v>
      </c>
      <c r="N17" s="61">
        <v>41787</v>
      </c>
      <c r="O17" s="65" t="s">
        <v>1571</v>
      </c>
      <c r="P17" s="26">
        <v>41822</v>
      </c>
      <c r="Q17" s="52">
        <v>2</v>
      </c>
      <c r="R17" s="15" t="s">
        <v>1462</v>
      </c>
      <c r="S17" s="21">
        <v>41787</v>
      </c>
      <c r="T17" s="46" t="s">
        <v>1528</v>
      </c>
      <c r="U17" s="26">
        <v>41797</v>
      </c>
      <c r="V17" s="52" t="s">
        <v>1529</v>
      </c>
      <c r="W17" s="68" t="s">
        <v>1442</v>
      </c>
      <c r="X17" s="37"/>
      <c r="Y17" s="37"/>
      <c r="Z17" s="38"/>
      <c r="AA17" s="39"/>
      <c r="AB17" s="40"/>
      <c r="AC17" s="41"/>
      <c r="AD17" s="40"/>
      <c r="AE17" s="40"/>
      <c r="AF17" s="40"/>
      <c r="AG17" s="40"/>
      <c r="AH17" s="41"/>
      <c r="AI17" s="40"/>
      <c r="AJ17" s="42"/>
    </row>
    <row r="18" spans="1:36" s="5" customFormat="1" x14ac:dyDescent="0.2">
      <c r="A18" s="13"/>
      <c r="B18" s="354"/>
      <c r="C18" s="346"/>
      <c r="D18" s="346"/>
      <c r="E18" s="46" t="s">
        <v>1459</v>
      </c>
      <c r="F18" s="17">
        <v>2</v>
      </c>
      <c r="G18" s="61"/>
      <c r="H18" s="62"/>
      <c r="I18" s="62"/>
      <c r="J18" s="74"/>
      <c r="K18" s="61" t="s">
        <v>1581</v>
      </c>
      <c r="L18" s="61">
        <v>41827</v>
      </c>
      <c r="M18" s="17" t="s">
        <v>1579</v>
      </c>
      <c r="N18" s="61">
        <v>41828</v>
      </c>
      <c r="O18" s="65" t="s">
        <v>1607</v>
      </c>
      <c r="P18" s="26">
        <v>41834</v>
      </c>
      <c r="Q18" s="63" t="s">
        <v>1465</v>
      </c>
      <c r="R18" s="15" t="s">
        <v>1584</v>
      </c>
      <c r="S18" s="62">
        <v>41829</v>
      </c>
      <c r="T18" s="46" t="s">
        <v>1605</v>
      </c>
      <c r="U18" s="26">
        <v>41834</v>
      </c>
      <c r="V18" s="63" t="s">
        <v>1465</v>
      </c>
      <c r="W18" s="106" t="s">
        <v>1442</v>
      </c>
      <c r="X18" s="37"/>
      <c r="Y18" s="37"/>
      <c r="Z18" s="38"/>
      <c r="AA18" s="39"/>
      <c r="AB18" s="40"/>
      <c r="AC18" s="41"/>
      <c r="AD18" s="40"/>
      <c r="AE18" s="40"/>
      <c r="AF18" s="40"/>
      <c r="AG18" s="40"/>
      <c r="AH18" s="41"/>
      <c r="AI18" s="40"/>
      <c r="AJ18" s="42"/>
    </row>
    <row r="19" spans="1:36" s="5" customFormat="1" ht="21" x14ac:dyDescent="0.2">
      <c r="A19" s="13">
        <f>A17+1</f>
        <v>6</v>
      </c>
      <c r="B19" s="353" t="s">
        <v>29</v>
      </c>
      <c r="C19" s="345" t="s">
        <v>138</v>
      </c>
      <c r="D19" s="345" t="s">
        <v>256</v>
      </c>
      <c r="E19" s="46" t="s">
        <v>1432</v>
      </c>
      <c r="F19" s="17">
        <v>2</v>
      </c>
      <c r="G19" s="61">
        <v>41861</v>
      </c>
      <c r="H19" s="62"/>
      <c r="I19" s="62"/>
      <c r="J19" s="74"/>
      <c r="K19" s="21" t="s">
        <v>1458</v>
      </c>
      <c r="L19" s="21">
        <v>41752</v>
      </c>
      <c r="M19" s="22" t="s">
        <v>1443</v>
      </c>
      <c r="N19" s="21">
        <v>41759</v>
      </c>
      <c r="O19" s="65" t="s">
        <v>1477</v>
      </c>
      <c r="P19" s="26">
        <v>41777</v>
      </c>
      <c r="Q19" s="52">
        <v>4</v>
      </c>
      <c r="R19" s="15" t="s">
        <v>1463</v>
      </c>
      <c r="S19" s="62">
        <v>41793</v>
      </c>
      <c r="T19" s="46" t="s">
        <v>1544</v>
      </c>
      <c r="U19" s="26">
        <v>41813</v>
      </c>
      <c r="V19" s="52" t="s">
        <v>1529</v>
      </c>
      <c r="W19" s="67" t="s">
        <v>1442</v>
      </c>
      <c r="X19" s="37"/>
      <c r="Y19" s="37"/>
      <c r="Z19" s="38"/>
      <c r="AA19" s="39"/>
      <c r="AB19" s="40"/>
      <c r="AC19" s="41"/>
      <c r="AD19" s="40"/>
      <c r="AE19" s="40"/>
      <c r="AF19" s="40"/>
      <c r="AG19" s="40"/>
      <c r="AH19" s="41"/>
      <c r="AI19" s="40"/>
      <c r="AJ19" s="42"/>
    </row>
    <row r="20" spans="1:36" s="5" customFormat="1" x14ac:dyDescent="0.2">
      <c r="A20" s="13"/>
      <c r="B20" s="359"/>
      <c r="C20" s="355"/>
      <c r="D20" s="355"/>
      <c r="E20" s="46">
        <v>0</v>
      </c>
      <c r="F20" s="17" t="s">
        <v>1442</v>
      </c>
      <c r="G20" s="61" t="s">
        <v>1442</v>
      </c>
      <c r="H20" s="62"/>
      <c r="I20" s="62"/>
      <c r="J20" s="74"/>
      <c r="K20" s="61" t="s">
        <v>1748</v>
      </c>
      <c r="L20" s="61">
        <v>41889</v>
      </c>
      <c r="M20" s="17" t="s">
        <v>1750</v>
      </c>
      <c r="N20" s="18">
        <v>41890</v>
      </c>
      <c r="O20" s="65" t="s">
        <v>1823</v>
      </c>
      <c r="P20" s="26">
        <v>41893</v>
      </c>
      <c r="Q20" s="52">
        <v>2</v>
      </c>
      <c r="R20" s="15" t="s">
        <v>1770</v>
      </c>
      <c r="S20" s="62">
        <v>41891</v>
      </c>
      <c r="T20" s="46" t="s">
        <v>1828</v>
      </c>
      <c r="U20" s="26">
        <v>41896</v>
      </c>
      <c r="V20" s="63" t="s">
        <v>1465</v>
      </c>
      <c r="W20" s="190" t="s">
        <v>1442</v>
      </c>
      <c r="X20" s="37"/>
      <c r="Y20" s="37"/>
      <c r="Z20" s="38"/>
      <c r="AA20" s="39"/>
      <c r="AB20" s="40"/>
      <c r="AC20" s="41"/>
      <c r="AD20" s="40"/>
      <c r="AE20" s="40"/>
      <c r="AF20" s="40"/>
      <c r="AG20" s="40"/>
      <c r="AH20" s="41"/>
      <c r="AI20" s="40"/>
      <c r="AJ20" s="42"/>
    </row>
    <row r="21" spans="1:36" s="5" customFormat="1" x14ac:dyDescent="0.2">
      <c r="A21" s="13"/>
      <c r="B21" s="354"/>
      <c r="C21" s="346"/>
      <c r="D21" s="346"/>
      <c r="E21" s="46">
        <v>1</v>
      </c>
      <c r="F21" s="17" t="s">
        <v>1442</v>
      </c>
      <c r="G21" s="61" t="s">
        <v>1442</v>
      </c>
      <c r="H21" s="62"/>
      <c r="I21" s="62"/>
      <c r="J21" s="74"/>
      <c r="K21" s="61" t="s">
        <v>1829</v>
      </c>
      <c r="L21" s="61">
        <v>41896</v>
      </c>
      <c r="M21" s="17" t="s">
        <v>1831</v>
      </c>
      <c r="N21" s="18">
        <v>41898</v>
      </c>
      <c r="O21" s="65" t="s">
        <v>1879</v>
      </c>
      <c r="P21" s="26">
        <v>41899</v>
      </c>
      <c r="Q21" s="63" t="s">
        <v>1465</v>
      </c>
      <c r="R21" s="15" t="s">
        <v>1866</v>
      </c>
      <c r="S21" s="62">
        <v>41900</v>
      </c>
      <c r="T21" s="46" t="s">
        <v>1902</v>
      </c>
      <c r="U21" s="26">
        <v>41905</v>
      </c>
      <c r="V21" s="63" t="s">
        <v>1465</v>
      </c>
      <c r="W21" s="190" t="s">
        <v>1621</v>
      </c>
      <c r="X21" s="37"/>
      <c r="Y21" s="37"/>
      <c r="Z21" s="38"/>
      <c r="AA21" s="39"/>
      <c r="AB21" s="40"/>
      <c r="AC21" s="41"/>
      <c r="AD21" s="40"/>
      <c r="AE21" s="40"/>
      <c r="AF21" s="40"/>
      <c r="AG21" s="40"/>
      <c r="AH21" s="41"/>
      <c r="AI21" s="40"/>
      <c r="AJ21" s="42"/>
    </row>
    <row r="22" spans="1:36" s="5" customFormat="1" x14ac:dyDescent="0.2">
      <c r="A22" s="13">
        <f>A19+1</f>
        <v>7</v>
      </c>
      <c r="B22" s="353" t="s">
        <v>30</v>
      </c>
      <c r="C22" s="345" t="s">
        <v>139</v>
      </c>
      <c r="D22" s="345" t="s">
        <v>257</v>
      </c>
      <c r="E22" s="46" t="s">
        <v>1432</v>
      </c>
      <c r="F22" s="17">
        <v>2</v>
      </c>
      <c r="G22" s="61">
        <v>41821</v>
      </c>
      <c r="H22" s="62"/>
      <c r="I22" s="62"/>
      <c r="J22" s="74"/>
      <c r="K22" s="61" t="s">
        <v>1711</v>
      </c>
      <c r="L22" s="16">
        <v>41865</v>
      </c>
      <c r="M22" s="17" t="s">
        <v>1712</v>
      </c>
      <c r="N22" s="18">
        <v>41869</v>
      </c>
      <c r="O22" s="65" t="s">
        <v>1735</v>
      </c>
      <c r="P22" s="26">
        <v>41879</v>
      </c>
      <c r="Q22" s="52">
        <v>2</v>
      </c>
      <c r="R22" s="15" t="s">
        <v>1724</v>
      </c>
      <c r="S22" s="62">
        <v>41869</v>
      </c>
      <c r="T22" s="46" t="s">
        <v>1730</v>
      </c>
      <c r="U22" s="26">
        <v>41875</v>
      </c>
      <c r="V22" s="63" t="s">
        <v>1465</v>
      </c>
      <c r="W22" s="106" t="s">
        <v>1442</v>
      </c>
      <c r="X22" s="37"/>
      <c r="Y22" s="37"/>
      <c r="Z22" s="38"/>
      <c r="AA22" s="39"/>
      <c r="AB22" s="40"/>
      <c r="AC22" s="41"/>
      <c r="AD22" s="40"/>
      <c r="AE22" s="40"/>
      <c r="AF22" s="40"/>
      <c r="AG22" s="40"/>
      <c r="AH22" s="41"/>
      <c r="AI22" s="40"/>
      <c r="AJ22" s="42"/>
    </row>
    <row r="23" spans="1:36" s="5" customFormat="1" x14ac:dyDescent="0.2">
      <c r="A23" s="13"/>
      <c r="B23" s="354"/>
      <c r="C23" s="346"/>
      <c r="D23" s="346"/>
      <c r="E23" s="46">
        <v>0</v>
      </c>
      <c r="F23" s="17" t="s">
        <v>1442</v>
      </c>
      <c r="G23" s="61" t="s">
        <v>1442</v>
      </c>
      <c r="H23" s="62"/>
      <c r="I23" s="62"/>
      <c r="J23" s="74"/>
      <c r="K23" s="61" t="s">
        <v>1738</v>
      </c>
      <c r="L23" s="61">
        <v>41884</v>
      </c>
      <c r="M23" s="17" t="s">
        <v>1739</v>
      </c>
      <c r="N23" s="18">
        <v>41884</v>
      </c>
      <c r="O23" s="65" t="s">
        <v>1746</v>
      </c>
      <c r="P23" s="26">
        <v>41886</v>
      </c>
      <c r="Q23" s="63" t="s">
        <v>1465</v>
      </c>
      <c r="R23" s="15" t="s">
        <v>1743</v>
      </c>
      <c r="S23" s="62">
        <v>41886</v>
      </c>
      <c r="T23" s="46" t="s">
        <v>1749</v>
      </c>
      <c r="U23" s="26">
        <v>41889</v>
      </c>
      <c r="V23" s="63" t="s">
        <v>1465</v>
      </c>
      <c r="W23" s="106" t="s">
        <v>1442</v>
      </c>
      <c r="X23" s="37"/>
      <c r="Y23" s="37"/>
      <c r="Z23" s="38"/>
      <c r="AA23" s="39"/>
      <c r="AB23" s="40"/>
      <c r="AC23" s="41"/>
      <c r="AD23" s="40"/>
      <c r="AE23" s="40"/>
      <c r="AF23" s="40"/>
      <c r="AG23" s="40"/>
      <c r="AH23" s="41"/>
      <c r="AI23" s="40"/>
      <c r="AJ23" s="42"/>
    </row>
    <row r="24" spans="1:36" s="5" customFormat="1" ht="21" x14ac:dyDescent="0.2">
      <c r="A24" s="13">
        <f>A22+1</f>
        <v>8</v>
      </c>
      <c r="B24" s="353" t="s">
        <v>31</v>
      </c>
      <c r="C24" s="345" t="s">
        <v>140</v>
      </c>
      <c r="D24" s="345" t="s">
        <v>258</v>
      </c>
      <c r="E24" s="46" t="s">
        <v>1432</v>
      </c>
      <c r="F24" s="17">
        <v>2</v>
      </c>
      <c r="G24" s="61">
        <v>41827</v>
      </c>
      <c r="H24" s="62"/>
      <c r="I24" s="62"/>
      <c r="J24" s="74"/>
      <c r="K24" s="61" t="s">
        <v>1709</v>
      </c>
      <c r="L24" s="16">
        <v>41864</v>
      </c>
      <c r="M24" s="17" t="s">
        <v>1710</v>
      </c>
      <c r="N24" s="18">
        <v>41869</v>
      </c>
      <c r="O24" s="65" t="s">
        <v>1734</v>
      </c>
      <c r="P24" s="26">
        <v>41879</v>
      </c>
      <c r="Q24" s="52">
        <v>2</v>
      </c>
      <c r="R24" s="15" t="s">
        <v>1725</v>
      </c>
      <c r="S24" s="62">
        <v>41869</v>
      </c>
      <c r="T24" s="46" t="s">
        <v>1733</v>
      </c>
      <c r="U24" s="26">
        <v>41877</v>
      </c>
      <c r="V24" s="52" t="s">
        <v>1529</v>
      </c>
      <c r="W24" s="106" t="s">
        <v>1442</v>
      </c>
      <c r="X24" s="37"/>
      <c r="Y24" s="37"/>
      <c r="Z24" s="38"/>
      <c r="AA24" s="39"/>
      <c r="AB24" s="40"/>
      <c r="AC24" s="41"/>
      <c r="AD24" s="40"/>
      <c r="AE24" s="40"/>
      <c r="AF24" s="40"/>
      <c r="AG24" s="40"/>
      <c r="AH24" s="41"/>
      <c r="AI24" s="40"/>
      <c r="AJ24" s="42"/>
    </row>
    <row r="25" spans="1:36" s="5" customFormat="1" x14ac:dyDescent="0.2">
      <c r="A25" s="13"/>
      <c r="B25" s="354"/>
      <c r="C25" s="346"/>
      <c r="D25" s="346"/>
      <c r="E25" s="46">
        <v>0</v>
      </c>
      <c r="F25" s="17" t="s">
        <v>1442</v>
      </c>
      <c r="G25" s="61" t="s">
        <v>1442</v>
      </c>
      <c r="H25" s="62"/>
      <c r="I25" s="62"/>
      <c r="J25" s="74"/>
      <c r="K25" s="61" t="s">
        <v>1793</v>
      </c>
      <c r="L25" s="61">
        <v>41892</v>
      </c>
      <c r="M25" s="17" t="s">
        <v>1794</v>
      </c>
      <c r="N25" s="18">
        <v>41894</v>
      </c>
      <c r="O25" s="65" t="s">
        <v>1877</v>
      </c>
      <c r="P25" s="26">
        <v>41899</v>
      </c>
      <c r="Q25" s="63" t="s">
        <v>1465</v>
      </c>
      <c r="R25" s="180" t="s">
        <v>1850</v>
      </c>
      <c r="S25" s="62">
        <v>41898</v>
      </c>
      <c r="T25" s="46" t="s">
        <v>1863</v>
      </c>
      <c r="U25" s="26">
        <v>41899</v>
      </c>
      <c r="V25" s="63" t="s">
        <v>1465</v>
      </c>
      <c r="W25" s="67" t="s">
        <v>1442</v>
      </c>
      <c r="X25" s="37"/>
      <c r="Y25" s="37"/>
      <c r="Z25" s="38"/>
      <c r="AA25" s="39"/>
      <c r="AB25" s="40"/>
      <c r="AC25" s="41"/>
      <c r="AD25" s="40"/>
      <c r="AE25" s="40"/>
      <c r="AF25" s="40"/>
      <c r="AG25" s="40"/>
      <c r="AH25" s="41"/>
      <c r="AI25" s="40"/>
      <c r="AJ25" s="42"/>
    </row>
    <row r="26" spans="1:36" s="5" customFormat="1" ht="21" x14ac:dyDescent="0.2">
      <c r="A26" s="13">
        <f>A24+1</f>
        <v>9</v>
      </c>
      <c r="B26" s="353" t="s">
        <v>32</v>
      </c>
      <c r="C26" s="345" t="s">
        <v>141</v>
      </c>
      <c r="D26" s="345" t="s">
        <v>259</v>
      </c>
      <c r="E26" s="46" t="s">
        <v>1432</v>
      </c>
      <c r="F26" s="17">
        <v>2</v>
      </c>
      <c r="G26" s="61">
        <v>41793</v>
      </c>
      <c r="H26" s="62"/>
      <c r="I26" s="62"/>
      <c r="J26" s="74"/>
      <c r="K26" s="62" t="s">
        <v>1466</v>
      </c>
      <c r="L26" s="16">
        <v>41793</v>
      </c>
      <c r="M26" s="17" t="s">
        <v>1467</v>
      </c>
      <c r="N26" s="61">
        <v>41794</v>
      </c>
      <c r="O26" s="65" t="s">
        <v>1572</v>
      </c>
      <c r="P26" s="26">
        <v>41822</v>
      </c>
      <c r="Q26" s="52">
        <v>2</v>
      </c>
      <c r="R26" s="15" t="s">
        <v>1473</v>
      </c>
      <c r="S26" s="62">
        <v>41794</v>
      </c>
      <c r="T26" s="46" t="s">
        <v>1557</v>
      </c>
      <c r="U26" s="26">
        <v>41819</v>
      </c>
      <c r="V26" s="52" t="s">
        <v>1529</v>
      </c>
      <c r="W26" s="67" t="s">
        <v>1442</v>
      </c>
      <c r="X26" s="37"/>
      <c r="Y26" s="37"/>
      <c r="Z26" s="38"/>
      <c r="AA26" s="39"/>
      <c r="AB26" s="40"/>
      <c r="AC26" s="41"/>
      <c r="AD26" s="40"/>
      <c r="AE26" s="40"/>
      <c r="AF26" s="40"/>
      <c r="AG26" s="40"/>
      <c r="AH26" s="41"/>
      <c r="AI26" s="40"/>
      <c r="AJ26" s="42"/>
    </row>
    <row r="27" spans="1:36" s="5" customFormat="1" x14ac:dyDescent="0.2">
      <c r="A27" s="13"/>
      <c r="B27" s="354"/>
      <c r="C27" s="346"/>
      <c r="D27" s="346"/>
      <c r="E27" s="46" t="s">
        <v>1459</v>
      </c>
      <c r="F27" s="17">
        <v>2</v>
      </c>
      <c r="G27" s="61"/>
      <c r="H27" s="62"/>
      <c r="I27" s="62"/>
      <c r="J27" s="74"/>
      <c r="K27" s="61" t="s">
        <v>1588</v>
      </c>
      <c r="L27" s="61">
        <v>41829</v>
      </c>
      <c r="M27" s="17" t="s">
        <v>1587</v>
      </c>
      <c r="N27" s="61">
        <v>41830</v>
      </c>
      <c r="O27" s="65" t="s">
        <v>1822</v>
      </c>
      <c r="P27" s="26">
        <v>41893</v>
      </c>
      <c r="Q27" s="63" t="s">
        <v>1465</v>
      </c>
      <c r="R27" s="15" t="s">
        <v>1599</v>
      </c>
      <c r="S27" s="62">
        <v>41833</v>
      </c>
      <c r="T27" s="46" t="s">
        <v>1608</v>
      </c>
      <c r="U27" s="26">
        <v>41834</v>
      </c>
      <c r="V27" s="63" t="s">
        <v>1465</v>
      </c>
      <c r="W27" s="67" t="s">
        <v>1530</v>
      </c>
      <c r="X27" s="37"/>
      <c r="Y27" s="37"/>
      <c r="Z27" s="38"/>
      <c r="AA27" s="39"/>
      <c r="AB27" s="40"/>
      <c r="AC27" s="41"/>
      <c r="AD27" s="40"/>
      <c r="AE27" s="40"/>
      <c r="AF27" s="40"/>
      <c r="AG27" s="40"/>
      <c r="AH27" s="41"/>
      <c r="AI27" s="40"/>
      <c r="AJ27" s="42"/>
    </row>
    <row r="28" spans="1:36" s="5" customFormat="1" ht="21" x14ac:dyDescent="0.2">
      <c r="A28" s="13">
        <f>A26+1</f>
        <v>10</v>
      </c>
      <c r="B28" s="353" t="s">
        <v>33</v>
      </c>
      <c r="C28" s="345" t="s">
        <v>142</v>
      </c>
      <c r="D28" s="345" t="s">
        <v>260</v>
      </c>
      <c r="E28" s="46" t="s">
        <v>1432</v>
      </c>
      <c r="F28" s="17">
        <v>2</v>
      </c>
      <c r="G28" s="61">
        <v>41800</v>
      </c>
      <c r="H28" s="62"/>
      <c r="I28" s="62"/>
      <c r="J28" s="74"/>
      <c r="K28" s="62" t="s">
        <v>1478</v>
      </c>
      <c r="L28" s="61">
        <v>41798</v>
      </c>
      <c r="M28" s="17" t="s">
        <v>1479</v>
      </c>
      <c r="N28" s="18">
        <v>41800</v>
      </c>
      <c r="O28" s="65" t="s">
        <v>1574</v>
      </c>
      <c r="P28" s="26">
        <v>41822</v>
      </c>
      <c r="Q28" s="52">
        <v>2</v>
      </c>
      <c r="R28" s="15" t="s">
        <v>1531</v>
      </c>
      <c r="S28" s="62">
        <v>41801</v>
      </c>
      <c r="T28" s="46" t="s">
        <v>1556</v>
      </c>
      <c r="U28" s="26">
        <v>41819</v>
      </c>
      <c r="V28" s="52" t="s">
        <v>1529</v>
      </c>
      <c r="W28" s="67" t="s">
        <v>1442</v>
      </c>
      <c r="X28" s="37"/>
      <c r="Y28" s="37"/>
      <c r="Z28" s="38"/>
      <c r="AA28" s="39"/>
      <c r="AB28" s="40"/>
      <c r="AC28" s="41"/>
      <c r="AD28" s="40"/>
      <c r="AE28" s="40"/>
      <c r="AF28" s="40"/>
      <c r="AG28" s="40"/>
      <c r="AH28" s="41"/>
      <c r="AI28" s="40"/>
      <c r="AJ28" s="42"/>
    </row>
    <row r="29" spans="1:36" s="5" customFormat="1" x14ac:dyDescent="0.2">
      <c r="A29" s="13"/>
      <c r="B29" s="354"/>
      <c r="C29" s="346"/>
      <c r="D29" s="346"/>
      <c r="E29" s="46" t="s">
        <v>1459</v>
      </c>
      <c r="F29" s="17">
        <v>2</v>
      </c>
      <c r="G29" s="61"/>
      <c r="H29" s="62"/>
      <c r="I29" s="62"/>
      <c r="J29" s="74"/>
      <c r="K29" s="61" t="s">
        <v>1609</v>
      </c>
      <c r="L29" s="61">
        <v>41835</v>
      </c>
      <c r="M29" s="17" t="s">
        <v>1610</v>
      </c>
      <c r="N29" s="18">
        <v>41836</v>
      </c>
      <c r="O29" s="65" t="s">
        <v>1874</v>
      </c>
      <c r="P29" s="26">
        <v>41899</v>
      </c>
      <c r="Q29" s="63" t="s">
        <v>1465</v>
      </c>
      <c r="R29" s="15" t="s">
        <v>1626</v>
      </c>
      <c r="S29" s="62">
        <v>41840</v>
      </c>
      <c r="T29" s="46" t="s">
        <v>1641</v>
      </c>
      <c r="U29" s="26">
        <v>41842</v>
      </c>
      <c r="V29" s="63" t="s">
        <v>1465</v>
      </c>
      <c r="W29" s="67" t="s">
        <v>1442</v>
      </c>
      <c r="X29" s="37"/>
      <c r="Y29" s="37"/>
      <c r="Z29" s="38"/>
      <c r="AA29" s="39"/>
      <c r="AB29" s="40"/>
      <c r="AC29" s="41"/>
      <c r="AD29" s="40"/>
      <c r="AE29" s="40"/>
      <c r="AF29" s="40"/>
      <c r="AG29" s="40"/>
      <c r="AH29" s="41"/>
      <c r="AI29" s="40"/>
      <c r="AJ29" s="42"/>
    </row>
    <row r="30" spans="1:36" s="5" customFormat="1" x14ac:dyDescent="0.2">
      <c r="A30" s="13">
        <f>A28+1</f>
        <v>11</v>
      </c>
      <c r="B30" s="353" t="s">
        <v>34</v>
      </c>
      <c r="C30" s="345" t="s">
        <v>143</v>
      </c>
      <c r="D30" s="345" t="s">
        <v>261</v>
      </c>
      <c r="E30" s="46" t="s">
        <v>1432</v>
      </c>
      <c r="F30" s="17">
        <v>2</v>
      </c>
      <c r="G30" s="61">
        <v>41795</v>
      </c>
      <c r="H30" s="62"/>
      <c r="I30" s="62"/>
      <c r="J30" s="74"/>
      <c r="K30" s="61" t="s">
        <v>1601</v>
      </c>
      <c r="L30" s="61">
        <v>41833</v>
      </c>
      <c r="M30" s="17" t="s">
        <v>1602</v>
      </c>
      <c r="N30" s="18">
        <v>41834</v>
      </c>
      <c r="O30" s="65" t="s">
        <v>1676</v>
      </c>
      <c r="P30" s="26">
        <v>41856</v>
      </c>
      <c r="Q30" s="52">
        <v>2</v>
      </c>
      <c r="R30" s="15" t="s">
        <v>1617</v>
      </c>
      <c r="S30" s="62">
        <v>41836</v>
      </c>
      <c r="T30" s="46" t="s">
        <v>1650</v>
      </c>
      <c r="U30" s="26">
        <v>41844</v>
      </c>
      <c r="V30" s="63" t="s">
        <v>1465</v>
      </c>
      <c r="W30" s="106" t="s">
        <v>1442</v>
      </c>
      <c r="X30" s="37"/>
      <c r="Y30" s="37"/>
      <c r="Z30" s="38"/>
      <c r="AA30" s="39"/>
      <c r="AB30" s="40"/>
      <c r="AC30" s="41"/>
      <c r="AD30" s="40"/>
      <c r="AE30" s="40"/>
      <c r="AF30" s="40"/>
      <c r="AG30" s="40"/>
      <c r="AH30" s="41"/>
      <c r="AI30" s="40"/>
      <c r="AJ30" s="42"/>
    </row>
    <row r="31" spans="1:36" s="5" customFormat="1" x14ac:dyDescent="0.2">
      <c r="A31" s="13"/>
      <c r="B31" s="354"/>
      <c r="C31" s="346"/>
      <c r="D31" s="346"/>
      <c r="E31" s="46">
        <v>0</v>
      </c>
      <c r="F31" s="179" t="s">
        <v>1442</v>
      </c>
      <c r="G31" s="61"/>
      <c r="H31" s="62"/>
      <c r="I31" s="62"/>
      <c r="J31" s="74"/>
      <c r="K31" s="61" t="s">
        <v>1686</v>
      </c>
      <c r="L31" s="61">
        <v>41858</v>
      </c>
      <c r="M31" s="17" t="s">
        <v>1687</v>
      </c>
      <c r="N31" s="18">
        <v>41861</v>
      </c>
      <c r="O31" s="65" t="s">
        <v>1708</v>
      </c>
      <c r="P31" s="26">
        <v>41863</v>
      </c>
      <c r="Q31" s="63" t="s">
        <v>1465</v>
      </c>
      <c r="R31" s="15" t="s">
        <v>1697</v>
      </c>
      <c r="S31" s="62">
        <v>41862</v>
      </c>
      <c r="T31" s="46" t="s">
        <v>1713</v>
      </c>
      <c r="U31" s="26">
        <v>41865</v>
      </c>
      <c r="V31" s="63" t="s">
        <v>1465</v>
      </c>
      <c r="W31" s="106" t="s">
        <v>1442</v>
      </c>
      <c r="X31" s="37"/>
      <c r="Y31" s="37"/>
      <c r="Z31" s="38"/>
      <c r="AA31" s="39"/>
      <c r="AB31" s="40"/>
      <c r="AC31" s="41"/>
      <c r="AD31" s="40"/>
      <c r="AE31" s="40"/>
      <c r="AF31" s="40"/>
      <c r="AG31" s="40"/>
      <c r="AH31" s="41"/>
      <c r="AI31" s="40"/>
      <c r="AJ31" s="42"/>
    </row>
    <row r="32" spans="1:36" s="5" customFormat="1" x14ac:dyDescent="0.2">
      <c r="A32" s="13">
        <f>A30+1</f>
        <v>12</v>
      </c>
      <c r="B32" s="353" t="s">
        <v>35</v>
      </c>
      <c r="C32" s="345" t="s">
        <v>144</v>
      </c>
      <c r="D32" s="345" t="s">
        <v>262</v>
      </c>
      <c r="E32" s="46" t="s">
        <v>1432</v>
      </c>
      <c r="F32" s="17">
        <v>2</v>
      </c>
      <c r="G32" s="61">
        <v>41805</v>
      </c>
      <c r="H32" s="62"/>
      <c r="I32" s="62"/>
      <c r="J32" s="74"/>
      <c r="K32" s="61" t="s">
        <v>1647</v>
      </c>
      <c r="L32" s="16">
        <v>41844</v>
      </c>
      <c r="M32" s="17" t="s">
        <v>1648</v>
      </c>
      <c r="N32" s="18">
        <v>41847</v>
      </c>
      <c r="O32" s="65" t="s">
        <v>1677</v>
      </c>
      <c r="P32" s="26">
        <v>41856</v>
      </c>
      <c r="Q32" s="52">
        <v>2</v>
      </c>
      <c r="R32" s="15" t="s">
        <v>1657</v>
      </c>
      <c r="S32" s="62">
        <v>41851</v>
      </c>
      <c r="T32" s="8"/>
      <c r="U32" s="9"/>
      <c r="V32" s="48"/>
      <c r="W32" s="106" t="s">
        <v>1552</v>
      </c>
      <c r="X32" s="37"/>
      <c r="Y32" s="37"/>
      <c r="Z32" s="38"/>
      <c r="AA32" s="39"/>
      <c r="AB32" s="40"/>
      <c r="AC32" s="41"/>
      <c r="AD32" s="40"/>
      <c r="AE32" s="40"/>
      <c r="AF32" s="40"/>
      <c r="AG32" s="40"/>
      <c r="AH32" s="41"/>
      <c r="AI32" s="40"/>
      <c r="AJ32" s="42"/>
    </row>
    <row r="33" spans="1:36" s="5" customFormat="1" x14ac:dyDescent="0.2">
      <c r="A33" s="13"/>
      <c r="B33" s="354"/>
      <c r="C33" s="346"/>
      <c r="D33" s="346"/>
      <c r="E33" s="46">
        <v>0</v>
      </c>
      <c r="F33" s="179" t="s">
        <v>1442</v>
      </c>
      <c r="G33" s="61"/>
      <c r="H33" s="62"/>
      <c r="I33" s="62"/>
      <c r="J33" s="74"/>
      <c r="K33" s="61" t="s">
        <v>1699</v>
      </c>
      <c r="L33" s="61">
        <v>41862</v>
      </c>
      <c r="M33" s="17" t="s">
        <v>1700</v>
      </c>
      <c r="N33" s="18">
        <v>41863</v>
      </c>
      <c r="O33" s="65" t="s">
        <v>1714</v>
      </c>
      <c r="P33" s="26">
        <v>41865</v>
      </c>
      <c r="Q33" s="63" t="s">
        <v>1465</v>
      </c>
      <c r="R33" s="15" t="s">
        <v>1706</v>
      </c>
      <c r="S33" s="62">
        <v>41863</v>
      </c>
      <c r="T33" s="46" t="s">
        <v>1717</v>
      </c>
      <c r="U33" s="26">
        <v>41869</v>
      </c>
      <c r="V33" s="63" t="s">
        <v>1465</v>
      </c>
      <c r="W33" s="67" t="s">
        <v>1442</v>
      </c>
      <c r="X33" s="37"/>
      <c r="Y33" s="37"/>
      <c r="Z33" s="38"/>
      <c r="AA33" s="39"/>
      <c r="AB33" s="40"/>
      <c r="AC33" s="41"/>
      <c r="AD33" s="40"/>
      <c r="AE33" s="40"/>
      <c r="AF33" s="40"/>
      <c r="AG33" s="40"/>
      <c r="AH33" s="41"/>
      <c r="AI33" s="40"/>
      <c r="AJ33" s="42"/>
    </row>
    <row r="34" spans="1:36" s="5" customFormat="1" x14ac:dyDescent="0.2">
      <c r="A34" s="13">
        <f>A32+1</f>
        <v>13</v>
      </c>
      <c r="B34" s="353" t="s">
        <v>36</v>
      </c>
      <c r="C34" s="345" t="s">
        <v>145</v>
      </c>
      <c r="D34" s="345" t="s">
        <v>263</v>
      </c>
      <c r="E34" s="46" t="s">
        <v>1432</v>
      </c>
      <c r="F34" s="17">
        <v>2</v>
      </c>
      <c r="G34" s="61">
        <v>41805</v>
      </c>
      <c r="H34" s="62"/>
      <c r="I34" s="62"/>
      <c r="J34" s="74"/>
      <c r="K34" s="61" t="s">
        <v>1609</v>
      </c>
      <c r="L34" s="61">
        <v>41835</v>
      </c>
      <c r="M34" s="17" t="s">
        <v>1611</v>
      </c>
      <c r="N34" s="18">
        <v>41836</v>
      </c>
      <c r="O34" s="65" t="s">
        <v>1654</v>
      </c>
      <c r="P34" s="26">
        <v>41847</v>
      </c>
      <c r="Q34" s="52">
        <v>2</v>
      </c>
      <c r="R34" s="15" t="s">
        <v>1627</v>
      </c>
      <c r="S34" s="62">
        <v>41840</v>
      </c>
      <c r="T34" s="46" t="s">
        <v>1669</v>
      </c>
      <c r="U34" s="26">
        <v>41855</v>
      </c>
      <c r="V34" s="63" t="s">
        <v>1465</v>
      </c>
      <c r="W34" s="67" t="s">
        <v>1442</v>
      </c>
      <c r="X34" s="37"/>
      <c r="Y34" s="37"/>
      <c r="Z34" s="38"/>
      <c r="AA34" s="39"/>
      <c r="AB34" s="40"/>
      <c r="AC34" s="41"/>
      <c r="AD34" s="40"/>
      <c r="AE34" s="40"/>
      <c r="AF34" s="40"/>
      <c r="AG34" s="40"/>
      <c r="AH34" s="41"/>
      <c r="AI34" s="40"/>
      <c r="AJ34" s="42"/>
    </row>
    <row r="35" spans="1:36" s="5" customFormat="1" x14ac:dyDescent="0.2">
      <c r="A35" s="13"/>
      <c r="B35" s="354"/>
      <c r="C35" s="346"/>
      <c r="D35" s="346"/>
      <c r="E35" s="46">
        <v>0</v>
      </c>
      <c r="F35" s="179" t="s">
        <v>1442</v>
      </c>
      <c r="G35" s="61"/>
      <c r="H35" s="62"/>
      <c r="I35" s="62"/>
      <c r="J35" s="74"/>
      <c r="K35" s="61" t="s">
        <v>1661</v>
      </c>
      <c r="L35" s="61">
        <v>41851</v>
      </c>
      <c r="M35" s="17" t="s">
        <v>1662</v>
      </c>
      <c r="N35" s="18">
        <v>41857</v>
      </c>
      <c r="O35" s="65" t="s">
        <v>1692</v>
      </c>
      <c r="P35" s="26">
        <v>41858</v>
      </c>
      <c r="Q35" s="63" t="s">
        <v>1465</v>
      </c>
      <c r="R35" s="15" t="s">
        <v>1684</v>
      </c>
      <c r="S35" s="62">
        <v>41857</v>
      </c>
      <c r="T35" s="46" t="s">
        <v>1715</v>
      </c>
      <c r="U35" s="26">
        <v>41869</v>
      </c>
      <c r="V35" s="63" t="s">
        <v>1465</v>
      </c>
      <c r="W35" s="106" t="s">
        <v>1442</v>
      </c>
      <c r="X35" s="37"/>
      <c r="Y35" s="37"/>
      <c r="Z35" s="38"/>
      <c r="AA35" s="39"/>
      <c r="AB35" s="40"/>
      <c r="AC35" s="41"/>
      <c r="AD35" s="40"/>
      <c r="AE35" s="40"/>
      <c r="AF35" s="40"/>
      <c r="AG35" s="40"/>
      <c r="AH35" s="41"/>
      <c r="AI35" s="40"/>
      <c r="AJ35" s="42"/>
    </row>
    <row r="36" spans="1:36" s="5" customFormat="1" ht="21" x14ac:dyDescent="0.2">
      <c r="A36" s="13">
        <f>A34+1</f>
        <v>14</v>
      </c>
      <c r="B36" s="25" t="s">
        <v>37</v>
      </c>
      <c r="C36" s="15" t="s">
        <v>146</v>
      </c>
      <c r="D36" s="15" t="s">
        <v>264</v>
      </c>
      <c r="E36" s="46" t="s">
        <v>1432</v>
      </c>
      <c r="F36" s="17">
        <v>2</v>
      </c>
      <c r="G36" s="61">
        <v>41842</v>
      </c>
      <c r="H36" s="62"/>
      <c r="I36" s="62"/>
      <c r="J36" s="74"/>
      <c r="K36" s="61" t="s">
        <v>1674</v>
      </c>
      <c r="L36" s="16">
        <v>41856</v>
      </c>
      <c r="M36" s="17" t="s">
        <v>1675</v>
      </c>
      <c r="N36" s="18">
        <v>41858</v>
      </c>
      <c r="O36" s="65" t="s">
        <v>1705</v>
      </c>
      <c r="P36" s="26">
        <v>41863</v>
      </c>
      <c r="Q36" s="63" t="s">
        <v>1465</v>
      </c>
      <c r="R36" s="15" t="s">
        <v>1690</v>
      </c>
      <c r="S36" s="62">
        <v>41859</v>
      </c>
      <c r="T36" s="46" t="s">
        <v>1729</v>
      </c>
      <c r="U36" s="26">
        <v>41875</v>
      </c>
      <c r="V36" s="63" t="s">
        <v>1465</v>
      </c>
      <c r="W36" s="106" t="s">
        <v>1442</v>
      </c>
      <c r="X36" s="37"/>
      <c r="Y36" s="37"/>
      <c r="Z36" s="38"/>
      <c r="AA36" s="39"/>
      <c r="AB36" s="40"/>
      <c r="AC36" s="41"/>
      <c r="AD36" s="40"/>
      <c r="AE36" s="40"/>
      <c r="AF36" s="40"/>
      <c r="AG36" s="40"/>
      <c r="AH36" s="41"/>
      <c r="AI36" s="40"/>
      <c r="AJ36" s="42"/>
    </row>
    <row r="37" spans="1:36" s="5" customFormat="1" x14ac:dyDescent="0.2">
      <c r="A37" s="13">
        <f>A36+1</f>
        <v>15</v>
      </c>
      <c r="B37" s="353" t="s">
        <v>38</v>
      </c>
      <c r="C37" s="345" t="s">
        <v>147</v>
      </c>
      <c r="D37" s="345" t="s">
        <v>265</v>
      </c>
      <c r="E37" s="46" t="s">
        <v>1432</v>
      </c>
      <c r="F37" s="17">
        <v>2</v>
      </c>
      <c r="G37" s="61">
        <v>41834</v>
      </c>
      <c r="H37" s="62"/>
      <c r="I37" s="62"/>
      <c r="J37" s="74"/>
      <c r="K37" s="61" t="s">
        <v>1667</v>
      </c>
      <c r="L37" s="61">
        <v>41855</v>
      </c>
      <c r="M37" s="17" t="s">
        <v>1668</v>
      </c>
      <c r="N37" s="18">
        <v>41857</v>
      </c>
      <c r="O37" s="65" t="s">
        <v>1732</v>
      </c>
      <c r="P37" s="26">
        <v>41875</v>
      </c>
      <c r="Q37" s="52">
        <v>2</v>
      </c>
      <c r="R37" s="15" t="s">
        <v>1685</v>
      </c>
      <c r="S37" s="62">
        <v>41857</v>
      </c>
      <c r="T37" s="46" t="s">
        <v>1722</v>
      </c>
      <c r="U37" s="26">
        <v>41870</v>
      </c>
      <c r="V37" s="63" t="s">
        <v>1465</v>
      </c>
      <c r="W37" s="106" t="s">
        <v>1442</v>
      </c>
      <c r="X37" s="37"/>
      <c r="Y37" s="37"/>
      <c r="Z37" s="38"/>
      <c r="AA37" s="39"/>
      <c r="AB37" s="40"/>
      <c r="AC37" s="41"/>
      <c r="AD37" s="40"/>
      <c r="AE37" s="40"/>
      <c r="AF37" s="40"/>
      <c r="AG37" s="40"/>
      <c r="AH37" s="41"/>
      <c r="AI37" s="40"/>
      <c r="AJ37" s="42"/>
    </row>
    <row r="38" spans="1:36" s="5" customFormat="1" x14ac:dyDescent="0.2">
      <c r="A38" s="13"/>
      <c r="B38" s="354"/>
      <c r="C38" s="346"/>
      <c r="D38" s="346"/>
      <c r="E38" s="46">
        <v>0</v>
      </c>
      <c r="F38" s="17" t="s">
        <v>1442</v>
      </c>
      <c r="G38" s="61" t="s">
        <v>1442</v>
      </c>
      <c r="H38" s="62"/>
      <c r="I38" s="62"/>
      <c r="J38" s="74"/>
      <c r="K38" s="61" t="s">
        <v>1736</v>
      </c>
      <c r="L38" s="61">
        <v>41884</v>
      </c>
      <c r="M38" s="17" t="s">
        <v>1737</v>
      </c>
      <c r="N38" s="18">
        <v>41884</v>
      </c>
      <c r="O38" s="65" t="s">
        <v>1745</v>
      </c>
      <c r="P38" s="26">
        <v>41886</v>
      </c>
      <c r="Q38" s="63" t="s">
        <v>1465</v>
      </c>
      <c r="R38" s="15" t="s">
        <v>1742</v>
      </c>
      <c r="S38" s="62">
        <v>41886</v>
      </c>
      <c r="T38" s="46" t="s">
        <v>1744</v>
      </c>
      <c r="U38" s="26">
        <v>41886</v>
      </c>
      <c r="V38" s="63" t="s">
        <v>1465</v>
      </c>
      <c r="W38" s="106" t="s">
        <v>1442</v>
      </c>
      <c r="X38" s="37"/>
      <c r="Y38" s="37"/>
      <c r="Z38" s="38"/>
      <c r="AA38" s="39"/>
      <c r="AB38" s="40"/>
      <c r="AC38" s="41"/>
      <c r="AD38" s="40"/>
      <c r="AE38" s="40"/>
      <c r="AF38" s="40"/>
      <c r="AG38" s="40"/>
      <c r="AH38" s="41"/>
      <c r="AI38" s="40"/>
      <c r="AJ38" s="42"/>
    </row>
    <row r="39" spans="1:36" s="5" customFormat="1" ht="24.75" customHeight="1" x14ac:dyDescent="0.2">
      <c r="A39" s="13">
        <f>A37+1</f>
        <v>16</v>
      </c>
      <c r="B39" s="356" t="s">
        <v>39</v>
      </c>
      <c r="C39" s="345" t="s">
        <v>148</v>
      </c>
      <c r="D39" s="345" t="s">
        <v>266</v>
      </c>
      <c r="E39" s="46" t="s">
        <v>1432</v>
      </c>
      <c r="F39" s="17">
        <v>2</v>
      </c>
      <c r="G39" s="18">
        <v>42172</v>
      </c>
      <c r="H39" s="175"/>
      <c r="I39" s="225">
        <v>42094</v>
      </c>
      <c r="J39" s="74">
        <v>10</v>
      </c>
      <c r="K39" s="61" t="s">
        <v>2383</v>
      </c>
      <c r="L39" s="16">
        <v>42162</v>
      </c>
      <c r="M39" s="17" t="s">
        <v>2384</v>
      </c>
      <c r="N39" s="18">
        <v>42164</v>
      </c>
      <c r="O39" s="46" t="s">
        <v>2430</v>
      </c>
      <c r="P39" s="26">
        <v>42173</v>
      </c>
      <c r="Q39" s="52">
        <v>2</v>
      </c>
      <c r="R39" s="224" t="s">
        <v>2396</v>
      </c>
      <c r="S39" s="62">
        <v>42165</v>
      </c>
      <c r="T39" s="46" t="s">
        <v>2426</v>
      </c>
      <c r="U39" s="26">
        <v>42176</v>
      </c>
      <c r="V39" s="52" t="s">
        <v>1369</v>
      </c>
      <c r="W39" s="67" t="s">
        <v>1442</v>
      </c>
      <c r="X39" s="37"/>
      <c r="Y39" s="37"/>
      <c r="Z39" s="38"/>
      <c r="AA39" s="39"/>
      <c r="AB39" s="40"/>
      <c r="AC39" s="41"/>
      <c r="AD39" s="40"/>
      <c r="AE39" s="40"/>
      <c r="AF39" s="40"/>
      <c r="AG39" s="40"/>
      <c r="AH39" s="41"/>
      <c r="AI39" s="40"/>
      <c r="AJ39" s="42"/>
    </row>
    <row r="40" spans="1:36" s="5" customFormat="1" ht="24.95" customHeight="1" x14ac:dyDescent="0.2">
      <c r="A40" s="13"/>
      <c r="B40" s="358"/>
      <c r="C40" s="346"/>
      <c r="D40" s="346"/>
      <c r="E40" s="46">
        <v>0</v>
      </c>
      <c r="F40" s="17" t="s">
        <v>1442</v>
      </c>
      <c r="G40" s="18" t="s">
        <v>1442</v>
      </c>
      <c r="H40" s="175"/>
      <c r="I40" s="225"/>
      <c r="J40" s="74" t="s">
        <v>1442</v>
      </c>
      <c r="K40" s="61" t="s">
        <v>2524</v>
      </c>
      <c r="L40" s="61">
        <v>42200</v>
      </c>
      <c r="M40" s="17" t="s">
        <v>2525</v>
      </c>
      <c r="N40" s="18">
        <v>42200</v>
      </c>
      <c r="O40" s="46" t="s">
        <v>2550</v>
      </c>
      <c r="P40" s="26">
        <v>42208</v>
      </c>
      <c r="Q40" s="52">
        <v>1</v>
      </c>
      <c r="R40" s="131" t="s">
        <v>2529</v>
      </c>
      <c r="S40" s="104">
        <v>42204</v>
      </c>
      <c r="T40" s="290" t="s">
        <v>3084</v>
      </c>
      <c r="U40" s="26">
        <v>42332</v>
      </c>
      <c r="V40" s="52" t="s">
        <v>1369</v>
      </c>
      <c r="W40" s="67" t="s">
        <v>1442</v>
      </c>
      <c r="X40" s="37"/>
      <c r="Y40" s="37"/>
      <c r="Z40" s="38"/>
      <c r="AA40" s="39"/>
      <c r="AB40" s="40"/>
      <c r="AC40" s="41"/>
      <c r="AD40" s="40"/>
      <c r="AE40" s="40"/>
      <c r="AF40" s="40"/>
      <c r="AG40" s="40"/>
      <c r="AH40" s="41"/>
      <c r="AI40" s="40"/>
      <c r="AJ40" s="42"/>
    </row>
    <row r="41" spans="1:36" s="5" customFormat="1" ht="24.95" customHeight="1" x14ac:dyDescent="0.2">
      <c r="A41" s="13">
        <f>A39+1</f>
        <v>17</v>
      </c>
      <c r="B41" s="356" t="s">
        <v>40</v>
      </c>
      <c r="C41" s="345" t="s">
        <v>149</v>
      </c>
      <c r="D41" s="345" t="s">
        <v>267</v>
      </c>
      <c r="E41" s="46" t="s">
        <v>1432</v>
      </c>
      <c r="F41" s="17">
        <v>2</v>
      </c>
      <c r="G41" s="18">
        <v>42115</v>
      </c>
      <c r="H41" s="175"/>
      <c r="I41" s="18">
        <v>42115</v>
      </c>
      <c r="J41" s="74">
        <v>15</v>
      </c>
      <c r="K41" s="61" t="s">
        <v>2275</v>
      </c>
      <c r="L41" s="16">
        <v>42101</v>
      </c>
      <c r="M41" s="17" t="s">
        <v>2276</v>
      </c>
      <c r="N41" s="18">
        <v>42103</v>
      </c>
      <c r="O41" s="46" t="s">
        <v>2335</v>
      </c>
      <c r="P41" s="26">
        <v>42117</v>
      </c>
      <c r="Q41" s="52">
        <v>3</v>
      </c>
      <c r="R41" s="17" t="s">
        <v>2280</v>
      </c>
      <c r="S41" s="62">
        <v>42107</v>
      </c>
      <c r="T41" s="46" t="s">
        <v>2331</v>
      </c>
      <c r="U41" s="26">
        <v>42113</v>
      </c>
      <c r="V41" s="52" t="s">
        <v>1369</v>
      </c>
      <c r="W41" s="67" t="s">
        <v>1442</v>
      </c>
      <c r="X41" s="37"/>
      <c r="Y41" s="37"/>
      <c r="Z41" s="38"/>
      <c r="AA41" s="39"/>
      <c r="AB41" s="40"/>
      <c r="AC41" s="41"/>
      <c r="AD41" s="40"/>
      <c r="AE41" s="40"/>
      <c r="AF41" s="40"/>
      <c r="AG41" s="40"/>
      <c r="AH41" s="41"/>
      <c r="AI41" s="40"/>
      <c r="AJ41" s="42"/>
    </row>
    <row r="42" spans="1:36" s="5" customFormat="1" ht="24.95" customHeight="1" x14ac:dyDescent="0.2">
      <c r="A42" s="13"/>
      <c r="B42" s="358"/>
      <c r="C42" s="346"/>
      <c r="D42" s="346"/>
      <c r="E42" s="46">
        <v>0</v>
      </c>
      <c r="F42" s="17" t="s">
        <v>1442</v>
      </c>
      <c r="G42" s="18" t="s">
        <v>1442</v>
      </c>
      <c r="H42" s="175" t="s">
        <v>1442</v>
      </c>
      <c r="I42" s="175"/>
      <c r="J42" s="74" t="s">
        <v>1442</v>
      </c>
      <c r="K42" s="61" t="s">
        <v>2369</v>
      </c>
      <c r="L42" s="61">
        <v>42148</v>
      </c>
      <c r="M42" s="17" t="s">
        <v>2368</v>
      </c>
      <c r="N42" s="18">
        <v>42149</v>
      </c>
      <c r="O42" s="46" t="s">
        <v>2378</v>
      </c>
      <c r="P42" s="26">
        <v>42152</v>
      </c>
      <c r="Q42" s="52">
        <v>1</v>
      </c>
      <c r="R42" s="17" t="s">
        <v>2373</v>
      </c>
      <c r="S42" s="62">
        <v>42150</v>
      </c>
      <c r="T42" s="46" t="s">
        <v>2412</v>
      </c>
      <c r="U42" s="26">
        <v>42171</v>
      </c>
      <c r="V42" s="52" t="s">
        <v>1369</v>
      </c>
      <c r="W42" s="67" t="s">
        <v>1442</v>
      </c>
      <c r="X42" s="37"/>
      <c r="Y42" s="37"/>
      <c r="Z42" s="38"/>
      <c r="AA42" s="39"/>
      <c r="AB42" s="40"/>
      <c r="AC42" s="41"/>
      <c r="AD42" s="40"/>
      <c r="AE42" s="40"/>
      <c r="AF42" s="40"/>
      <c r="AG42" s="40"/>
      <c r="AH42" s="41"/>
      <c r="AI42" s="40"/>
      <c r="AJ42" s="42"/>
    </row>
    <row r="43" spans="1:36" s="5" customFormat="1" ht="24.95" customHeight="1" x14ac:dyDescent="0.2">
      <c r="A43" s="13">
        <f>A41+1</f>
        <v>18</v>
      </c>
      <c r="B43" s="356" t="s">
        <v>41</v>
      </c>
      <c r="C43" s="345" t="s">
        <v>150</v>
      </c>
      <c r="D43" s="345" t="s">
        <v>268</v>
      </c>
      <c r="E43" s="46" t="s">
        <v>1432</v>
      </c>
      <c r="F43" s="17">
        <v>2</v>
      </c>
      <c r="G43" s="18">
        <v>42160</v>
      </c>
      <c r="H43" s="175"/>
      <c r="I43" s="225">
        <v>42136</v>
      </c>
      <c r="J43" s="74">
        <v>-24</v>
      </c>
      <c r="K43" s="61" t="s">
        <v>2452</v>
      </c>
      <c r="L43" s="16">
        <v>42185</v>
      </c>
      <c r="M43" s="17" t="s">
        <v>2453</v>
      </c>
      <c r="N43" s="18">
        <v>42186</v>
      </c>
      <c r="O43" s="46" t="s">
        <v>2488</v>
      </c>
      <c r="P43" s="26">
        <v>42191</v>
      </c>
      <c r="Q43" s="52">
        <v>2</v>
      </c>
      <c r="R43" s="17" t="s">
        <v>2471</v>
      </c>
      <c r="S43" s="62">
        <v>42187</v>
      </c>
      <c r="T43" s="46" t="s">
        <v>2483</v>
      </c>
      <c r="U43" s="26">
        <v>42192</v>
      </c>
      <c r="V43" s="52" t="s">
        <v>1369</v>
      </c>
      <c r="W43" s="67" t="s">
        <v>1442</v>
      </c>
      <c r="X43" s="37"/>
      <c r="Y43" s="37"/>
      <c r="Z43" s="38"/>
      <c r="AA43" s="39"/>
      <c r="AB43" s="40"/>
      <c r="AC43" s="41"/>
      <c r="AD43" s="40"/>
      <c r="AE43" s="40"/>
      <c r="AF43" s="40"/>
      <c r="AG43" s="40"/>
      <c r="AH43" s="41"/>
      <c r="AI43" s="40"/>
      <c r="AJ43" s="42"/>
    </row>
    <row r="44" spans="1:36" s="5" customFormat="1" ht="24.95" customHeight="1" x14ac:dyDescent="0.2">
      <c r="A44" s="13"/>
      <c r="B44" s="358"/>
      <c r="C44" s="346"/>
      <c r="D44" s="346"/>
      <c r="E44" s="46">
        <v>0</v>
      </c>
      <c r="F44" s="17" t="s">
        <v>1442</v>
      </c>
      <c r="G44" s="18" t="s">
        <v>1442</v>
      </c>
      <c r="H44" s="175"/>
      <c r="I44" s="225"/>
      <c r="J44" s="74" t="s">
        <v>1442</v>
      </c>
      <c r="K44" s="61" t="s">
        <v>2498</v>
      </c>
      <c r="L44" s="61">
        <v>42194</v>
      </c>
      <c r="M44" s="17" t="s">
        <v>2499</v>
      </c>
      <c r="N44" s="18">
        <v>42197</v>
      </c>
      <c r="O44" s="46" t="s">
        <v>2530</v>
      </c>
      <c r="P44" s="26">
        <v>42200</v>
      </c>
      <c r="Q44" s="52">
        <v>1</v>
      </c>
      <c r="R44" s="17" t="s">
        <v>2520</v>
      </c>
      <c r="S44" s="163">
        <v>42199</v>
      </c>
      <c r="T44" s="290" t="s">
        <v>3083</v>
      </c>
      <c r="U44" s="26">
        <v>42332</v>
      </c>
      <c r="V44" s="52" t="s">
        <v>1369</v>
      </c>
      <c r="W44" s="67" t="s">
        <v>1442</v>
      </c>
      <c r="X44" s="37"/>
      <c r="Y44" s="37"/>
      <c r="Z44" s="38"/>
      <c r="AA44" s="39"/>
      <c r="AB44" s="40"/>
      <c r="AC44" s="41"/>
      <c r="AD44" s="40"/>
      <c r="AE44" s="40"/>
      <c r="AF44" s="40"/>
      <c r="AG44" s="40"/>
      <c r="AH44" s="41"/>
      <c r="AI44" s="40"/>
      <c r="AJ44" s="42"/>
    </row>
    <row r="45" spans="1:36" s="5" customFormat="1" ht="24.95" customHeight="1" x14ac:dyDescent="0.2">
      <c r="A45" s="13">
        <f>A43+1</f>
        <v>19</v>
      </c>
      <c r="B45" s="356" t="s">
        <v>42</v>
      </c>
      <c r="C45" s="345" t="s">
        <v>151</v>
      </c>
      <c r="D45" s="345" t="s">
        <v>269</v>
      </c>
      <c r="E45" s="46" t="s">
        <v>1432</v>
      </c>
      <c r="F45" s="17">
        <v>2</v>
      </c>
      <c r="G45" s="18">
        <v>42164</v>
      </c>
      <c r="H45" s="175"/>
      <c r="I45" s="225">
        <v>42150</v>
      </c>
      <c r="J45" s="74">
        <v>-22</v>
      </c>
      <c r="K45" s="61" t="s">
        <v>2467</v>
      </c>
      <c r="L45" s="16">
        <v>42186</v>
      </c>
      <c r="M45" s="17" t="s">
        <v>2468</v>
      </c>
      <c r="N45" s="18">
        <v>42190</v>
      </c>
      <c r="O45" s="46" t="s">
        <v>2511</v>
      </c>
      <c r="P45" s="242">
        <v>42197</v>
      </c>
      <c r="Q45" s="243">
        <v>2</v>
      </c>
      <c r="R45" s="17" t="s">
        <v>2482</v>
      </c>
      <c r="S45" s="62">
        <v>42192</v>
      </c>
      <c r="T45" s="46" t="s">
        <v>2505</v>
      </c>
      <c r="U45" s="26">
        <v>42197</v>
      </c>
      <c r="V45" s="52" t="s">
        <v>1369</v>
      </c>
      <c r="W45" s="67" t="s">
        <v>1442</v>
      </c>
      <c r="X45" s="37"/>
      <c r="Y45" s="37"/>
      <c r="Z45" s="38"/>
      <c r="AA45" s="39"/>
      <c r="AB45" s="40"/>
      <c r="AC45" s="41"/>
      <c r="AD45" s="40"/>
      <c r="AE45" s="40"/>
      <c r="AF45" s="40"/>
      <c r="AG45" s="40"/>
      <c r="AH45" s="41"/>
      <c r="AI45" s="40"/>
      <c r="AJ45" s="42"/>
    </row>
    <row r="46" spans="1:36" s="5" customFormat="1" ht="24.95" customHeight="1" x14ac:dyDescent="0.2">
      <c r="A46" s="13"/>
      <c r="B46" s="358"/>
      <c r="C46" s="346"/>
      <c r="D46" s="346"/>
      <c r="E46" s="46">
        <v>0</v>
      </c>
      <c r="F46" s="17" t="s">
        <v>1442</v>
      </c>
      <c r="G46" s="18" t="s">
        <v>1442</v>
      </c>
      <c r="H46" s="175"/>
      <c r="I46" s="225"/>
      <c r="J46" s="74" t="s">
        <v>1442</v>
      </c>
      <c r="K46" s="61" t="s">
        <v>2526</v>
      </c>
      <c r="L46" s="61">
        <v>42200</v>
      </c>
      <c r="M46" s="17" t="s">
        <v>2527</v>
      </c>
      <c r="N46" s="18">
        <v>42200</v>
      </c>
      <c r="O46" s="46" t="s">
        <v>2542</v>
      </c>
      <c r="P46" s="26">
        <v>42207</v>
      </c>
      <c r="Q46" s="52">
        <v>1</v>
      </c>
      <c r="R46" s="131" t="s">
        <v>2529</v>
      </c>
      <c r="S46" s="104">
        <v>42204</v>
      </c>
      <c r="T46" s="290" t="s">
        <v>3082</v>
      </c>
      <c r="U46" s="26">
        <v>42332</v>
      </c>
      <c r="V46" s="52" t="s">
        <v>1369</v>
      </c>
      <c r="W46" s="67" t="s">
        <v>1442</v>
      </c>
      <c r="X46" s="37"/>
      <c r="Y46" s="37"/>
      <c r="Z46" s="38"/>
      <c r="AA46" s="39"/>
      <c r="AB46" s="40"/>
      <c r="AC46" s="41"/>
      <c r="AD46" s="40"/>
      <c r="AE46" s="40"/>
      <c r="AF46" s="40"/>
      <c r="AG46" s="40"/>
      <c r="AH46" s="41"/>
      <c r="AI46" s="40"/>
      <c r="AJ46" s="42"/>
    </row>
    <row r="47" spans="1:36" s="5" customFormat="1" ht="24.95" customHeight="1" x14ac:dyDescent="0.2">
      <c r="A47" s="13">
        <f>A45+1</f>
        <v>20</v>
      </c>
      <c r="B47" s="356" t="s">
        <v>43</v>
      </c>
      <c r="C47" s="345" t="s">
        <v>152</v>
      </c>
      <c r="D47" s="345" t="s">
        <v>270</v>
      </c>
      <c r="E47" s="46" t="s">
        <v>1432</v>
      </c>
      <c r="F47" s="17">
        <v>2</v>
      </c>
      <c r="G47" s="18">
        <v>42168</v>
      </c>
      <c r="H47" s="175"/>
      <c r="I47" s="225">
        <v>42143</v>
      </c>
      <c r="J47" s="74">
        <v>-16</v>
      </c>
      <c r="K47" s="61" t="s">
        <v>2450</v>
      </c>
      <c r="L47" s="16">
        <v>42184</v>
      </c>
      <c r="M47" s="17" t="s">
        <v>2451</v>
      </c>
      <c r="N47" s="18">
        <v>42185</v>
      </c>
      <c r="O47" s="46" t="s">
        <v>2478</v>
      </c>
      <c r="P47" s="26">
        <v>42187</v>
      </c>
      <c r="Q47" s="52">
        <v>2</v>
      </c>
      <c r="R47" s="17" t="s">
        <v>2463</v>
      </c>
      <c r="S47" s="62">
        <v>42186</v>
      </c>
      <c r="T47" s="46" t="s">
        <v>2490</v>
      </c>
      <c r="U47" s="26">
        <v>42192</v>
      </c>
      <c r="V47" s="52" t="s">
        <v>1369</v>
      </c>
      <c r="W47" s="67" t="s">
        <v>1442</v>
      </c>
      <c r="X47" s="37"/>
      <c r="Y47" s="37"/>
      <c r="Z47" s="38"/>
      <c r="AA47" s="39"/>
      <c r="AB47" s="40"/>
      <c r="AC47" s="41"/>
      <c r="AD47" s="40"/>
      <c r="AE47" s="40"/>
      <c r="AF47" s="40"/>
      <c r="AG47" s="40"/>
      <c r="AH47" s="41"/>
      <c r="AI47" s="40"/>
      <c r="AJ47" s="42"/>
    </row>
    <row r="48" spans="1:36" s="5" customFormat="1" ht="24.95" customHeight="1" x14ac:dyDescent="0.2">
      <c r="A48" s="13"/>
      <c r="B48" s="358"/>
      <c r="C48" s="346"/>
      <c r="D48" s="346"/>
      <c r="E48" s="46">
        <v>0</v>
      </c>
      <c r="F48" s="17" t="s">
        <v>1442</v>
      </c>
      <c r="G48" s="18" t="s">
        <v>1442</v>
      </c>
      <c r="H48" s="175"/>
      <c r="I48" s="225"/>
      <c r="J48" s="74" t="s">
        <v>1442</v>
      </c>
      <c r="K48" s="61" t="s">
        <v>2484</v>
      </c>
      <c r="L48" s="61">
        <v>42192</v>
      </c>
      <c r="M48" s="17" t="s">
        <v>2485</v>
      </c>
      <c r="N48" s="18">
        <v>42193</v>
      </c>
      <c r="O48" s="46" t="s">
        <v>2513</v>
      </c>
      <c r="P48" s="242">
        <v>42197</v>
      </c>
      <c r="Q48" s="52">
        <v>1</v>
      </c>
      <c r="R48" s="17" t="s">
        <v>2507</v>
      </c>
      <c r="S48" s="62">
        <v>42197</v>
      </c>
      <c r="T48" s="290" t="s">
        <v>3087</v>
      </c>
      <c r="U48" s="26">
        <v>42332</v>
      </c>
      <c r="V48" s="52" t="s">
        <v>1369</v>
      </c>
      <c r="W48" s="67" t="s">
        <v>1442</v>
      </c>
      <c r="X48" s="37"/>
      <c r="Y48" s="37"/>
      <c r="Z48" s="38"/>
      <c r="AA48" s="39"/>
      <c r="AB48" s="40"/>
      <c r="AC48" s="41"/>
      <c r="AD48" s="40"/>
      <c r="AE48" s="40"/>
      <c r="AF48" s="40"/>
      <c r="AG48" s="40"/>
      <c r="AH48" s="41"/>
      <c r="AI48" s="40"/>
      <c r="AJ48" s="42"/>
    </row>
    <row r="49" spans="1:36" s="5" customFormat="1" ht="24.95" customHeight="1" x14ac:dyDescent="0.2">
      <c r="A49" s="13">
        <f>A47+1</f>
        <v>21</v>
      </c>
      <c r="B49" s="356" t="s">
        <v>44</v>
      </c>
      <c r="C49" s="345" t="s">
        <v>153</v>
      </c>
      <c r="D49" s="345" t="s">
        <v>271</v>
      </c>
      <c r="E49" s="46" t="s">
        <v>1432</v>
      </c>
      <c r="F49" s="17">
        <v>2</v>
      </c>
      <c r="G49" s="18">
        <v>42156</v>
      </c>
      <c r="H49" s="175"/>
      <c r="I49" s="225">
        <v>42122</v>
      </c>
      <c r="J49" s="74">
        <v>-15</v>
      </c>
      <c r="K49" s="61" t="s">
        <v>2409</v>
      </c>
      <c r="L49" s="16">
        <v>42171</v>
      </c>
      <c r="M49" s="17" t="s">
        <v>2410</v>
      </c>
      <c r="N49" s="18">
        <v>42172</v>
      </c>
      <c r="O49" s="46" t="s">
        <v>2445</v>
      </c>
      <c r="P49" s="26">
        <v>42178</v>
      </c>
      <c r="Q49" s="52">
        <v>2</v>
      </c>
      <c r="R49" s="17" t="s">
        <v>2420</v>
      </c>
      <c r="S49" s="62">
        <v>42173</v>
      </c>
      <c r="T49" s="8" t="s">
        <v>1442</v>
      </c>
      <c r="U49" s="26" t="s">
        <v>1442</v>
      </c>
      <c r="V49" s="52" t="s">
        <v>1442</v>
      </c>
      <c r="W49" s="67" t="s">
        <v>3060</v>
      </c>
      <c r="X49" s="37"/>
      <c r="Y49" s="37"/>
      <c r="Z49" s="38"/>
      <c r="AA49" s="39"/>
      <c r="AB49" s="40"/>
      <c r="AC49" s="41"/>
      <c r="AD49" s="40"/>
      <c r="AE49" s="40"/>
      <c r="AF49" s="40"/>
      <c r="AG49" s="40"/>
      <c r="AH49" s="41"/>
      <c r="AI49" s="40"/>
      <c r="AJ49" s="42"/>
    </row>
    <row r="50" spans="1:36" s="5" customFormat="1" ht="24.95" customHeight="1" x14ac:dyDescent="0.2">
      <c r="A50" s="13"/>
      <c r="B50" s="358"/>
      <c r="C50" s="346"/>
      <c r="D50" s="346"/>
      <c r="E50" s="46">
        <v>0</v>
      </c>
      <c r="F50" s="17" t="s">
        <v>1442</v>
      </c>
      <c r="G50" s="18" t="s">
        <v>1442</v>
      </c>
      <c r="H50" s="175"/>
      <c r="I50" s="225"/>
      <c r="J50" s="74" t="s">
        <v>1442</v>
      </c>
      <c r="K50" s="61" t="s">
        <v>2456</v>
      </c>
      <c r="L50" s="61">
        <v>42185</v>
      </c>
      <c r="M50" s="17" t="s">
        <v>2457</v>
      </c>
      <c r="N50" s="18">
        <v>42186</v>
      </c>
      <c r="O50" s="46" t="s">
        <v>2480</v>
      </c>
      <c r="P50" s="26">
        <v>42190</v>
      </c>
      <c r="Q50" s="52">
        <v>1</v>
      </c>
      <c r="R50" s="17" t="s">
        <v>2472</v>
      </c>
      <c r="S50" s="62">
        <v>42187</v>
      </c>
      <c r="T50" s="46" t="s">
        <v>2487</v>
      </c>
      <c r="U50" s="26">
        <v>42192</v>
      </c>
      <c r="V50" s="52" t="s">
        <v>1369</v>
      </c>
      <c r="W50" s="67" t="s">
        <v>1442</v>
      </c>
      <c r="X50" s="37"/>
      <c r="Y50" s="37"/>
      <c r="Z50" s="38"/>
      <c r="AA50" s="39"/>
      <c r="AB50" s="40"/>
      <c r="AC50" s="41"/>
      <c r="AD50" s="40"/>
      <c r="AE50" s="40"/>
      <c r="AF50" s="40"/>
      <c r="AG50" s="40"/>
      <c r="AH50" s="41"/>
      <c r="AI50" s="40"/>
      <c r="AJ50" s="42"/>
    </row>
    <row r="51" spans="1:36" s="5" customFormat="1" ht="24.95" customHeight="1" x14ac:dyDescent="0.2">
      <c r="A51" s="13">
        <f>A49+1</f>
        <v>22</v>
      </c>
      <c r="B51" s="24" t="s">
        <v>45</v>
      </c>
      <c r="C51" s="15" t="s">
        <v>154</v>
      </c>
      <c r="D51" s="15" t="s">
        <v>272</v>
      </c>
      <c r="E51" s="46" t="s">
        <v>1432</v>
      </c>
      <c r="F51" s="17">
        <v>2</v>
      </c>
      <c r="G51" s="18">
        <v>42156</v>
      </c>
      <c r="H51" s="175"/>
      <c r="I51" s="225">
        <v>42129</v>
      </c>
      <c r="J51" s="74">
        <v>-21</v>
      </c>
      <c r="K51" s="61" t="s">
        <v>2433</v>
      </c>
      <c r="L51" s="16">
        <v>42177</v>
      </c>
      <c r="M51" s="17" t="s">
        <v>2434</v>
      </c>
      <c r="N51" s="18">
        <v>42179</v>
      </c>
      <c r="O51" s="46" t="s">
        <v>2454</v>
      </c>
      <c r="P51" s="26">
        <v>42183</v>
      </c>
      <c r="Q51" s="52">
        <v>1</v>
      </c>
      <c r="R51" s="17" t="s">
        <v>2438</v>
      </c>
      <c r="S51" s="62">
        <v>42180</v>
      </c>
      <c r="T51" s="46" t="s">
        <v>2486</v>
      </c>
      <c r="U51" s="26">
        <v>42192</v>
      </c>
      <c r="V51" s="52" t="s">
        <v>1369</v>
      </c>
      <c r="W51" s="67" t="s">
        <v>1442</v>
      </c>
      <c r="X51" s="37"/>
      <c r="Y51" s="37"/>
      <c r="Z51" s="38"/>
      <c r="AA51" s="39"/>
      <c r="AB51" s="40"/>
      <c r="AC51" s="41"/>
      <c r="AD51" s="40"/>
      <c r="AE51" s="40"/>
      <c r="AF51" s="40"/>
      <c r="AG51" s="40"/>
      <c r="AH51" s="41"/>
      <c r="AI51" s="40"/>
      <c r="AJ51" s="42"/>
    </row>
    <row r="52" spans="1:36" s="5" customFormat="1" ht="24.95" customHeight="1" x14ac:dyDescent="0.2">
      <c r="A52" s="13">
        <f>A51+1</f>
        <v>23</v>
      </c>
      <c r="B52" s="356" t="s">
        <v>46</v>
      </c>
      <c r="C52" s="345" t="s">
        <v>155</v>
      </c>
      <c r="D52" s="345" t="s">
        <v>273</v>
      </c>
      <c r="E52" s="46" t="s">
        <v>1432</v>
      </c>
      <c r="F52" s="17">
        <v>2</v>
      </c>
      <c r="G52" s="18">
        <v>42176</v>
      </c>
      <c r="H52" s="175"/>
      <c r="I52" s="225">
        <v>42108</v>
      </c>
      <c r="J52" s="74">
        <v>-11</v>
      </c>
      <c r="K52" s="61" t="s">
        <v>2469</v>
      </c>
      <c r="L52" s="61">
        <v>42187</v>
      </c>
      <c r="M52" s="17" t="s">
        <v>2470</v>
      </c>
      <c r="N52" s="18">
        <v>42190</v>
      </c>
      <c r="O52" s="46" t="s">
        <v>2512</v>
      </c>
      <c r="P52" s="242">
        <v>42197</v>
      </c>
      <c r="Q52" s="243">
        <v>2</v>
      </c>
      <c r="R52" s="17" t="s">
        <v>2481</v>
      </c>
      <c r="S52" s="62">
        <v>42192</v>
      </c>
      <c r="T52" s="46" t="s">
        <v>2502</v>
      </c>
      <c r="U52" s="26">
        <v>42197</v>
      </c>
      <c r="V52" s="52" t="s">
        <v>1432</v>
      </c>
      <c r="W52" s="67" t="s">
        <v>1442</v>
      </c>
      <c r="X52" s="37"/>
      <c r="Y52" s="37"/>
      <c r="Z52" s="38"/>
      <c r="AA52" s="39"/>
      <c r="AB52" s="40"/>
      <c r="AC52" s="41"/>
      <c r="AD52" s="40"/>
      <c r="AE52" s="40"/>
      <c r="AF52" s="40"/>
      <c r="AG52" s="40"/>
      <c r="AH52" s="41"/>
      <c r="AI52" s="40"/>
      <c r="AJ52" s="42"/>
    </row>
    <row r="53" spans="1:36" s="5" customFormat="1" ht="24.95" customHeight="1" x14ac:dyDescent="0.2">
      <c r="A53" s="13"/>
      <c r="B53" s="358"/>
      <c r="C53" s="346"/>
      <c r="D53" s="346"/>
      <c r="E53" s="46">
        <v>0</v>
      </c>
      <c r="F53" s="17" t="s">
        <v>1442</v>
      </c>
      <c r="G53" s="18" t="s">
        <v>1442</v>
      </c>
      <c r="H53" s="175"/>
      <c r="I53" s="225"/>
      <c r="J53" s="74" t="s">
        <v>1442</v>
      </c>
      <c r="K53" s="61" t="s">
        <v>2552</v>
      </c>
      <c r="L53" s="61">
        <v>42211</v>
      </c>
      <c r="M53" s="17" t="s">
        <v>2553</v>
      </c>
      <c r="N53" s="61">
        <v>42211</v>
      </c>
      <c r="O53" s="46" t="s">
        <v>2564</v>
      </c>
      <c r="P53" s="242">
        <v>42214</v>
      </c>
      <c r="Q53" s="52">
        <v>1</v>
      </c>
      <c r="R53" s="17" t="s">
        <v>2554</v>
      </c>
      <c r="S53" s="62">
        <v>42211</v>
      </c>
      <c r="T53" s="290" t="s">
        <v>3086</v>
      </c>
      <c r="U53" s="26">
        <v>42332</v>
      </c>
      <c r="V53" s="52" t="s">
        <v>1369</v>
      </c>
      <c r="W53" s="67" t="s">
        <v>1442</v>
      </c>
      <c r="X53" s="37"/>
      <c r="Y53" s="37"/>
      <c r="Z53" s="38"/>
      <c r="AA53" s="39"/>
      <c r="AB53" s="40"/>
      <c r="AC53" s="41"/>
      <c r="AD53" s="40"/>
      <c r="AE53" s="40"/>
      <c r="AF53" s="40"/>
      <c r="AG53" s="40"/>
      <c r="AH53" s="41"/>
      <c r="AI53" s="40"/>
      <c r="AJ53" s="42"/>
    </row>
    <row r="54" spans="1:36" s="5" customFormat="1" ht="24.95" customHeight="1" x14ac:dyDescent="0.2">
      <c r="A54" s="13">
        <f>A52+1</f>
        <v>24</v>
      </c>
      <c r="B54" s="356" t="s">
        <v>47</v>
      </c>
      <c r="C54" s="345" t="s">
        <v>156</v>
      </c>
      <c r="D54" s="345" t="s">
        <v>274</v>
      </c>
      <c r="E54" s="46" t="s">
        <v>1432</v>
      </c>
      <c r="F54" s="17">
        <v>2</v>
      </c>
      <c r="G54" s="18">
        <v>42180</v>
      </c>
      <c r="H54" s="175"/>
      <c r="I54" s="225">
        <v>42101</v>
      </c>
      <c r="J54" s="74">
        <v>-13</v>
      </c>
      <c r="K54" s="61" t="s">
        <v>2492</v>
      </c>
      <c r="L54" s="16">
        <v>42193</v>
      </c>
      <c r="M54" s="17" t="s">
        <v>2493</v>
      </c>
      <c r="N54" s="18">
        <v>42194</v>
      </c>
      <c r="O54" s="46" t="s">
        <v>2523</v>
      </c>
      <c r="P54" s="242">
        <v>42198</v>
      </c>
      <c r="Q54" s="243">
        <v>2</v>
      </c>
      <c r="R54" s="17" t="s">
        <v>2506</v>
      </c>
      <c r="S54" s="62">
        <v>42197</v>
      </c>
      <c r="T54" s="8" t="s">
        <v>1442</v>
      </c>
      <c r="U54" s="26" t="s">
        <v>1442</v>
      </c>
      <c r="V54" s="52" t="s">
        <v>1442</v>
      </c>
      <c r="W54" s="67" t="s">
        <v>3060</v>
      </c>
      <c r="X54" s="37"/>
      <c r="Y54" s="37"/>
      <c r="Z54" s="38"/>
      <c r="AA54" s="39"/>
      <c r="AB54" s="40"/>
      <c r="AC54" s="41"/>
      <c r="AD54" s="40"/>
      <c r="AE54" s="40"/>
      <c r="AF54" s="40"/>
      <c r="AG54" s="40"/>
      <c r="AH54" s="41"/>
      <c r="AI54" s="40"/>
      <c r="AJ54" s="42"/>
    </row>
    <row r="55" spans="1:36" s="5" customFormat="1" ht="24.95" customHeight="1" x14ac:dyDescent="0.2">
      <c r="A55" s="13"/>
      <c r="B55" s="358"/>
      <c r="C55" s="346"/>
      <c r="D55" s="346"/>
      <c r="E55" s="46">
        <v>0</v>
      </c>
      <c r="F55" s="17" t="s">
        <v>1442</v>
      </c>
      <c r="G55" s="18" t="s">
        <v>1442</v>
      </c>
      <c r="H55" s="175"/>
      <c r="I55" s="225"/>
      <c r="J55" s="74" t="s">
        <v>1442</v>
      </c>
      <c r="K55" s="61" t="s">
        <v>2531</v>
      </c>
      <c r="L55" s="61">
        <v>42205</v>
      </c>
      <c r="M55" s="17" t="s">
        <v>2532</v>
      </c>
      <c r="N55" s="61">
        <v>42205</v>
      </c>
      <c r="O55" s="46" t="s">
        <v>2555</v>
      </c>
      <c r="P55" s="242">
        <v>42212</v>
      </c>
      <c r="Q55" s="243">
        <v>1</v>
      </c>
      <c r="R55" s="17" t="s">
        <v>2533</v>
      </c>
      <c r="S55" s="62">
        <v>42206</v>
      </c>
      <c r="T55" s="290" t="s">
        <v>3085</v>
      </c>
      <c r="U55" s="26">
        <v>42332</v>
      </c>
      <c r="V55" s="52" t="s">
        <v>1369</v>
      </c>
      <c r="W55" s="67" t="s">
        <v>1442</v>
      </c>
      <c r="X55" s="37"/>
      <c r="Y55" s="37"/>
      <c r="Z55" s="38"/>
      <c r="AA55" s="39"/>
      <c r="AB55" s="40"/>
      <c r="AC55" s="41"/>
      <c r="AD55" s="40"/>
      <c r="AE55" s="40"/>
      <c r="AF55" s="40"/>
      <c r="AG55" s="40"/>
      <c r="AH55" s="41"/>
      <c r="AI55" s="40"/>
      <c r="AJ55" s="42"/>
    </row>
    <row r="56" spans="1:36" s="5" customFormat="1" ht="24.95" customHeight="1" x14ac:dyDescent="0.2">
      <c r="A56" s="13">
        <f>A54+1</f>
        <v>25</v>
      </c>
      <c r="B56" s="356" t="s">
        <v>48</v>
      </c>
      <c r="C56" s="345" t="s">
        <v>157</v>
      </c>
      <c r="D56" s="345" t="s">
        <v>275</v>
      </c>
      <c r="E56" s="46" t="s">
        <v>1432</v>
      </c>
      <c r="F56" s="17">
        <v>2</v>
      </c>
      <c r="G56" s="18">
        <v>42184</v>
      </c>
      <c r="H56" s="175"/>
      <c r="I56" s="225">
        <v>42087</v>
      </c>
      <c r="J56" s="74">
        <v>15</v>
      </c>
      <c r="K56" s="61" t="s">
        <v>2397</v>
      </c>
      <c r="L56" s="16">
        <v>42169</v>
      </c>
      <c r="M56" s="17" t="s">
        <v>2398</v>
      </c>
      <c r="N56" s="18">
        <v>42170</v>
      </c>
      <c r="O56" s="46" t="s">
        <v>2444</v>
      </c>
      <c r="P56" s="26">
        <v>42178</v>
      </c>
      <c r="Q56" s="52">
        <v>2</v>
      </c>
      <c r="R56" s="17" t="s">
        <v>2411</v>
      </c>
      <c r="S56" s="62">
        <v>42171</v>
      </c>
      <c r="T56" s="46" t="s">
        <v>2491</v>
      </c>
      <c r="U56" s="26">
        <v>42192</v>
      </c>
      <c r="V56" s="52" t="s">
        <v>1432</v>
      </c>
      <c r="W56" s="67" t="s">
        <v>1442</v>
      </c>
      <c r="X56" s="37"/>
      <c r="Y56" s="37"/>
      <c r="Z56" s="38"/>
      <c r="AA56" s="39"/>
      <c r="AB56" s="40"/>
      <c r="AC56" s="41"/>
      <c r="AD56" s="40"/>
      <c r="AE56" s="40"/>
      <c r="AF56" s="40"/>
      <c r="AG56" s="40"/>
      <c r="AH56" s="41"/>
      <c r="AI56" s="40"/>
      <c r="AJ56" s="42"/>
    </row>
    <row r="57" spans="1:36" s="5" customFormat="1" ht="24.95" customHeight="1" x14ac:dyDescent="0.2">
      <c r="A57" s="13"/>
      <c r="B57" s="358"/>
      <c r="C57" s="346"/>
      <c r="D57" s="346"/>
      <c r="E57" s="46">
        <v>0</v>
      </c>
      <c r="F57" s="17" t="s">
        <v>1442</v>
      </c>
      <c r="G57" s="18" t="s">
        <v>1442</v>
      </c>
      <c r="H57" s="175"/>
      <c r="I57" s="225"/>
      <c r="J57" s="74" t="s">
        <v>1442</v>
      </c>
      <c r="K57" s="61" t="s">
        <v>2538</v>
      </c>
      <c r="L57" s="61">
        <v>42208</v>
      </c>
      <c r="M57" s="17" t="s">
        <v>2539</v>
      </c>
      <c r="N57" s="18">
        <v>42211</v>
      </c>
      <c r="O57" s="46" t="s">
        <v>2565</v>
      </c>
      <c r="P57" s="242">
        <v>42214</v>
      </c>
      <c r="Q57" s="52">
        <v>1</v>
      </c>
      <c r="R57" s="17" t="s">
        <v>2551</v>
      </c>
      <c r="S57" s="62">
        <v>42211</v>
      </c>
      <c r="T57" s="290" t="s">
        <v>3114</v>
      </c>
      <c r="U57" s="26">
        <v>42338</v>
      </c>
      <c r="V57" s="52" t="s">
        <v>1369</v>
      </c>
      <c r="W57" s="67" t="s">
        <v>1442</v>
      </c>
      <c r="X57" s="37"/>
      <c r="Y57" s="37"/>
      <c r="Z57" s="38"/>
      <c r="AA57" s="39"/>
      <c r="AB57" s="40"/>
      <c r="AC57" s="41"/>
      <c r="AD57" s="40"/>
      <c r="AE57" s="40"/>
      <c r="AF57" s="40"/>
      <c r="AG57" s="40"/>
      <c r="AH57" s="41"/>
      <c r="AI57" s="40"/>
      <c r="AJ57" s="42"/>
    </row>
    <row r="58" spans="1:36" s="5" customFormat="1" ht="24.95" customHeight="1" x14ac:dyDescent="0.2">
      <c r="A58" s="13">
        <f>A56+1</f>
        <v>26</v>
      </c>
      <c r="B58" s="356" t="s">
        <v>49</v>
      </c>
      <c r="C58" s="345" t="s">
        <v>158</v>
      </c>
      <c r="D58" s="345" t="s">
        <v>276</v>
      </c>
      <c r="E58" s="46" t="s">
        <v>1432</v>
      </c>
      <c r="F58" s="17">
        <v>2</v>
      </c>
      <c r="G58" s="18">
        <v>42080</v>
      </c>
      <c r="H58" s="175"/>
      <c r="I58" s="18">
        <v>42080</v>
      </c>
      <c r="J58" s="74">
        <v>-6</v>
      </c>
      <c r="K58" s="61" t="s">
        <v>2258</v>
      </c>
      <c r="L58" s="16">
        <v>42086</v>
      </c>
      <c r="M58" s="17" t="s">
        <v>2259</v>
      </c>
      <c r="N58" s="18">
        <v>42088</v>
      </c>
      <c r="O58" s="46" t="s">
        <v>2377</v>
      </c>
      <c r="P58" s="26">
        <v>42103</v>
      </c>
      <c r="Q58" s="52">
        <v>2</v>
      </c>
      <c r="R58" s="224" t="s">
        <v>2262</v>
      </c>
      <c r="S58" s="62">
        <v>42088</v>
      </c>
      <c r="T58" s="46" t="s">
        <v>2274</v>
      </c>
      <c r="U58" s="26">
        <v>42099</v>
      </c>
      <c r="V58" s="52" t="s">
        <v>1369</v>
      </c>
      <c r="W58" s="67" t="s">
        <v>1442</v>
      </c>
      <c r="X58" s="37"/>
      <c r="Y58" s="37"/>
      <c r="Z58" s="38"/>
      <c r="AA58" s="39"/>
      <c r="AB58" s="40"/>
      <c r="AC58" s="41"/>
      <c r="AD58" s="40"/>
      <c r="AE58" s="40"/>
      <c r="AF58" s="40"/>
      <c r="AG58" s="40"/>
      <c r="AH58" s="41"/>
      <c r="AI58" s="40"/>
      <c r="AJ58" s="42"/>
    </row>
    <row r="59" spans="1:36" s="5" customFormat="1" ht="24.95" customHeight="1" x14ac:dyDescent="0.2">
      <c r="A59" s="13"/>
      <c r="B59" s="357"/>
      <c r="C59" s="355"/>
      <c r="D59" s="355"/>
      <c r="E59" s="46">
        <v>0</v>
      </c>
      <c r="F59" s="17" t="s">
        <v>1442</v>
      </c>
      <c r="G59" s="18" t="s">
        <v>1442</v>
      </c>
      <c r="H59" s="175"/>
      <c r="I59" s="18" t="s">
        <v>1442</v>
      </c>
      <c r="J59" s="74" t="s">
        <v>1442</v>
      </c>
      <c r="K59" s="61" t="s">
        <v>2346</v>
      </c>
      <c r="L59" s="61">
        <v>42142</v>
      </c>
      <c r="M59" s="17" t="s">
        <v>2347</v>
      </c>
      <c r="N59" s="18">
        <v>42143</v>
      </c>
      <c r="O59" s="46" t="s">
        <v>2375</v>
      </c>
      <c r="P59" s="26">
        <v>42152</v>
      </c>
      <c r="Q59" s="52">
        <v>2</v>
      </c>
      <c r="R59" s="224" t="s">
        <v>2366</v>
      </c>
      <c r="S59" s="62">
        <v>42143</v>
      </c>
      <c r="T59" s="52" t="s">
        <v>1442</v>
      </c>
      <c r="U59" s="26" t="s">
        <v>1442</v>
      </c>
      <c r="V59" s="52" t="s">
        <v>1442</v>
      </c>
      <c r="W59" s="67" t="s">
        <v>3060</v>
      </c>
      <c r="X59" s="37"/>
      <c r="Y59" s="37"/>
      <c r="Z59" s="38"/>
      <c r="AA59" s="39"/>
      <c r="AB59" s="40"/>
      <c r="AC59" s="41"/>
      <c r="AD59" s="40"/>
      <c r="AE59" s="40"/>
      <c r="AF59" s="40"/>
      <c r="AG59" s="40"/>
      <c r="AH59" s="41"/>
      <c r="AI59" s="40"/>
      <c r="AJ59" s="42"/>
    </row>
    <row r="60" spans="1:36" s="5" customFormat="1" ht="24.95" customHeight="1" x14ac:dyDescent="0.2">
      <c r="A60" s="13"/>
      <c r="B60" s="358"/>
      <c r="C60" s="346"/>
      <c r="D60" s="346"/>
      <c r="E60" s="46">
        <v>1</v>
      </c>
      <c r="F60" s="17" t="s">
        <v>1442</v>
      </c>
      <c r="G60" s="18" t="s">
        <v>1442</v>
      </c>
      <c r="H60" s="175"/>
      <c r="I60" s="18"/>
      <c r="J60" s="74" t="s">
        <v>1442</v>
      </c>
      <c r="K60" s="61" t="s">
        <v>2392</v>
      </c>
      <c r="L60" s="61">
        <v>42162</v>
      </c>
      <c r="M60" s="17" t="s">
        <v>2393</v>
      </c>
      <c r="N60" s="18">
        <v>42164</v>
      </c>
      <c r="O60" s="46" t="s">
        <v>2405</v>
      </c>
      <c r="P60" s="26">
        <v>42169</v>
      </c>
      <c r="Q60" s="52">
        <v>1</v>
      </c>
      <c r="R60" s="224" t="s">
        <v>2401</v>
      </c>
      <c r="S60" s="62">
        <v>42166</v>
      </c>
      <c r="T60" s="290" t="s">
        <v>3115</v>
      </c>
      <c r="U60" s="26">
        <v>42338</v>
      </c>
      <c r="V60" s="52" t="s">
        <v>1369</v>
      </c>
      <c r="W60" s="67" t="s">
        <v>1442</v>
      </c>
      <c r="X60" s="37"/>
      <c r="Y60" s="37"/>
      <c r="Z60" s="38"/>
      <c r="AA60" s="39"/>
      <c r="AB60" s="40"/>
      <c r="AC60" s="41"/>
      <c r="AD60" s="40"/>
      <c r="AE60" s="40"/>
      <c r="AF60" s="40"/>
      <c r="AG60" s="40"/>
      <c r="AH60" s="41"/>
      <c r="AI60" s="40"/>
      <c r="AJ60" s="42"/>
    </row>
    <row r="61" spans="1:36" s="5" customFormat="1" ht="24.95" customHeight="1" x14ac:dyDescent="0.2">
      <c r="A61" s="13">
        <f>A58+1</f>
        <v>27</v>
      </c>
      <c r="B61" s="356" t="s">
        <v>50</v>
      </c>
      <c r="C61" s="345" t="s">
        <v>159</v>
      </c>
      <c r="D61" s="345" t="s">
        <v>277</v>
      </c>
      <c r="E61" s="46" t="s">
        <v>1432</v>
      </c>
      <c r="F61" s="17">
        <v>2</v>
      </c>
      <c r="G61" s="18">
        <v>42073</v>
      </c>
      <c r="H61" s="226">
        <v>42140</v>
      </c>
      <c r="I61" s="18">
        <v>42073</v>
      </c>
      <c r="J61" s="74">
        <v>-69</v>
      </c>
      <c r="K61" s="61" t="s">
        <v>2346</v>
      </c>
      <c r="L61" s="61">
        <v>42142</v>
      </c>
      <c r="M61" s="17" t="s">
        <v>2348</v>
      </c>
      <c r="N61" s="18">
        <v>42143</v>
      </c>
      <c r="O61" s="46" t="s">
        <v>2376</v>
      </c>
      <c r="P61" s="26">
        <v>42152</v>
      </c>
      <c r="Q61" s="52">
        <v>2</v>
      </c>
      <c r="R61" s="224" t="s">
        <v>2367</v>
      </c>
      <c r="S61" s="62">
        <v>42143</v>
      </c>
      <c r="T61" s="8"/>
      <c r="U61" s="26"/>
      <c r="V61" s="52"/>
      <c r="W61" s="67" t="s">
        <v>3060</v>
      </c>
      <c r="X61" s="37"/>
      <c r="Y61" s="37"/>
      <c r="Z61" s="38"/>
      <c r="AA61" s="39"/>
      <c r="AB61" s="40"/>
      <c r="AC61" s="41"/>
      <c r="AD61" s="40"/>
      <c r="AE61" s="40"/>
      <c r="AF61" s="40"/>
      <c r="AG61" s="40"/>
      <c r="AH61" s="41"/>
      <c r="AI61" s="40"/>
      <c r="AJ61" s="42"/>
    </row>
    <row r="62" spans="1:36" s="5" customFormat="1" ht="24.95" customHeight="1" x14ac:dyDescent="0.2">
      <c r="A62" s="13"/>
      <c r="B62" s="358"/>
      <c r="C62" s="346"/>
      <c r="D62" s="346"/>
      <c r="E62" s="46">
        <v>0</v>
      </c>
      <c r="F62" s="17" t="s">
        <v>1442</v>
      </c>
      <c r="G62" s="18" t="s">
        <v>1442</v>
      </c>
      <c r="H62" s="226"/>
      <c r="I62" s="18"/>
      <c r="J62" s="74" t="s">
        <v>1442</v>
      </c>
      <c r="K62" s="61" t="s">
        <v>2388</v>
      </c>
      <c r="L62" s="61">
        <v>42162</v>
      </c>
      <c r="M62" s="17" t="s">
        <v>2389</v>
      </c>
      <c r="N62" s="18">
        <v>42164</v>
      </c>
      <c r="O62" s="46" t="s">
        <v>2406</v>
      </c>
      <c r="P62" s="26">
        <v>42169</v>
      </c>
      <c r="Q62" s="52">
        <v>1</v>
      </c>
      <c r="R62" s="224" t="s">
        <v>2399</v>
      </c>
      <c r="S62" s="62">
        <v>42166</v>
      </c>
      <c r="T62" s="46" t="s">
        <v>2474</v>
      </c>
      <c r="U62" s="26">
        <v>42191</v>
      </c>
      <c r="V62" s="52" t="s">
        <v>1369</v>
      </c>
      <c r="W62" s="67" t="s">
        <v>1442</v>
      </c>
      <c r="X62" s="37"/>
      <c r="Y62" s="37"/>
      <c r="Z62" s="38"/>
      <c r="AA62" s="39"/>
      <c r="AB62" s="40"/>
      <c r="AC62" s="41"/>
      <c r="AD62" s="40"/>
      <c r="AE62" s="40"/>
      <c r="AF62" s="40"/>
      <c r="AG62" s="40"/>
      <c r="AH62" s="41"/>
      <c r="AI62" s="40"/>
      <c r="AJ62" s="42"/>
    </row>
    <row r="63" spans="1:36" s="5" customFormat="1" ht="24.95" customHeight="1" x14ac:dyDescent="0.2">
      <c r="A63" s="13">
        <f>A61+1</f>
        <v>28</v>
      </c>
      <c r="B63" s="356" t="s">
        <v>2580</v>
      </c>
      <c r="C63" s="345" t="s">
        <v>160</v>
      </c>
      <c r="D63" s="450" t="s">
        <v>278</v>
      </c>
      <c r="E63" s="46" t="s">
        <v>1432</v>
      </c>
      <c r="F63" s="17">
        <v>2</v>
      </c>
      <c r="G63" s="18">
        <v>42217</v>
      </c>
      <c r="H63" s="175"/>
      <c r="I63" s="225">
        <v>42109</v>
      </c>
      <c r="J63" s="74">
        <v>-9</v>
      </c>
      <c r="K63" s="61" t="s">
        <v>2581</v>
      </c>
      <c r="L63" s="61">
        <v>42226</v>
      </c>
      <c r="M63" s="17" t="s">
        <v>2582</v>
      </c>
      <c r="N63" s="18">
        <v>42226</v>
      </c>
      <c r="O63" s="46" t="s">
        <v>2632</v>
      </c>
      <c r="P63" s="242">
        <v>42232</v>
      </c>
      <c r="Q63" s="243">
        <v>1</v>
      </c>
      <c r="R63" s="17" t="s">
        <v>2583</v>
      </c>
      <c r="S63" s="62">
        <v>42226</v>
      </c>
      <c r="T63" s="46"/>
      <c r="U63" s="26"/>
      <c r="V63" s="52"/>
      <c r="W63" s="67" t="s">
        <v>2659</v>
      </c>
      <c r="X63" s="37"/>
      <c r="Y63" s="37"/>
      <c r="Z63" s="38"/>
      <c r="AA63" s="39"/>
      <c r="AB63" s="40"/>
      <c r="AC63" s="41"/>
      <c r="AD63" s="40"/>
      <c r="AE63" s="40"/>
      <c r="AF63" s="40"/>
      <c r="AG63" s="40"/>
      <c r="AH63" s="41"/>
      <c r="AI63" s="40"/>
      <c r="AJ63" s="42"/>
    </row>
    <row r="64" spans="1:36" s="5" customFormat="1" ht="31.5" customHeight="1" x14ac:dyDescent="0.2">
      <c r="A64" s="13"/>
      <c r="B64" s="357"/>
      <c r="C64" s="355"/>
      <c r="D64" s="451"/>
      <c r="E64" s="46">
        <v>0</v>
      </c>
      <c r="F64" s="17" t="s">
        <v>1442</v>
      </c>
      <c r="G64" s="18" t="s">
        <v>1442</v>
      </c>
      <c r="H64" s="175"/>
      <c r="I64" s="225"/>
      <c r="J64" s="74" t="s">
        <v>1442</v>
      </c>
      <c r="K64" s="61" t="s">
        <v>2626</v>
      </c>
      <c r="L64" s="61">
        <v>42232</v>
      </c>
      <c r="M64" s="17" t="s">
        <v>2627</v>
      </c>
      <c r="N64" s="18">
        <v>42233</v>
      </c>
      <c r="O64" s="46" t="s">
        <v>2697</v>
      </c>
      <c r="P64" s="26">
        <v>42239</v>
      </c>
      <c r="Q64" s="52">
        <v>1</v>
      </c>
      <c r="R64" s="17" t="s">
        <v>2646</v>
      </c>
      <c r="S64" s="62">
        <v>42233</v>
      </c>
      <c r="T64" s="174" t="s">
        <v>2688</v>
      </c>
      <c r="U64" s="26">
        <v>42234</v>
      </c>
      <c r="V64" s="52" t="s">
        <v>1459</v>
      </c>
      <c r="W64" s="67" t="s">
        <v>2698</v>
      </c>
      <c r="X64" s="37"/>
      <c r="Y64" s="37"/>
      <c r="Z64" s="38"/>
      <c r="AA64" s="39"/>
      <c r="AB64" s="40"/>
      <c r="AC64" s="41"/>
      <c r="AD64" s="40"/>
      <c r="AE64" s="40"/>
      <c r="AF64" s="40"/>
      <c r="AG64" s="40"/>
      <c r="AH64" s="41"/>
      <c r="AI64" s="40"/>
      <c r="AJ64" s="42"/>
    </row>
    <row r="65" spans="1:36" s="5" customFormat="1" ht="23.25" customHeight="1" x14ac:dyDescent="0.2">
      <c r="A65" s="13"/>
      <c r="B65" s="358"/>
      <c r="C65" s="346"/>
      <c r="D65" s="452"/>
      <c r="E65" s="46">
        <v>1</v>
      </c>
      <c r="F65" s="17" t="s">
        <v>1442</v>
      </c>
      <c r="G65" s="18" t="s">
        <v>1442</v>
      </c>
      <c r="H65" s="175"/>
      <c r="I65" s="225"/>
      <c r="J65" s="74" t="s">
        <v>1442</v>
      </c>
      <c r="K65" s="61" t="s">
        <v>2753</v>
      </c>
      <c r="L65" s="61">
        <v>42243</v>
      </c>
      <c r="M65" s="17" t="s">
        <v>2754</v>
      </c>
      <c r="N65" s="18">
        <v>42248</v>
      </c>
      <c r="O65" s="46" t="s">
        <v>2940</v>
      </c>
      <c r="P65" s="26">
        <v>42263</v>
      </c>
      <c r="Q65" s="52">
        <v>1</v>
      </c>
      <c r="R65" s="17" t="s">
        <v>2788</v>
      </c>
      <c r="S65" s="62">
        <v>42249</v>
      </c>
      <c r="T65" s="46" t="s">
        <v>2824</v>
      </c>
      <c r="U65" s="26">
        <v>42254</v>
      </c>
      <c r="V65" s="52" t="s">
        <v>1432</v>
      </c>
      <c r="W65" s="67" t="s">
        <v>1442</v>
      </c>
      <c r="X65" s="37"/>
      <c r="Y65" s="37"/>
      <c r="Z65" s="38"/>
      <c r="AA65" s="39"/>
      <c r="AB65" s="40"/>
      <c r="AC65" s="41"/>
      <c r="AD65" s="40"/>
      <c r="AE65" s="40"/>
      <c r="AF65" s="40"/>
      <c r="AG65" s="40"/>
      <c r="AH65" s="41"/>
      <c r="AI65" s="40"/>
      <c r="AJ65" s="42"/>
    </row>
    <row r="66" spans="1:36" s="5" customFormat="1" ht="31.5" x14ac:dyDescent="0.2">
      <c r="A66" s="13"/>
      <c r="B66" s="349" t="s">
        <v>2815</v>
      </c>
      <c r="C66" s="351" t="s">
        <v>161</v>
      </c>
      <c r="D66" s="351" t="s">
        <v>2816</v>
      </c>
      <c r="E66" s="46" t="s">
        <v>1432</v>
      </c>
      <c r="F66" s="14" t="s">
        <v>1442</v>
      </c>
      <c r="G66" s="61" t="s">
        <v>1442</v>
      </c>
      <c r="H66" s="62"/>
      <c r="I66" s="61">
        <v>42100</v>
      </c>
      <c r="J66" s="74" t="s">
        <v>1442</v>
      </c>
      <c r="K66" s="61" t="s">
        <v>2861</v>
      </c>
      <c r="L66" s="61">
        <v>42255</v>
      </c>
      <c r="M66" s="17" t="s">
        <v>2862</v>
      </c>
      <c r="N66" s="18">
        <v>42256</v>
      </c>
      <c r="O66" s="46" t="s">
        <v>2907</v>
      </c>
      <c r="P66" s="26">
        <v>42257</v>
      </c>
      <c r="Q66" s="52">
        <v>2</v>
      </c>
      <c r="R66" s="114" t="s">
        <v>2868</v>
      </c>
      <c r="S66" s="62">
        <v>42255</v>
      </c>
      <c r="T66" s="46" t="s">
        <v>2881</v>
      </c>
      <c r="U66" s="26">
        <v>42256</v>
      </c>
      <c r="V66" s="52" t="s">
        <v>1369</v>
      </c>
      <c r="W66" s="14" t="s">
        <v>2908</v>
      </c>
      <c r="X66" s="37"/>
      <c r="Y66" s="37"/>
      <c r="Z66" s="38"/>
      <c r="AA66" s="39"/>
      <c r="AB66" s="40"/>
      <c r="AC66" s="41"/>
      <c r="AD66" s="40"/>
      <c r="AE66" s="40"/>
      <c r="AF66" s="40"/>
      <c r="AG66" s="40"/>
      <c r="AH66" s="41"/>
      <c r="AI66" s="40"/>
      <c r="AJ66" s="42"/>
    </row>
    <row r="67" spans="1:36" s="5" customFormat="1" ht="31.5" customHeight="1" x14ac:dyDescent="0.2">
      <c r="A67" s="13">
        <f>A63+1</f>
        <v>29</v>
      </c>
      <c r="B67" s="350"/>
      <c r="C67" s="352"/>
      <c r="D67" s="352"/>
      <c r="E67" s="290">
        <v>0</v>
      </c>
      <c r="F67" s="14"/>
      <c r="G67" s="61"/>
      <c r="H67" s="62"/>
      <c r="I67" s="61"/>
      <c r="J67" s="74"/>
      <c r="K67" s="61" t="s">
        <v>3063</v>
      </c>
      <c r="L67" s="16">
        <v>42331</v>
      </c>
      <c r="M67" s="17" t="s">
        <v>3064</v>
      </c>
      <c r="N67" s="18">
        <v>42331</v>
      </c>
      <c r="O67" s="290" t="s">
        <v>3183</v>
      </c>
      <c r="P67" s="26">
        <v>42375</v>
      </c>
      <c r="Q67" s="52">
        <v>4</v>
      </c>
      <c r="R67" s="224" t="s">
        <v>3070</v>
      </c>
      <c r="S67" s="62">
        <v>42332</v>
      </c>
      <c r="T67" s="46"/>
      <c r="U67" s="26"/>
      <c r="V67" s="52"/>
      <c r="W67" s="14" t="s">
        <v>3184</v>
      </c>
      <c r="X67" s="37"/>
      <c r="Y67" s="37"/>
      <c r="Z67" s="38"/>
      <c r="AA67" s="39"/>
      <c r="AB67" s="40"/>
      <c r="AC67" s="41"/>
      <c r="AD67" s="40"/>
      <c r="AE67" s="40"/>
      <c r="AF67" s="40"/>
      <c r="AG67" s="40"/>
      <c r="AH67" s="41"/>
      <c r="AI67" s="40"/>
      <c r="AJ67" s="42"/>
    </row>
    <row r="68" spans="1:36" s="5" customFormat="1" ht="24.95" hidden="1" customHeight="1" x14ac:dyDescent="0.2">
      <c r="A68" s="13">
        <f>A67+1</f>
        <v>30</v>
      </c>
      <c r="B68" s="353" t="s">
        <v>51</v>
      </c>
      <c r="C68" s="345" t="s">
        <v>162</v>
      </c>
      <c r="D68" s="345" t="s">
        <v>279</v>
      </c>
      <c r="E68" s="46" t="s">
        <v>1432</v>
      </c>
      <c r="F68" s="17">
        <v>2</v>
      </c>
      <c r="G68" s="61">
        <v>41855</v>
      </c>
      <c r="H68" s="62"/>
      <c r="I68" s="62"/>
      <c r="J68" s="74">
        <v>-48</v>
      </c>
      <c r="K68" s="99" t="s">
        <v>1893</v>
      </c>
      <c r="L68" s="16">
        <v>41903</v>
      </c>
      <c r="M68" s="114" t="s">
        <v>1894</v>
      </c>
      <c r="N68" s="18">
        <v>41904</v>
      </c>
      <c r="O68" s="65" t="s">
        <v>1984</v>
      </c>
      <c r="P68" s="26">
        <v>41913</v>
      </c>
      <c r="Q68" s="52">
        <v>2</v>
      </c>
      <c r="R68" s="8" t="s">
        <v>2016</v>
      </c>
      <c r="S68" s="8" t="s">
        <v>2016</v>
      </c>
      <c r="T68" s="8" t="s">
        <v>2016</v>
      </c>
      <c r="U68" s="9" t="s">
        <v>2016</v>
      </c>
      <c r="V68" s="48" t="s">
        <v>2016</v>
      </c>
      <c r="W68" s="67" t="s">
        <v>1552</v>
      </c>
      <c r="X68" s="37"/>
      <c r="Y68" s="37"/>
      <c r="Z68" s="38"/>
      <c r="AA68" s="39"/>
      <c r="AB68" s="40"/>
      <c r="AC68" s="41"/>
      <c r="AD68" s="40"/>
      <c r="AE68" s="40"/>
      <c r="AF68" s="40"/>
      <c r="AG68" s="40"/>
      <c r="AH68" s="41"/>
      <c r="AI68" s="40"/>
      <c r="AJ68" s="42"/>
    </row>
    <row r="69" spans="1:36" s="5" customFormat="1" ht="24.95" hidden="1" customHeight="1" x14ac:dyDescent="0.2">
      <c r="A69" s="13"/>
      <c r="B69" s="354"/>
      <c r="C69" s="346"/>
      <c r="D69" s="346"/>
      <c r="E69" s="46">
        <v>0</v>
      </c>
      <c r="F69" s="17" t="s">
        <v>1442</v>
      </c>
      <c r="G69" s="61" t="s">
        <v>1442</v>
      </c>
      <c r="H69" s="62"/>
      <c r="I69" s="62"/>
      <c r="J69" s="74" t="s">
        <v>1442</v>
      </c>
      <c r="K69" s="99" t="s">
        <v>2002</v>
      </c>
      <c r="L69" s="61" t="s">
        <v>1442</v>
      </c>
      <c r="M69" s="114" t="s">
        <v>2010</v>
      </c>
      <c r="N69" s="104">
        <v>41926</v>
      </c>
      <c r="O69" s="65" t="s">
        <v>2068</v>
      </c>
      <c r="P69" s="26">
        <v>41933</v>
      </c>
      <c r="Q69" s="63" t="s">
        <v>1465</v>
      </c>
      <c r="R69" s="187" t="s">
        <v>2030</v>
      </c>
      <c r="S69" s="62">
        <v>41928</v>
      </c>
      <c r="T69" s="46" t="s">
        <v>2101</v>
      </c>
      <c r="U69" s="26">
        <v>41942</v>
      </c>
      <c r="V69" s="63" t="s">
        <v>1465</v>
      </c>
      <c r="W69" s="67" t="s">
        <v>1442</v>
      </c>
      <c r="X69" s="37"/>
      <c r="Y69" s="37"/>
      <c r="Z69" s="38"/>
      <c r="AA69" s="39"/>
      <c r="AB69" s="40"/>
      <c r="AC69" s="41"/>
      <c r="AD69" s="40"/>
      <c r="AE69" s="40"/>
      <c r="AF69" s="40"/>
      <c r="AG69" s="40"/>
      <c r="AH69" s="41"/>
      <c r="AI69" s="40"/>
      <c r="AJ69" s="42"/>
    </row>
    <row r="70" spans="1:36" s="5" customFormat="1" ht="24.95" hidden="1" customHeight="1" x14ac:dyDescent="0.2">
      <c r="A70" s="13">
        <f>A68+1</f>
        <v>31</v>
      </c>
      <c r="B70" s="353" t="s">
        <v>52</v>
      </c>
      <c r="C70" s="345" t="s">
        <v>163</v>
      </c>
      <c r="D70" s="345" t="s">
        <v>280</v>
      </c>
      <c r="E70" s="46" t="s">
        <v>1432</v>
      </c>
      <c r="F70" s="17">
        <v>2</v>
      </c>
      <c r="G70" s="61">
        <v>41859</v>
      </c>
      <c r="H70" s="62"/>
      <c r="I70" s="62"/>
      <c r="J70" s="74">
        <v>-47</v>
      </c>
      <c r="K70" s="99" t="s">
        <v>1908</v>
      </c>
      <c r="L70" s="61">
        <v>41906</v>
      </c>
      <c r="M70" s="114" t="s">
        <v>1918</v>
      </c>
      <c r="N70" s="18">
        <v>41907</v>
      </c>
      <c r="O70" s="65" t="s">
        <v>2048</v>
      </c>
      <c r="P70" s="26">
        <v>41918</v>
      </c>
      <c r="Q70" s="52">
        <v>2</v>
      </c>
      <c r="R70" s="15" t="s">
        <v>1946</v>
      </c>
      <c r="S70" s="62">
        <v>41909</v>
      </c>
      <c r="T70" s="46" t="s">
        <v>2082</v>
      </c>
      <c r="U70" s="26">
        <v>41918</v>
      </c>
      <c r="V70" s="63" t="s">
        <v>1465</v>
      </c>
      <c r="W70" s="67" t="s">
        <v>1442</v>
      </c>
      <c r="X70" s="37"/>
      <c r="Y70" s="37"/>
      <c r="Z70" s="38"/>
      <c r="AA70" s="39"/>
      <c r="AB70" s="40"/>
      <c r="AC70" s="41"/>
      <c r="AD70" s="40"/>
      <c r="AE70" s="40"/>
      <c r="AF70" s="40"/>
      <c r="AG70" s="40"/>
      <c r="AH70" s="41"/>
      <c r="AI70" s="40"/>
      <c r="AJ70" s="42"/>
    </row>
    <row r="71" spans="1:36" s="5" customFormat="1" ht="24.95" hidden="1" customHeight="1" x14ac:dyDescent="0.2">
      <c r="A71" s="13"/>
      <c r="B71" s="354"/>
      <c r="C71" s="346"/>
      <c r="D71" s="346"/>
      <c r="E71" s="46">
        <v>0</v>
      </c>
      <c r="F71" s="17" t="s">
        <v>1442</v>
      </c>
      <c r="G71" s="61" t="s">
        <v>1442</v>
      </c>
      <c r="H71" s="62"/>
      <c r="I71" s="62"/>
      <c r="J71" s="74" t="s">
        <v>1442</v>
      </c>
      <c r="K71" s="99" t="s">
        <v>2002</v>
      </c>
      <c r="L71" s="61" t="s">
        <v>1442</v>
      </c>
      <c r="M71" s="114" t="s">
        <v>2010</v>
      </c>
      <c r="N71" s="104">
        <v>41926</v>
      </c>
      <c r="O71" s="65" t="s">
        <v>2068</v>
      </c>
      <c r="P71" s="26">
        <v>41933</v>
      </c>
      <c r="Q71" s="63" t="s">
        <v>1465</v>
      </c>
      <c r="R71" s="187" t="s">
        <v>2030</v>
      </c>
      <c r="S71" s="62">
        <v>41928</v>
      </c>
      <c r="T71" s="46" t="s">
        <v>2092</v>
      </c>
      <c r="U71" s="26">
        <v>41928</v>
      </c>
      <c r="V71" s="63" t="s">
        <v>1465</v>
      </c>
      <c r="W71" s="67" t="s">
        <v>1442</v>
      </c>
      <c r="X71" s="37"/>
      <c r="Y71" s="37"/>
      <c r="Z71" s="38"/>
      <c r="AA71" s="39"/>
      <c r="AB71" s="40"/>
      <c r="AC71" s="41"/>
      <c r="AD71" s="40"/>
      <c r="AE71" s="40"/>
      <c r="AF71" s="40"/>
      <c r="AG71" s="40"/>
      <c r="AH71" s="41"/>
      <c r="AI71" s="40"/>
      <c r="AJ71" s="42"/>
    </row>
    <row r="72" spans="1:36" s="5" customFormat="1" ht="24.95" hidden="1" customHeight="1" x14ac:dyDescent="0.2">
      <c r="A72" s="13">
        <f>A70+1</f>
        <v>32</v>
      </c>
      <c r="B72" s="353" t="s">
        <v>53</v>
      </c>
      <c r="C72" s="345" t="s">
        <v>164</v>
      </c>
      <c r="D72" s="345" t="s">
        <v>281</v>
      </c>
      <c r="E72" s="46" t="s">
        <v>1432</v>
      </c>
      <c r="F72" s="17">
        <v>2</v>
      </c>
      <c r="G72" s="61">
        <v>41846</v>
      </c>
      <c r="H72" s="62"/>
      <c r="I72" s="62"/>
      <c r="J72" s="74">
        <v>-54</v>
      </c>
      <c r="K72" s="61" t="s">
        <v>1768</v>
      </c>
      <c r="L72" s="61">
        <v>41891</v>
      </c>
      <c r="M72" s="17" t="s">
        <v>1769</v>
      </c>
      <c r="N72" s="18">
        <v>41892</v>
      </c>
      <c r="O72" s="65" t="s">
        <v>1875</v>
      </c>
      <c r="P72" s="26">
        <v>41899</v>
      </c>
      <c r="Q72" s="52">
        <v>2</v>
      </c>
      <c r="R72" s="15" t="s">
        <v>1818</v>
      </c>
      <c r="S72" s="62">
        <v>41893</v>
      </c>
      <c r="T72" s="46" t="s">
        <v>1862</v>
      </c>
      <c r="U72" s="26">
        <v>41899</v>
      </c>
      <c r="V72" s="63" t="s">
        <v>1465</v>
      </c>
      <c r="W72" s="67" t="s">
        <v>1442</v>
      </c>
      <c r="X72" s="37"/>
      <c r="Y72" s="37"/>
      <c r="Z72" s="38"/>
      <c r="AA72" s="39"/>
      <c r="AB72" s="40"/>
      <c r="AC72" s="41"/>
      <c r="AD72" s="40"/>
      <c r="AE72" s="40"/>
      <c r="AF72" s="40"/>
      <c r="AG72" s="40"/>
      <c r="AH72" s="41"/>
      <c r="AI72" s="40"/>
      <c r="AJ72" s="42"/>
    </row>
    <row r="73" spans="1:36" s="5" customFormat="1" ht="24.95" hidden="1" customHeight="1" x14ac:dyDescent="0.2">
      <c r="A73" s="13"/>
      <c r="B73" s="359"/>
      <c r="C73" s="355"/>
      <c r="D73" s="355"/>
      <c r="E73" s="46">
        <v>0</v>
      </c>
      <c r="F73" s="17" t="s">
        <v>1442</v>
      </c>
      <c r="G73" s="61" t="s">
        <v>1442</v>
      </c>
      <c r="H73" s="62"/>
      <c r="I73" s="62"/>
      <c r="J73" s="74" t="s">
        <v>1442</v>
      </c>
      <c r="K73" s="99" t="s">
        <v>1883</v>
      </c>
      <c r="L73" s="99">
        <v>41903</v>
      </c>
      <c r="M73" s="114" t="s">
        <v>1885</v>
      </c>
      <c r="N73" s="104">
        <v>41904</v>
      </c>
      <c r="O73" s="65" t="s">
        <v>1971</v>
      </c>
      <c r="P73" s="26">
        <v>41912</v>
      </c>
      <c r="Q73" s="52">
        <v>2</v>
      </c>
      <c r="R73" s="15" t="s">
        <v>1910</v>
      </c>
      <c r="S73" s="62">
        <v>41906</v>
      </c>
      <c r="T73" s="46" t="s">
        <v>1953</v>
      </c>
      <c r="U73" s="26">
        <v>41910</v>
      </c>
      <c r="V73" s="63" t="s">
        <v>1465</v>
      </c>
      <c r="W73" s="67" t="s">
        <v>1442</v>
      </c>
      <c r="X73" s="37"/>
      <c r="Y73" s="37"/>
      <c r="Z73" s="38"/>
      <c r="AA73" s="39"/>
      <c r="AB73" s="40"/>
      <c r="AC73" s="41"/>
      <c r="AD73" s="40"/>
      <c r="AE73" s="40"/>
      <c r="AF73" s="40"/>
      <c r="AG73" s="40"/>
      <c r="AH73" s="41"/>
      <c r="AI73" s="40"/>
      <c r="AJ73" s="42"/>
    </row>
    <row r="74" spans="1:36" s="5" customFormat="1" ht="24.95" hidden="1" customHeight="1" x14ac:dyDescent="0.2">
      <c r="A74" s="13"/>
      <c r="B74" s="354"/>
      <c r="C74" s="346"/>
      <c r="D74" s="346"/>
      <c r="E74" s="46">
        <v>1</v>
      </c>
      <c r="F74" s="17" t="s">
        <v>1442</v>
      </c>
      <c r="G74" s="61" t="s">
        <v>1442</v>
      </c>
      <c r="H74" s="62"/>
      <c r="I74" s="62"/>
      <c r="J74" s="74" t="s">
        <v>1442</v>
      </c>
      <c r="K74" s="99" t="s">
        <v>1986</v>
      </c>
      <c r="L74" s="99">
        <v>41914</v>
      </c>
      <c r="M74" s="114" t="s">
        <v>1987</v>
      </c>
      <c r="N74" s="104">
        <v>41919</v>
      </c>
      <c r="O74" s="65" t="s">
        <v>2057</v>
      </c>
      <c r="P74" s="26">
        <v>41925</v>
      </c>
      <c r="Q74" s="63" t="s">
        <v>1465</v>
      </c>
      <c r="R74" s="186" t="s">
        <v>2020</v>
      </c>
      <c r="S74" s="62">
        <v>41920</v>
      </c>
      <c r="T74" s="46" t="s">
        <v>2088</v>
      </c>
      <c r="U74" s="26">
        <v>41927</v>
      </c>
      <c r="V74" s="63" t="s">
        <v>1465</v>
      </c>
      <c r="W74" s="67" t="s">
        <v>1442</v>
      </c>
      <c r="X74" s="37"/>
      <c r="Y74" s="37"/>
      <c r="Z74" s="38"/>
      <c r="AA74" s="39"/>
      <c r="AB74" s="40"/>
      <c r="AC74" s="41"/>
      <c r="AD74" s="40"/>
      <c r="AE74" s="40"/>
      <c r="AF74" s="40"/>
      <c r="AG74" s="40"/>
      <c r="AH74" s="41"/>
      <c r="AI74" s="40"/>
      <c r="AJ74" s="42"/>
    </row>
    <row r="75" spans="1:36" s="5" customFormat="1" ht="24.95" hidden="1" customHeight="1" x14ac:dyDescent="0.2">
      <c r="A75" s="13">
        <f>A72+1</f>
        <v>33</v>
      </c>
      <c r="B75" s="353" t="s">
        <v>54</v>
      </c>
      <c r="C75" s="345" t="s">
        <v>165</v>
      </c>
      <c r="D75" s="345" t="s">
        <v>282</v>
      </c>
      <c r="E75" s="46" t="s">
        <v>1432</v>
      </c>
      <c r="F75" s="17">
        <v>2</v>
      </c>
      <c r="G75" s="61">
        <v>41849</v>
      </c>
      <c r="H75" s="62"/>
      <c r="I75" s="62"/>
      <c r="J75" s="74">
        <v>-62</v>
      </c>
      <c r="K75" s="99" t="s">
        <v>1954</v>
      </c>
      <c r="L75" s="61">
        <v>41911</v>
      </c>
      <c r="M75" s="114" t="s">
        <v>1956</v>
      </c>
      <c r="N75" s="18">
        <v>41912</v>
      </c>
      <c r="O75" s="65" t="s">
        <v>2049</v>
      </c>
      <c r="P75" s="26">
        <v>41921</v>
      </c>
      <c r="Q75" s="52">
        <v>2</v>
      </c>
      <c r="R75" s="15" t="s">
        <v>1991</v>
      </c>
      <c r="S75" s="62">
        <v>41914</v>
      </c>
      <c r="T75" s="46" t="s">
        <v>2087</v>
      </c>
      <c r="U75" s="26">
        <v>41926</v>
      </c>
      <c r="V75" s="63" t="s">
        <v>1465</v>
      </c>
      <c r="W75" s="67" t="s">
        <v>1442</v>
      </c>
      <c r="X75" s="37"/>
      <c r="Y75" s="37"/>
      <c r="Z75" s="38"/>
      <c r="AA75" s="39"/>
      <c r="AB75" s="40"/>
      <c r="AC75" s="41"/>
      <c r="AD75" s="40"/>
      <c r="AE75" s="40"/>
      <c r="AF75" s="40"/>
      <c r="AG75" s="40"/>
      <c r="AH75" s="41"/>
      <c r="AI75" s="40"/>
      <c r="AJ75" s="42"/>
    </row>
    <row r="76" spans="1:36" s="5" customFormat="1" ht="24.95" hidden="1" customHeight="1" x14ac:dyDescent="0.2">
      <c r="A76" s="13"/>
      <c r="B76" s="354"/>
      <c r="C76" s="346"/>
      <c r="D76" s="346"/>
      <c r="E76" s="46">
        <v>0</v>
      </c>
      <c r="F76" s="17" t="s">
        <v>1442</v>
      </c>
      <c r="G76" s="61" t="s">
        <v>1442</v>
      </c>
      <c r="H76" s="62"/>
      <c r="I76" s="62"/>
      <c r="J76" s="74" t="s">
        <v>1442</v>
      </c>
      <c r="K76" s="99" t="s">
        <v>2188</v>
      </c>
      <c r="L76" s="61">
        <v>41960</v>
      </c>
      <c r="M76" s="114" t="s">
        <v>2189</v>
      </c>
      <c r="N76" s="18">
        <v>41961</v>
      </c>
      <c r="O76" s="65" t="s">
        <v>2207</v>
      </c>
      <c r="P76" s="26">
        <v>41972</v>
      </c>
      <c r="Q76" s="52">
        <v>2</v>
      </c>
      <c r="R76" s="203" t="s">
        <v>2192</v>
      </c>
      <c r="S76" s="62">
        <v>41962</v>
      </c>
      <c r="T76" s="46" t="s">
        <v>2208</v>
      </c>
      <c r="U76" s="26">
        <v>41973</v>
      </c>
      <c r="V76" s="63" t="s">
        <v>1465</v>
      </c>
      <c r="W76" s="67" t="s">
        <v>1442</v>
      </c>
      <c r="X76" s="37"/>
      <c r="Y76" s="37"/>
      <c r="Z76" s="38"/>
      <c r="AA76" s="39"/>
      <c r="AB76" s="40"/>
      <c r="AC76" s="41"/>
      <c r="AD76" s="40"/>
      <c r="AE76" s="40"/>
      <c r="AF76" s="40"/>
      <c r="AG76" s="40"/>
      <c r="AH76" s="41"/>
      <c r="AI76" s="40"/>
      <c r="AJ76" s="42"/>
    </row>
    <row r="77" spans="1:36" s="5" customFormat="1" ht="24.95" hidden="1" customHeight="1" x14ac:dyDescent="0.2">
      <c r="A77" s="13">
        <f>A75+1</f>
        <v>34</v>
      </c>
      <c r="B77" s="353" t="s">
        <v>55</v>
      </c>
      <c r="C77" s="345" t="s">
        <v>166</v>
      </c>
      <c r="D77" s="345" t="s">
        <v>283</v>
      </c>
      <c r="E77" s="46" t="s">
        <v>1432</v>
      </c>
      <c r="F77" s="17">
        <v>2</v>
      </c>
      <c r="G77" s="61">
        <v>41852</v>
      </c>
      <c r="H77" s="62"/>
      <c r="I77" s="62"/>
      <c r="J77" s="74">
        <v>-54</v>
      </c>
      <c r="K77" s="99" t="s">
        <v>1908</v>
      </c>
      <c r="L77" s="61">
        <v>41906</v>
      </c>
      <c r="M77" s="114" t="s">
        <v>1918</v>
      </c>
      <c r="N77" s="18">
        <v>41907</v>
      </c>
      <c r="O77" s="65" t="s">
        <v>2048</v>
      </c>
      <c r="P77" s="26">
        <v>41918</v>
      </c>
      <c r="Q77" s="52">
        <v>2</v>
      </c>
      <c r="R77" s="15" t="s">
        <v>1946</v>
      </c>
      <c r="S77" s="62">
        <v>41909</v>
      </c>
      <c r="T77" s="46" t="s">
        <v>2083</v>
      </c>
      <c r="U77" s="26">
        <v>41918</v>
      </c>
      <c r="V77" s="63" t="s">
        <v>1465</v>
      </c>
      <c r="W77" s="67" t="s">
        <v>1442</v>
      </c>
      <c r="X77" s="37"/>
      <c r="Y77" s="37"/>
      <c r="Z77" s="38"/>
      <c r="AA77" s="39"/>
      <c r="AB77" s="40"/>
      <c r="AC77" s="41"/>
      <c r="AD77" s="40"/>
      <c r="AE77" s="40"/>
      <c r="AF77" s="40"/>
      <c r="AG77" s="40"/>
      <c r="AH77" s="41"/>
      <c r="AI77" s="40"/>
      <c r="AJ77" s="42"/>
    </row>
    <row r="78" spans="1:36" s="5" customFormat="1" ht="24.95" hidden="1" customHeight="1" x14ac:dyDescent="0.2">
      <c r="A78" s="13"/>
      <c r="B78" s="354"/>
      <c r="C78" s="346"/>
      <c r="D78" s="346"/>
      <c r="E78" s="46">
        <v>0</v>
      </c>
      <c r="F78" s="17" t="s">
        <v>1442</v>
      </c>
      <c r="G78" s="61" t="s">
        <v>1442</v>
      </c>
      <c r="H78" s="62"/>
      <c r="I78" s="62"/>
      <c r="J78" s="74" t="s">
        <v>1442</v>
      </c>
      <c r="K78" s="99" t="s">
        <v>2188</v>
      </c>
      <c r="L78" s="61">
        <v>41960</v>
      </c>
      <c r="M78" s="114" t="s">
        <v>2189</v>
      </c>
      <c r="N78" s="18">
        <v>41961</v>
      </c>
      <c r="O78" s="65" t="s">
        <v>2207</v>
      </c>
      <c r="P78" s="26">
        <v>41972</v>
      </c>
      <c r="Q78" s="52">
        <v>2</v>
      </c>
      <c r="R78" s="203" t="s">
        <v>2192</v>
      </c>
      <c r="S78" s="62">
        <v>41962</v>
      </c>
      <c r="T78" s="46" t="s">
        <v>2209</v>
      </c>
      <c r="U78" s="26">
        <v>41973</v>
      </c>
      <c r="V78" s="63" t="s">
        <v>1465</v>
      </c>
      <c r="W78" s="67" t="s">
        <v>1442</v>
      </c>
      <c r="X78" s="37"/>
      <c r="Y78" s="37"/>
      <c r="Z78" s="38"/>
      <c r="AA78" s="39"/>
      <c r="AB78" s="40"/>
      <c r="AC78" s="41"/>
      <c r="AD78" s="40"/>
      <c r="AE78" s="40"/>
      <c r="AF78" s="40"/>
      <c r="AG78" s="40"/>
      <c r="AH78" s="41"/>
      <c r="AI78" s="40"/>
      <c r="AJ78" s="42"/>
    </row>
    <row r="79" spans="1:36" s="5" customFormat="1" ht="24.95" hidden="1" customHeight="1" x14ac:dyDescent="0.2">
      <c r="A79" s="13">
        <f>A77+1</f>
        <v>35</v>
      </c>
      <c r="B79" s="25" t="s">
        <v>56</v>
      </c>
      <c r="C79" s="15" t="s">
        <v>167</v>
      </c>
      <c r="D79" s="15" t="s">
        <v>284</v>
      </c>
      <c r="E79" s="46" t="s">
        <v>1432</v>
      </c>
      <c r="F79" s="17">
        <v>2</v>
      </c>
      <c r="G79" s="61">
        <v>41855</v>
      </c>
      <c r="H79" s="62"/>
      <c r="I79" s="62"/>
      <c r="J79" s="74">
        <v>-51</v>
      </c>
      <c r="K79" s="99" t="s">
        <v>1923</v>
      </c>
      <c r="L79" s="61">
        <v>41906</v>
      </c>
      <c r="M79" s="114" t="s">
        <v>1924</v>
      </c>
      <c r="N79" s="18">
        <v>41909</v>
      </c>
      <c r="O79" s="65" t="s">
        <v>2167</v>
      </c>
      <c r="P79" s="26">
        <v>41959</v>
      </c>
      <c r="Q79" s="63" t="s">
        <v>1465</v>
      </c>
      <c r="R79" s="15" t="s">
        <v>1981</v>
      </c>
      <c r="S79" s="62">
        <v>41913</v>
      </c>
      <c r="T79" s="46" t="s">
        <v>2086</v>
      </c>
      <c r="U79" s="26">
        <v>41918</v>
      </c>
      <c r="V79" s="63" t="s">
        <v>1465</v>
      </c>
      <c r="W79" s="67" t="s">
        <v>1442</v>
      </c>
      <c r="X79" s="37"/>
      <c r="Y79" s="37"/>
      <c r="Z79" s="38"/>
      <c r="AA79" s="39"/>
      <c r="AB79" s="40"/>
      <c r="AC79" s="41"/>
      <c r="AD79" s="40"/>
      <c r="AE79" s="40"/>
      <c r="AF79" s="40"/>
      <c r="AG79" s="40"/>
      <c r="AH79" s="41"/>
      <c r="AI79" s="40"/>
      <c r="AJ79" s="42"/>
    </row>
    <row r="80" spans="1:36" s="5" customFormat="1" ht="24.95" hidden="1" customHeight="1" x14ac:dyDescent="0.2">
      <c r="A80" s="13">
        <f>A79+1</f>
        <v>36</v>
      </c>
      <c r="B80" s="353" t="s">
        <v>57</v>
      </c>
      <c r="C80" s="345" t="s">
        <v>168</v>
      </c>
      <c r="D80" s="345" t="s">
        <v>285</v>
      </c>
      <c r="E80" s="46" t="s">
        <v>1432</v>
      </c>
      <c r="F80" s="17">
        <v>2</v>
      </c>
      <c r="G80" s="61">
        <v>41858</v>
      </c>
      <c r="H80" s="62"/>
      <c r="I80" s="62"/>
      <c r="J80" s="74">
        <v>-45</v>
      </c>
      <c r="K80" s="99" t="s">
        <v>1883</v>
      </c>
      <c r="L80" s="99">
        <v>41903</v>
      </c>
      <c r="M80" s="114" t="s">
        <v>1886</v>
      </c>
      <c r="N80" s="104">
        <v>41904</v>
      </c>
      <c r="O80" s="65" t="s">
        <v>1974</v>
      </c>
      <c r="P80" s="26">
        <v>41912</v>
      </c>
      <c r="Q80" s="52">
        <v>2</v>
      </c>
      <c r="R80" s="15" t="s">
        <v>1911</v>
      </c>
      <c r="S80" s="62">
        <v>41906</v>
      </c>
      <c r="T80" s="46" t="s">
        <v>1951</v>
      </c>
      <c r="U80" s="26">
        <v>41910</v>
      </c>
      <c r="V80" s="63" t="s">
        <v>1465</v>
      </c>
      <c r="W80" s="67" t="s">
        <v>1442</v>
      </c>
      <c r="X80" s="37"/>
      <c r="Y80" s="37"/>
      <c r="Z80" s="38"/>
      <c r="AA80" s="39"/>
      <c r="AB80" s="40"/>
      <c r="AC80" s="41"/>
      <c r="AD80" s="40"/>
      <c r="AE80" s="40"/>
      <c r="AF80" s="40"/>
      <c r="AG80" s="40"/>
      <c r="AH80" s="41"/>
      <c r="AI80" s="40"/>
      <c r="AJ80" s="42"/>
    </row>
    <row r="81" spans="1:36" s="5" customFormat="1" ht="24.95" hidden="1" customHeight="1" x14ac:dyDescent="0.2">
      <c r="A81" s="13"/>
      <c r="B81" s="354"/>
      <c r="C81" s="346"/>
      <c r="D81" s="346"/>
      <c r="E81" s="46">
        <v>0</v>
      </c>
      <c r="F81" s="17"/>
      <c r="G81" s="61"/>
      <c r="H81" s="62"/>
      <c r="I81" s="62"/>
      <c r="J81" s="74"/>
      <c r="K81" s="99" t="s">
        <v>1986</v>
      </c>
      <c r="L81" s="99">
        <v>41914</v>
      </c>
      <c r="M81" s="114" t="s">
        <v>1987</v>
      </c>
      <c r="N81" s="104">
        <v>41919</v>
      </c>
      <c r="O81" s="65" t="s">
        <v>2057</v>
      </c>
      <c r="P81" s="26">
        <v>41925</v>
      </c>
      <c r="Q81" s="63" t="s">
        <v>1465</v>
      </c>
      <c r="R81" s="186" t="s">
        <v>2020</v>
      </c>
      <c r="S81" s="62">
        <v>41920</v>
      </c>
      <c r="T81" s="46" t="s">
        <v>2089</v>
      </c>
      <c r="U81" s="26">
        <v>41927</v>
      </c>
      <c r="V81" s="63" t="s">
        <v>1465</v>
      </c>
      <c r="W81" s="67" t="s">
        <v>1442</v>
      </c>
      <c r="X81" s="37"/>
      <c r="Y81" s="37"/>
      <c r="Z81" s="38"/>
      <c r="AA81" s="39"/>
      <c r="AB81" s="40"/>
      <c r="AC81" s="41"/>
      <c r="AD81" s="40"/>
      <c r="AE81" s="40"/>
      <c r="AF81" s="40"/>
      <c r="AG81" s="40"/>
      <c r="AH81" s="41"/>
      <c r="AI81" s="40"/>
      <c r="AJ81" s="42"/>
    </row>
    <row r="82" spans="1:36" s="5" customFormat="1" ht="24.95" hidden="1" customHeight="1" x14ac:dyDescent="0.2">
      <c r="A82" s="13">
        <f>A80+1</f>
        <v>37</v>
      </c>
      <c r="B82" s="353" t="s">
        <v>58</v>
      </c>
      <c r="C82" s="345" t="s">
        <v>169</v>
      </c>
      <c r="D82" s="345" t="s">
        <v>286</v>
      </c>
      <c r="E82" s="46" t="s">
        <v>1432</v>
      </c>
      <c r="F82" s="17">
        <v>2</v>
      </c>
      <c r="G82" s="61">
        <v>41861</v>
      </c>
      <c r="H82" s="62"/>
      <c r="I82" s="62"/>
      <c r="J82" s="74">
        <v>-42</v>
      </c>
      <c r="K82" s="99" t="s">
        <v>1883</v>
      </c>
      <c r="L82" s="99">
        <v>41903</v>
      </c>
      <c r="M82" s="114" t="s">
        <v>1887</v>
      </c>
      <c r="N82" s="104">
        <v>41904</v>
      </c>
      <c r="O82" s="65" t="s">
        <v>1973</v>
      </c>
      <c r="P82" s="26">
        <v>41912</v>
      </c>
      <c r="Q82" s="52">
        <v>2</v>
      </c>
      <c r="R82" s="15" t="s">
        <v>1912</v>
      </c>
      <c r="S82" s="62">
        <v>41906</v>
      </c>
      <c r="T82" s="46" t="s">
        <v>1952</v>
      </c>
      <c r="U82" s="26">
        <v>41910</v>
      </c>
      <c r="V82" s="63" t="s">
        <v>1465</v>
      </c>
      <c r="W82" s="67" t="s">
        <v>1442</v>
      </c>
      <c r="X82" s="37"/>
      <c r="Y82" s="37"/>
      <c r="Z82" s="38"/>
      <c r="AA82" s="39"/>
      <c r="AB82" s="40"/>
      <c r="AC82" s="41"/>
      <c r="AD82" s="40"/>
      <c r="AE82" s="40"/>
      <c r="AF82" s="40"/>
      <c r="AG82" s="40"/>
      <c r="AH82" s="41"/>
      <c r="AI82" s="40"/>
      <c r="AJ82" s="42"/>
    </row>
    <row r="83" spans="1:36" s="5" customFormat="1" ht="24.95" hidden="1" customHeight="1" x14ac:dyDescent="0.2">
      <c r="A83" s="13"/>
      <c r="B83" s="354"/>
      <c r="C83" s="346"/>
      <c r="D83" s="346"/>
      <c r="E83" s="46">
        <v>0</v>
      </c>
      <c r="F83" s="17"/>
      <c r="G83" s="61"/>
      <c r="H83" s="62"/>
      <c r="I83" s="62"/>
      <c r="J83" s="74"/>
      <c r="K83" s="99" t="s">
        <v>1986</v>
      </c>
      <c r="L83" s="99">
        <v>41914</v>
      </c>
      <c r="M83" s="114" t="s">
        <v>1987</v>
      </c>
      <c r="N83" s="104">
        <v>41919</v>
      </c>
      <c r="O83" s="65" t="s">
        <v>2057</v>
      </c>
      <c r="P83" s="26">
        <v>41925</v>
      </c>
      <c r="Q83" s="63" t="s">
        <v>1465</v>
      </c>
      <c r="R83" s="186" t="s">
        <v>2020</v>
      </c>
      <c r="S83" s="62">
        <v>41920</v>
      </c>
      <c r="T83" s="46" t="s">
        <v>2090</v>
      </c>
      <c r="U83" s="26">
        <v>41927</v>
      </c>
      <c r="V83" s="63" t="s">
        <v>1465</v>
      </c>
      <c r="W83" s="67" t="s">
        <v>1442</v>
      </c>
      <c r="X83" s="37"/>
      <c r="Y83" s="37"/>
      <c r="Z83" s="38"/>
      <c r="AA83" s="39"/>
      <c r="AB83" s="40"/>
      <c r="AC83" s="41"/>
      <c r="AD83" s="40"/>
      <c r="AE83" s="40"/>
      <c r="AF83" s="40"/>
      <c r="AG83" s="40"/>
      <c r="AH83" s="41"/>
      <c r="AI83" s="40"/>
      <c r="AJ83" s="42"/>
    </row>
    <row r="84" spans="1:36" s="5" customFormat="1" ht="24.95" hidden="1" customHeight="1" x14ac:dyDescent="0.2">
      <c r="A84" s="13">
        <f>A82+1</f>
        <v>38</v>
      </c>
      <c r="B84" s="353" t="s">
        <v>59</v>
      </c>
      <c r="C84" s="345" t="s">
        <v>170</v>
      </c>
      <c r="D84" s="345" t="s">
        <v>287</v>
      </c>
      <c r="E84" s="46" t="s">
        <v>1432</v>
      </c>
      <c r="F84" s="17">
        <v>2</v>
      </c>
      <c r="G84" s="61">
        <v>41864</v>
      </c>
      <c r="H84" s="62"/>
      <c r="I84" s="62"/>
      <c r="J84" s="74">
        <v>-39</v>
      </c>
      <c r="K84" s="99" t="s">
        <v>1883</v>
      </c>
      <c r="L84" s="99">
        <v>41903</v>
      </c>
      <c r="M84" s="114" t="s">
        <v>1888</v>
      </c>
      <c r="N84" s="104">
        <v>41904</v>
      </c>
      <c r="O84" s="65" t="s">
        <v>1975</v>
      </c>
      <c r="P84" s="26">
        <v>41912</v>
      </c>
      <c r="Q84" s="52">
        <v>2</v>
      </c>
      <c r="R84" s="15" t="s">
        <v>1913</v>
      </c>
      <c r="S84" s="62">
        <v>41906</v>
      </c>
      <c r="T84" s="46" t="s">
        <v>1936</v>
      </c>
      <c r="U84" s="26">
        <v>41907</v>
      </c>
      <c r="V84" s="63" t="s">
        <v>1465</v>
      </c>
      <c r="W84" s="67" t="s">
        <v>1442</v>
      </c>
      <c r="X84" s="37"/>
      <c r="Y84" s="37"/>
      <c r="Z84" s="38"/>
      <c r="AA84" s="39"/>
      <c r="AB84" s="40"/>
      <c r="AC84" s="41"/>
      <c r="AD84" s="40"/>
      <c r="AE84" s="40"/>
      <c r="AF84" s="40"/>
      <c r="AG84" s="40"/>
      <c r="AH84" s="41"/>
      <c r="AI84" s="40"/>
      <c r="AJ84" s="42"/>
    </row>
    <row r="85" spans="1:36" s="5" customFormat="1" ht="24.95" hidden="1" customHeight="1" x14ac:dyDescent="0.2">
      <c r="A85" s="13"/>
      <c r="B85" s="354"/>
      <c r="C85" s="346"/>
      <c r="D85" s="346"/>
      <c r="E85" s="46">
        <v>0</v>
      </c>
      <c r="F85" s="17"/>
      <c r="G85" s="61"/>
      <c r="H85" s="62"/>
      <c r="I85" s="62"/>
      <c r="J85" s="74"/>
      <c r="K85" s="99" t="s">
        <v>1986</v>
      </c>
      <c r="L85" s="99">
        <v>41914</v>
      </c>
      <c r="M85" s="114" t="s">
        <v>1987</v>
      </c>
      <c r="N85" s="104">
        <v>41919</v>
      </c>
      <c r="O85" s="65" t="s">
        <v>2057</v>
      </c>
      <c r="P85" s="26">
        <v>41925</v>
      </c>
      <c r="Q85" s="63" t="s">
        <v>1465</v>
      </c>
      <c r="R85" s="186" t="s">
        <v>2020</v>
      </c>
      <c r="S85" s="62">
        <v>41920</v>
      </c>
      <c r="T85" s="46" t="s">
        <v>2091</v>
      </c>
      <c r="U85" s="26">
        <v>41927</v>
      </c>
      <c r="V85" s="63" t="s">
        <v>1465</v>
      </c>
      <c r="W85" s="67" t="s">
        <v>1442</v>
      </c>
      <c r="X85" s="37"/>
      <c r="Y85" s="37"/>
      <c r="Z85" s="38"/>
      <c r="AA85" s="39"/>
      <c r="AB85" s="40"/>
      <c r="AC85" s="41"/>
      <c r="AD85" s="40"/>
      <c r="AE85" s="40"/>
      <c r="AF85" s="40"/>
      <c r="AG85" s="40"/>
      <c r="AH85" s="41"/>
      <c r="AI85" s="40"/>
      <c r="AJ85" s="42"/>
    </row>
    <row r="86" spans="1:36" s="5" customFormat="1" ht="24.95" hidden="1" customHeight="1" x14ac:dyDescent="0.2">
      <c r="A86" s="13">
        <f>A84+1</f>
        <v>39</v>
      </c>
      <c r="B86" s="353" t="s">
        <v>60</v>
      </c>
      <c r="C86" s="345" t="s">
        <v>171</v>
      </c>
      <c r="D86" s="345" t="s">
        <v>288</v>
      </c>
      <c r="E86" s="46" t="s">
        <v>1432</v>
      </c>
      <c r="F86" s="17">
        <v>2</v>
      </c>
      <c r="G86" s="61">
        <v>41863</v>
      </c>
      <c r="H86" s="62"/>
      <c r="I86" s="62"/>
      <c r="J86" s="74">
        <v>-40</v>
      </c>
      <c r="K86" s="99" t="s">
        <v>1893</v>
      </c>
      <c r="L86" s="61">
        <v>41903</v>
      </c>
      <c r="M86" s="114" t="s">
        <v>1894</v>
      </c>
      <c r="N86" s="18">
        <v>41904</v>
      </c>
      <c r="O86" s="65" t="s">
        <v>1984</v>
      </c>
      <c r="P86" s="26">
        <v>41913</v>
      </c>
      <c r="Q86" s="52">
        <v>2</v>
      </c>
      <c r="R86" s="200" t="s">
        <v>2016</v>
      </c>
      <c r="S86" s="200" t="s">
        <v>2016</v>
      </c>
      <c r="T86" s="8"/>
      <c r="U86" s="9"/>
      <c r="V86" s="48"/>
      <c r="W86" s="67" t="s">
        <v>1552</v>
      </c>
      <c r="X86" s="37"/>
      <c r="Y86" s="37"/>
      <c r="Z86" s="38"/>
      <c r="AA86" s="39"/>
      <c r="AB86" s="40"/>
      <c r="AC86" s="41"/>
      <c r="AD86" s="40"/>
      <c r="AE86" s="40"/>
      <c r="AF86" s="40"/>
      <c r="AG86" s="40"/>
      <c r="AH86" s="41"/>
      <c r="AI86" s="40"/>
      <c r="AJ86" s="42"/>
    </row>
    <row r="87" spans="1:36" s="5" customFormat="1" ht="24.95" hidden="1" customHeight="1" x14ac:dyDescent="0.2">
      <c r="A87" s="13"/>
      <c r="B87" s="354"/>
      <c r="C87" s="346"/>
      <c r="D87" s="346"/>
      <c r="E87" s="46">
        <v>0</v>
      </c>
      <c r="F87" s="17" t="s">
        <v>1442</v>
      </c>
      <c r="G87" s="61" t="s">
        <v>1442</v>
      </c>
      <c r="H87" s="62"/>
      <c r="I87" s="62"/>
      <c r="J87" s="74" t="s">
        <v>1442</v>
      </c>
      <c r="K87" s="99" t="s">
        <v>2002</v>
      </c>
      <c r="L87" s="61" t="s">
        <v>1442</v>
      </c>
      <c r="M87" s="114" t="s">
        <v>2011</v>
      </c>
      <c r="N87" s="104">
        <v>41926</v>
      </c>
      <c r="O87" s="65" t="s">
        <v>2067</v>
      </c>
      <c r="P87" s="26">
        <v>41933</v>
      </c>
      <c r="Q87" s="63" t="s">
        <v>1465</v>
      </c>
      <c r="R87" s="187" t="s">
        <v>2031</v>
      </c>
      <c r="S87" s="62">
        <v>41928</v>
      </c>
      <c r="T87" s="46" t="s">
        <v>2095</v>
      </c>
      <c r="U87" s="26">
        <v>41932</v>
      </c>
      <c r="V87" s="63" t="s">
        <v>1465</v>
      </c>
      <c r="W87" s="67" t="s">
        <v>1442</v>
      </c>
      <c r="X87" s="37"/>
      <c r="Y87" s="37"/>
      <c r="Z87" s="38"/>
      <c r="AA87" s="39"/>
      <c r="AB87" s="40"/>
      <c r="AC87" s="41"/>
      <c r="AD87" s="40"/>
      <c r="AE87" s="40"/>
      <c r="AF87" s="40"/>
      <c r="AG87" s="40"/>
      <c r="AH87" s="41"/>
      <c r="AI87" s="40"/>
      <c r="AJ87" s="42"/>
    </row>
    <row r="88" spans="1:36" s="5" customFormat="1" ht="24.95" hidden="1" customHeight="1" x14ac:dyDescent="0.2">
      <c r="A88" s="13">
        <f>A86+1</f>
        <v>40</v>
      </c>
      <c r="B88" s="353" t="s">
        <v>61</v>
      </c>
      <c r="C88" s="345" t="s">
        <v>172</v>
      </c>
      <c r="D88" s="345" t="s">
        <v>289</v>
      </c>
      <c r="E88" s="46" t="s">
        <v>1432</v>
      </c>
      <c r="F88" s="17">
        <v>2</v>
      </c>
      <c r="G88" s="61">
        <v>41867</v>
      </c>
      <c r="H88" s="62"/>
      <c r="I88" s="62"/>
      <c r="J88" s="74">
        <v>-36</v>
      </c>
      <c r="K88" s="99" t="s">
        <v>1893</v>
      </c>
      <c r="L88" s="61">
        <v>41903</v>
      </c>
      <c r="M88" s="114" t="s">
        <v>1894</v>
      </c>
      <c r="N88" s="18">
        <v>41904</v>
      </c>
      <c r="O88" s="65" t="s">
        <v>1984</v>
      </c>
      <c r="P88" s="26">
        <v>41913</v>
      </c>
      <c r="Q88" s="52">
        <v>2</v>
      </c>
      <c r="R88" s="200" t="s">
        <v>2016</v>
      </c>
      <c r="S88" s="200" t="s">
        <v>2016</v>
      </c>
      <c r="T88" s="8"/>
      <c r="U88" s="9"/>
      <c r="V88" s="48"/>
      <c r="W88" s="67" t="s">
        <v>1552</v>
      </c>
      <c r="X88" s="37"/>
      <c r="Y88" s="37"/>
      <c r="Z88" s="38"/>
      <c r="AA88" s="39"/>
      <c r="AB88" s="40"/>
      <c r="AC88" s="41"/>
      <c r="AD88" s="40"/>
      <c r="AE88" s="40"/>
      <c r="AF88" s="40"/>
      <c r="AG88" s="40"/>
      <c r="AH88" s="41"/>
      <c r="AI88" s="40"/>
      <c r="AJ88" s="42"/>
    </row>
    <row r="89" spans="1:36" s="5" customFormat="1" ht="24.95" hidden="1" customHeight="1" x14ac:dyDescent="0.2">
      <c r="A89" s="13"/>
      <c r="B89" s="354"/>
      <c r="C89" s="346"/>
      <c r="D89" s="346"/>
      <c r="E89" s="46">
        <v>0</v>
      </c>
      <c r="F89" s="17" t="s">
        <v>1442</v>
      </c>
      <c r="G89" s="61" t="s">
        <v>1442</v>
      </c>
      <c r="H89" s="62"/>
      <c r="I89" s="62"/>
      <c r="J89" s="74" t="s">
        <v>1442</v>
      </c>
      <c r="K89" s="99" t="s">
        <v>2002</v>
      </c>
      <c r="L89" s="61" t="s">
        <v>1442</v>
      </c>
      <c r="M89" s="114" t="s">
        <v>2012</v>
      </c>
      <c r="N89" s="104">
        <v>41926</v>
      </c>
      <c r="O89" s="65" t="s">
        <v>2069</v>
      </c>
      <c r="P89" s="26">
        <v>41933</v>
      </c>
      <c r="Q89" s="63" t="s">
        <v>1465</v>
      </c>
      <c r="R89" s="187" t="s">
        <v>2032</v>
      </c>
      <c r="S89" s="62">
        <v>41928</v>
      </c>
      <c r="T89" s="46" t="s">
        <v>2096</v>
      </c>
      <c r="U89" s="26">
        <v>41932</v>
      </c>
      <c r="V89" s="63" t="s">
        <v>1465</v>
      </c>
      <c r="W89" s="67" t="s">
        <v>1442</v>
      </c>
      <c r="X89" s="37"/>
      <c r="Y89" s="37"/>
      <c r="Z89" s="38"/>
      <c r="AA89" s="39"/>
      <c r="AB89" s="40"/>
      <c r="AC89" s="41"/>
      <c r="AD89" s="40"/>
      <c r="AE89" s="40"/>
      <c r="AF89" s="40"/>
      <c r="AG89" s="40"/>
      <c r="AH89" s="41"/>
      <c r="AI89" s="40"/>
      <c r="AJ89" s="42"/>
    </row>
    <row r="90" spans="1:36" s="5" customFormat="1" ht="24.95" hidden="1" customHeight="1" x14ac:dyDescent="0.2">
      <c r="A90" s="13">
        <f>A88+1</f>
        <v>41</v>
      </c>
      <c r="B90" s="353" t="s">
        <v>62</v>
      </c>
      <c r="C90" s="345" t="s">
        <v>173</v>
      </c>
      <c r="D90" s="345" t="s">
        <v>290</v>
      </c>
      <c r="E90" s="46" t="s">
        <v>1432</v>
      </c>
      <c r="F90" s="17">
        <v>2</v>
      </c>
      <c r="G90" s="61">
        <v>41871</v>
      </c>
      <c r="H90" s="62"/>
      <c r="I90" s="62"/>
      <c r="J90" s="74">
        <v>-35</v>
      </c>
      <c r="K90" s="99" t="s">
        <v>1908</v>
      </c>
      <c r="L90" s="61">
        <v>41906</v>
      </c>
      <c r="M90" s="114" t="s">
        <v>1918</v>
      </c>
      <c r="N90" s="18">
        <v>41907</v>
      </c>
      <c r="O90" s="65" t="s">
        <v>2048</v>
      </c>
      <c r="P90" s="26">
        <v>41918</v>
      </c>
      <c r="Q90" s="52">
        <v>2</v>
      </c>
      <c r="R90" s="15" t="s">
        <v>1946</v>
      </c>
      <c r="S90" s="62">
        <v>41909</v>
      </c>
      <c r="T90" s="46" t="s">
        <v>2084</v>
      </c>
      <c r="U90" s="26">
        <v>41918</v>
      </c>
      <c r="V90" s="63" t="s">
        <v>1465</v>
      </c>
      <c r="W90" s="67" t="s">
        <v>1442</v>
      </c>
      <c r="X90" s="37"/>
      <c r="Y90" s="37"/>
      <c r="Z90" s="38"/>
      <c r="AA90" s="39"/>
      <c r="AB90" s="40"/>
      <c r="AC90" s="41"/>
      <c r="AD90" s="40"/>
      <c r="AE90" s="40"/>
      <c r="AF90" s="40"/>
      <c r="AG90" s="40"/>
      <c r="AH90" s="41"/>
      <c r="AI90" s="40"/>
      <c r="AJ90" s="42"/>
    </row>
    <row r="91" spans="1:36" s="5" customFormat="1" ht="24.95" hidden="1" customHeight="1" x14ac:dyDescent="0.2">
      <c r="A91" s="13"/>
      <c r="B91" s="354"/>
      <c r="C91" s="346"/>
      <c r="D91" s="346"/>
      <c r="E91" s="46">
        <v>0</v>
      </c>
      <c r="F91" s="17" t="s">
        <v>1442</v>
      </c>
      <c r="G91" s="61" t="s">
        <v>1442</v>
      </c>
      <c r="H91" s="62"/>
      <c r="I91" s="62"/>
      <c r="J91" s="74" t="s">
        <v>1442</v>
      </c>
      <c r="K91" s="99" t="s">
        <v>2002</v>
      </c>
      <c r="L91" s="61" t="s">
        <v>1442</v>
      </c>
      <c r="M91" s="114" t="s">
        <v>2012</v>
      </c>
      <c r="N91" s="104">
        <v>41926</v>
      </c>
      <c r="O91" s="65" t="s">
        <v>2069</v>
      </c>
      <c r="P91" s="26">
        <v>41933</v>
      </c>
      <c r="Q91" s="63" t="s">
        <v>1465</v>
      </c>
      <c r="R91" s="187" t="s">
        <v>2032</v>
      </c>
      <c r="S91" s="62">
        <v>41928</v>
      </c>
      <c r="T91" s="46" t="s">
        <v>2094</v>
      </c>
      <c r="U91" s="26">
        <v>41928</v>
      </c>
      <c r="V91" s="63" t="s">
        <v>1465</v>
      </c>
      <c r="W91" s="67" t="s">
        <v>1442</v>
      </c>
      <c r="X91" s="37"/>
      <c r="Y91" s="37"/>
      <c r="Z91" s="38"/>
      <c r="AA91" s="39"/>
      <c r="AB91" s="40"/>
      <c r="AC91" s="41"/>
      <c r="AD91" s="40"/>
      <c r="AE91" s="40"/>
      <c r="AF91" s="40"/>
      <c r="AG91" s="40"/>
      <c r="AH91" s="41"/>
      <c r="AI91" s="40"/>
      <c r="AJ91" s="42"/>
    </row>
    <row r="92" spans="1:36" s="5" customFormat="1" ht="24.95" hidden="1" customHeight="1" x14ac:dyDescent="0.2">
      <c r="A92" s="13">
        <f>A90+1</f>
        <v>42</v>
      </c>
      <c r="B92" s="353" t="s">
        <v>63</v>
      </c>
      <c r="C92" s="345" t="s">
        <v>174</v>
      </c>
      <c r="D92" s="345" t="s">
        <v>291</v>
      </c>
      <c r="E92" s="46" t="s">
        <v>1432</v>
      </c>
      <c r="F92" s="17">
        <v>2</v>
      </c>
      <c r="G92" s="61">
        <v>41875</v>
      </c>
      <c r="H92" s="62"/>
      <c r="I92" s="62"/>
      <c r="J92" s="74">
        <v>-31</v>
      </c>
      <c r="K92" s="99" t="s">
        <v>1908</v>
      </c>
      <c r="L92" s="61">
        <v>41906</v>
      </c>
      <c r="M92" s="114" t="s">
        <v>1918</v>
      </c>
      <c r="N92" s="18">
        <v>41907</v>
      </c>
      <c r="O92" s="65" t="s">
        <v>2048</v>
      </c>
      <c r="P92" s="26">
        <v>41918</v>
      </c>
      <c r="Q92" s="52">
        <v>2</v>
      </c>
      <c r="R92" s="15" t="s">
        <v>1946</v>
      </c>
      <c r="S92" s="62">
        <v>41909</v>
      </c>
      <c r="T92" s="46" t="s">
        <v>2085</v>
      </c>
      <c r="U92" s="26">
        <v>41918</v>
      </c>
      <c r="V92" s="63" t="s">
        <v>1465</v>
      </c>
      <c r="W92" s="67" t="s">
        <v>1442</v>
      </c>
      <c r="X92" s="37"/>
      <c r="Y92" s="37"/>
      <c r="Z92" s="38"/>
      <c r="AA92" s="39"/>
      <c r="AB92" s="40"/>
      <c r="AC92" s="41"/>
      <c r="AD92" s="40"/>
      <c r="AE92" s="40"/>
      <c r="AF92" s="40"/>
      <c r="AG92" s="40"/>
      <c r="AH92" s="41"/>
      <c r="AI92" s="40"/>
      <c r="AJ92" s="42"/>
    </row>
    <row r="93" spans="1:36" s="5" customFormat="1" ht="12.75" hidden="1" customHeight="1" x14ac:dyDescent="0.2">
      <c r="A93" s="13"/>
      <c r="B93" s="354"/>
      <c r="C93" s="346"/>
      <c r="D93" s="346"/>
      <c r="E93" s="46">
        <v>0</v>
      </c>
      <c r="F93" s="17" t="s">
        <v>1442</v>
      </c>
      <c r="G93" s="61" t="s">
        <v>1442</v>
      </c>
      <c r="H93" s="62"/>
      <c r="I93" s="62"/>
      <c r="J93" s="74" t="s">
        <v>1442</v>
      </c>
      <c r="K93" s="99" t="s">
        <v>2002</v>
      </c>
      <c r="L93" s="61" t="s">
        <v>1442</v>
      </c>
      <c r="M93" s="114" t="s">
        <v>2011</v>
      </c>
      <c r="N93" s="104">
        <v>41926</v>
      </c>
      <c r="O93" s="65" t="s">
        <v>2067</v>
      </c>
      <c r="P93" s="26">
        <v>41933</v>
      </c>
      <c r="Q93" s="63" t="s">
        <v>1465</v>
      </c>
      <c r="R93" s="187" t="s">
        <v>2031</v>
      </c>
      <c r="S93" s="62">
        <v>41928</v>
      </c>
      <c r="T93" s="46" t="s">
        <v>2093</v>
      </c>
      <c r="U93" s="26">
        <v>41928</v>
      </c>
      <c r="V93" s="63" t="s">
        <v>1465</v>
      </c>
      <c r="W93" s="67" t="s">
        <v>1442</v>
      </c>
      <c r="X93" s="37"/>
      <c r="Y93" s="37"/>
      <c r="Z93" s="38"/>
      <c r="AA93" s="39"/>
      <c r="AB93" s="40"/>
      <c r="AC93" s="41"/>
      <c r="AD93" s="40"/>
      <c r="AE93" s="40"/>
      <c r="AF93" s="40"/>
      <c r="AG93" s="40"/>
      <c r="AH93" s="41"/>
      <c r="AI93" s="40"/>
      <c r="AJ93" s="42"/>
    </row>
    <row r="94" spans="1:36" s="5" customFormat="1" ht="24.95" customHeight="1" x14ac:dyDescent="0.2">
      <c r="A94" s="13">
        <f>A92+1</f>
        <v>43</v>
      </c>
      <c r="B94" s="356" t="s">
        <v>64</v>
      </c>
      <c r="C94" s="345" t="s">
        <v>175</v>
      </c>
      <c r="D94" s="345" t="s">
        <v>292</v>
      </c>
      <c r="E94" s="46" t="s">
        <v>1432</v>
      </c>
      <c r="F94" s="17">
        <v>2</v>
      </c>
      <c r="G94" s="18">
        <v>42232</v>
      </c>
      <c r="H94" s="175"/>
      <c r="I94" s="225">
        <v>42178</v>
      </c>
      <c r="J94" s="74">
        <v>-9</v>
      </c>
      <c r="K94" s="61" t="s">
        <v>2710</v>
      </c>
      <c r="L94" s="61">
        <v>42241</v>
      </c>
      <c r="M94" s="17" t="s">
        <v>2711</v>
      </c>
      <c r="N94" s="18">
        <v>42242</v>
      </c>
      <c r="O94" s="46" t="s">
        <v>2866</v>
      </c>
      <c r="P94" s="26">
        <v>42255</v>
      </c>
      <c r="Q94" s="52">
        <v>3</v>
      </c>
      <c r="R94" s="17" t="s">
        <v>2716</v>
      </c>
      <c r="S94" s="18">
        <v>42242</v>
      </c>
      <c r="T94" s="46" t="s">
        <v>2833</v>
      </c>
      <c r="U94" s="26">
        <v>42254</v>
      </c>
      <c r="V94" s="52" t="s">
        <v>1369</v>
      </c>
      <c r="W94" s="67" t="s">
        <v>1442</v>
      </c>
      <c r="X94" s="37"/>
      <c r="Y94" s="37"/>
      <c r="Z94" s="38"/>
      <c r="AA94" s="39"/>
      <c r="AB94" s="40"/>
      <c r="AC94" s="41"/>
      <c r="AD94" s="40"/>
      <c r="AE94" s="40"/>
      <c r="AF94" s="40"/>
      <c r="AG94" s="40"/>
      <c r="AH94" s="41"/>
      <c r="AI94" s="40"/>
      <c r="AJ94" s="42"/>
    </row>
    <row r="95" spans="1:36" s="5" customFormat="1" ht="24.95" customHeight="1" x14ac:dyDescent="0.2">
      <c r="A95" s="13"/>
      <c r="B95" s="357"/>
      <c r="C95" s="355"/>
      <c r="D95" s="355"/>
      <c r="E95" s="46">
        <v>0</v>
      </c>
      <c r="F95" s="17">
        <v>1</v>
      </c>
      <c r="G95" s="18"/>
      <c r="H95" s="175"/>
      <c r="I95" s="225"/>
      <c r="J95" s="74" t="s">
        <v>1442</v>
      </c>
      <c r="K95" s="61" t="s">
        <v>2889</v>
      </c>
      <c r="L95" s="61">
        <v>42260</v>
      </c>
      <c r="M95" s="17" t="s">
        <v>2890</v>
      </c>
      <c r="N95" s="18">
        <v>42262</v>
      </c>
      <c r="O95" s="46" t="s">
        <v>3013</v>
      </c>
      <c r="P95" s="26">
        <v>42267</v>
      </c>
      <c r="Q95" s="52">
        <v>1</v>
      </c>
      <c r="R95" s="284" t="s">
        <v>3009</v>
      </c>
      <c r="S95" s="18">
        <v>42264</v>
      </c>
      <c r="T95" s="290" t="s">
        <v>3077</v>
      </c>
      <c r="U95" s="26">
        <v>42332</v>
      </c>
      <c r="V95" s="52" t="s">
        <v>1369</v>
      </c>
      <c r="W95" s="67" t="s">
        <v>1442</v>
      </c>
      <c r="X95" s="37"/>
      <c r="Y95" s="37"/>
      <c r="Z95" s="38"/>
      <c r="AA95" s="39"/>
      <c r="AB95" s="40"/>
      <c r="AC95" s="41"/>
      <c r="AD95" s="40"/>
      <c r="AE95" s="40"/>
      <c r="AF95" s="40"/>
      <c r="AG95" s="40"/>
      <c r="AH95" s="41"/>
      <c r="AI95" s="40"/>
      <c r="AJ95" s="42"/>
    </row>
    <row r="96" spans="1:36" s="5" customFormat="1" ht="24.95" customHeight="1" x14ac:dyDescent="0.2">
      <c r="A96" s="13"/>
      <c r="B96" s="357"/>
      <c r="C96" s="355"/>
      <c r="D96" s="355"/>
      <c r="E96" s="46">
        <v>1</v>
      </c>
      <c r="F96" s="17"/>
      <c r="G96" s="18"/>
      <c r="H96" s="175"/>
      <c r="I96" s="225"/>
      <c r="J96" s="74"/>
      <c r="K96" s="61" t="s">
        <v>3225</v>
      </c>
      <c r="L96" s="61">
        <v>42408</v>
      </c>
      <c r="M96" s="17" t="s">
        <v>3226</v>
      </c>
      <c r="N96" s="104">
        <v>42411</v>
      </c>
      <c r="O96" s="46" t="s">
        <v>3255</v>
      </c>
      <c r="P96" s="26">
        <v>42418</v>
      </c>
      <c r="Q96" s="52">
        <v>2</v>
      </c>
      <c r="R96" s="114" t="s">
        <v>3243</v>
      </c>
      <c r="S96" s="175">
        <v>42046</v>
      </c>
      <c r="T96" s="290" t="s">
        <v>3268</v>
      </c>
      <c r="U96" s="26">
        <v>42422</v>
      </c>
      <c r="V96" s="52" t="s">
        <v>1369</v>
      </c>
      <c r="W96" s="67" t="s">
        <v>1442</v>
      </c>
      <c r="X96" s="37"/>
      <c r="Y96" s="37"/>
      <c r="Z96" s="38"/>
      <c r="AA96" s="39"/>
      <c r="AB96" s="40"/>
      <c r="AC96" s="41"/>
      <c r="AD96" s="40"/>
      <c r="AE96" s="40"/>
      <c r="AF96" s="40"/>
      <c r="AG96" s="40"/>
      <c r="AH96" s="41"/>
      <c r="AI96" s="40"/>
      <c r="AJ96" s="42"/>
    </row>
    <row r="97" spans="1:36" s="5" customFormat="1" ht="24.95" customHeight="1" x14ac:dyDescent="0.2">
      <c r="A97" s="13"/>
      <c r="B97" s="358"/>
      <c r="C97" s="346"/>
      <c r="D97" s="346"/>
      <c r="E97" s="46">
        <v>2</v>
      </c>
      <c r="F97" s="17"/>
      <c r="G97" s="18"/>
      <c r="H97" s="175"/>
      <c r="I97" s="225"/>
      <c r="J97" s="74"/>
      <c r="K97" s="61" t="s">
        <v>3275</v>
      </c>
      <c r="L97" s="61">
        <v>42424</v>
      </c>
      <c r="M97" s="17" t="s">
        <v>3276</v>
      </c>
      <c r="N97" s="18">
        <v>42425</v>
      </c>
      <c r="O97" s="290" t="s">
        <v>3289</v>
      </c>
      <c r="P97" s="26">
        <v>42438</v>
      </c>
      <c r="Q97" s="52">
        <v>2</v>
      </c>
      <c r="R97" s="114" t="s">
        <v>3281</v>
      </c>
      <c r="S97" s="175">
        <v>42430</v>
      </c>
      <c r="T97" s="290"/>
      <c r="U97" s="26"/>
      <c r="V97" s="52"/>
      <c r="W97" s="67" t="s">
        <v>3290</v>
      </c>
      <c r="X97" s="37"/>
      <c r="Y97" s="37"/>
      <c r="Z97" s="38"/>
      <c r="AA97" s="39"/>
      <c r="AB97" s="40"/>
      <c r="AC97" s="41"/>
      <c r="AD97" s="40"/>
      <c r="AE97" s="40"/>
      <c r="AF97" s="40"/>
      <c r="AG97" s="40"/>
      <c r="AH97" s="41"/>
      <c r="AI97" s="40"/>
      <c r="AJ97" s="42"/>
    </row>
    <row r="98" spans="1:36" s="5" customFormat="1" ht="24.95" customHeight="1" x14ac:dyDescent="0.2">
      <c r="A98" s="13">
        <f>A94+1</f>
        <v>44</v>
      </c>
      <c r="B98" s="356" t="s">
        <v>65</v>
      </c>
      <c r="C98" s="345" t="s">
        <v>176</v>
      </c>
      <c r="D98" s="345" t="s">
        <v>293</v>
      </c>
      <c r="E98" s="46" t="s">
        <v>1432</v>
      </c>
      <c r="F98" s="17">
        <v>2</v>
      </c>
      <c r="G98" s="18">
        <v>42208</v>
      </c>
      <c r="H98" s="175"/>
      <c r="I98" s="225">
        <v>42199</v>
      </c>
      <c r="J98" s="74">
        <v>-25</v>
      </c>
      <c r="K98" s="61" t="s">
        <v>2644</v>
      </c>
      <c r="L98" s="16">
        <v>42233</v>
      </c>
      <c r="M98" s="17" t="s">
        <v>2645</v>
      </c>
      <c r="N98" s="18">
        <v>42234</v>
      </c>
      <c r="O98" s="46" t="s">
        <v>2705</v>
      </c>
      <c r="P98" s="26">
        <v>42239</v>
      </c>
      <c r="Q98" s="52">
        <v>2</v>
      </c>
      <c r="R98" s="114" t="s">
        <v>2664</v>
      </c>
      <c r="S98" s="18">
        <v>42234</v>
      </c>
      <c r="T98" s="8"/>
      <c r="U98" s="26"/>
      <c r="V98" s="52"/>
      <c r="W98" s="67" t="s">
        <v>3060</v>
      </c>
      <c r="X98" s="37"/>
      <c r="Y98" s="37"/>
      <c r="Z98" s="38"/>
      <c r="AA98" s="39"/>
      <c r="AB98" s="40"/>
      <c r="AC98" s="41"/>
      <c r="AD98" s="40"/>
      <c r="AE98" s="40"/>
      <c r="AF98" s="40"/>
      <c r="AG98" s="40"/>
      <c r="AH98" s="41"/>
      <c r="AI98" s="40"/>
      <c r="AJ98" s="42"/>
    </row>
    <row r="99" spans="1:36" s="5" customFormat="1" ht="24.95" customHeight="1" x14ac:dyDescent="0.2">
      <c r="A99" s="13"/>
      <c r="B99" s="358"/>
      <c r="C99" s="346"/>
      <c r="D99" s="346"/>
      <c r="E99" s="46">
        <v>0</v>
      </c>
      <c r="F99" s="17"/>
      <c r="G99" s="18"/>
      <c r="H99" s="175"/>
      <c r="I99" s="225"/>
      <c r="J99" s="74" t="s">
        <v>1442</v>
      </c>
      <c r="K99" s="61" t="s">
        <v>2706</v>
      </c>
      <c r="L99" s="61">
        <v>42241</v>
      </c>
      <c r="M99" s="17" t="s">
        <v>2707</v>
      </c>
      <c r="N99" s="18">
        <v>42241</v>
      </c>
      <c r="O99" s="46" t="s">
        <v>2771</v>
      </c>
      <c r="P99" s="26">
        <v>42246</v>
      </c>
      <c r="Q99" s="52">
        <v>1</v>
      </c>
      <c r="R99" s="114" t="s">
        <v>2717</v>
      </c>
      <c r="S99" s="18">
        <v>42242</v>
      </c>
      <c r="T99" s="46" t="s">
        <v>2834</v>
      </c>
      <c r="U99" s="26">
        <v>42254</v>
      </c>
      <c r="V99" s="52" t="s">
        <v>1369</v>
      </c>
      <c r="W99" s="67" t="s">
        <v>1442</v>
      </c>
      <c r="X99" s="37"/>
      <c r="Y99" s="37"/>
      <c r="Z99" s="38"/>
      <c r="AA99" s="39"/>
      <c r="AB99" s="40"/>
      <c r="AC99" s="41"/>
      <c r="AD99" s="40"/>
      <c r="AE99" s="40"/>
      <c r="AF99" s="40"/>
      <c r="AG99" s="40"/>
      <c r="AH99" s="41"/>
      <c r="AI99" s="40"/>
      <c r="AJ99" s="42"/>
    </row>
    <row r="100" spans="1:36" s="5" customFormat="1" ht="24.95" customHeight="1" x14ac:dyDescent="0.2">
      <c r="A100" s="13">
        <f>A98+1</f>
        <v>45</v>
      </c>
      <c r="B100" s="356" t="s">
        <v>66</v>
      </c>
      <c r="C100" s="345" t="s">
        <v>177</v>
      </c>
      <c r="D100" s="345" t="s">
        <v>294</v>
      </c>
      <c r="E100" s="46" t="s">
        <v>1432</v>
      </c>
      <c r="F100" s="17">
        <v>2</v>
      </c>
      <c r="G100" s="18">
        <v>42220</v>
      </c>
      <c r="H100" s="175"/>
      <c r="I100" s="225">
        <v>42220</v>
      </c>
      <c r="J100" s="74">
        <v>-5</v>
      </c>
      <c r="K100" s="61" t="s">
        <v>2577</v>
      </c>
      <c r="L100" s="16">
        <v>42225</v>
      </c>
      <c r="M100" s="17" t="s">
        <v>2578</v>
      </c>
      <c r="N100" s="61">
        <v>42228</v>
      </c>
      <c r="O100" s="46" t="s">
        <v>2641</v>
      </c>
      <c r="P100" s="242">
        <v>42232</v>
      </c>
      <c r="Q100" s="243">
        <v>2</v>
      </c>
      <c r="R100" s="17" t="s">
        <v>2579</v>
      </c>
      <c r="S100" s="61">
        <v>42228</v>
      </c>
      <c r="T100" s="46" t="s">
        <v>2621</v>
      </c>
      <c r="U100" s="26">
        <v>42231</v>
      </c>
      <c r="V100" s="52" t="s">
        <v>1369</v>
      </c>
      <c r="W100" s="67" t="s">
        <v>1442</v>
      </c>
      <c r="X100" s="37"/>
      <c r="Y100" s="37"/>
      <c r="Z100" s="38"/>
      <c r="AA100" s="39"/>
      <c r="AB100" s="40"/>
      <c r="AC100" s="41"/>
      <c r="AD100" s="40"/>
      <c r="AE100" s="40"/>
      <c r="AF100" s="40"/>
      <c r="AG100" s="40"/>
      <c r="AH100" s="41"/>
      <c r="AI100" s="40"/>
      <c r="AJ100" s="42"/>
    </row>
    <row r="101" spans="1:36" s="5" customFormat="1" ht="24.95" customHeight="1" x14ac:dyDescent="0.2">
      <c r="A101" s="13"/>
      <c r="B101" s="357"/>
      <c r="C101" s="355"/>
      <c r="D101" s="355"/>
      <c r="E101" s="46">
        <v>0</v>
      </c>
      <c r="F101" s="17" t="s">
        <v>1442</v>
      </c>
      <c r="G101" s="18" t="s">
        <v>1442</v>
      </c>
      <c r="H101" s="175"/>
      <c r="I101" s="225"/>
      <c r="J101" s="74" t="s">
        <v>1442</v>
      </c>
      <c r="K101" s="61" t="s">
        <v>2612</v>
      </c>
      <c r="L101" s="61">
        <v>42229</v>
      </c>
      <c r="M101" s="17" t="s">
        <v>2613</v>
      </c>
      <c r="N101" s="61">
        <v>42232</v>
      </c>
      <c r="O101" s="46" t="s">
        <v>2669</v>
      </c>
      <c r="P101" s="242">
        <v>42234</v>
      </c>
      <c r="Q101" s="243">
        <v>1</v>
      </c>
      <c r="R101" s="17" t="s">
        <v>2638</v>
      </c>
      <c r="S101" s="62">
        <v>42232</v>
      </c>
      <c r="T101" s="46" t="s">
        <v>2835</v>
      </c>
      <c r="U101" s="26">
        <v>42254</v>
      </c>
      <c r="V101" s="52" t="s">
        <v>1369</v>
      </c>
      <c r="W101" s="67" t="s">
        <v>1442</v>
      </c>
      <c r="X101" s="37"/>
      <c r="Y101" s="37"/>
      <c r="Z101" s="38"/>
      <c r="AA101" s="39"/>
      <c r="AB101" s="40"/>
      <c r="AC101" s="41"/>
      <c r="AD101" s="40"/>
      <c r="AE101" s="40"/>
      <c r="AF101" s="40"/>
      <c r="AG101" s="40"/>
      <c r="AH101" s="41"/>
      <c r="AI101" s="40"/>
      <c r="AJ101" s="42"/>
    </row>
    <row r="102" spans="1:36" s="5" customFormat="1" ht="31.5" x14ac:dyDescent="0.2">
      <c r="A102" s="13"/>
      <c r="B102" s="358"/>
      <c r="C102" s="346"/>
      <c r="D102" s="346"/>
      <c r="E102" s="46">
        <v>1</v>
      </c>
      <c r="F102" s="17" t="s">
        <v>1442</v>
      </c>
      <c r="G102" s="18" t="s">
        <v>1442</v>
      </c>
      <c r="H102" s="175"/>
      <c r="I102" s="225"/>
      <c r="J102" s="74" t="s">
        <v>1442</v>
      </c>
      <c r="K102" s="61" t="s">
        <v>2909</v>
      </c>
      <c r="L102" s="61">
        <v>42261</v>
      </c>
      <c r="M102" s="17" t="s">
        <v>2910</v>
      </c>
      <c r="N102" s="18">
        <v>42263</v>
      </c>
      <c r="O102" s="174" t="s">
        <v>3014</v>
      </c>
      <c r="P102" s="242">
        <v>42264</v>
      </c>
      <c r="Q102" s="243">
        <v>1</v>
      </c>
      <c r="R102" s="17" t="s">
        <v>3010</v>
      </c>
      <c r="S102" s="18">
        <v>42264</v>
      </c>
      <c r="T102" s="290" t="s">
        <v>3078</v>
      </c>
      <c r="U102" s="26">
        <v>42332</v>
      </c>
      <c r="V102" s="52" t="s">
        <v>1369</v>
      </c>
      <c r="W102" s="67" t="s">
        <v>1442</v>
      </c>
      <c r="X102" s="37"/>
      <c r="Y102" s="37"/>
      <c r="Z102" s="38"/>
      <c r="AA102" s="39"/>
      <c r="AB102" s="40"/>
      <c r="AC102" s="41"/>
      <c r="AD102" s="40"/>
      <c r="AE102" s="40"/>
      <c r="AF102" s="40"/>
      <c r="AG102" s="40"/>
      <c r="AH102" s="41"/>
      <c r="AI102" s="40"/>
      <c r="AJ102" s="42"/>
    </row>
    <row r="103" spans="1:36" s="5" customFormat="1" ht="24.95" customHeight="1" x14ac:dyDescent="0.2">
      <c r="A103" s="13">
        <f>A100+1</f>
        <v>46</v>
      </c>
      <c r="B103" s="356" t="s">
        <v>67</v>
      </c>
      <c r="C103" s="345" t="s">
        <v>178</v>
      </c>
      <c r="D103" s="345" t="s">
        <v>295</v>
      </c>
      <c r="E103" s="46" t="s">
        <v>1432</v>
      </c>
      <c r="F103" s="17">
        <v>2</v>
      </c>
      <c r="G103" s="18">
        <v>42224</v>
      </c>
      <c r="H103" s="175"/>
      <c r="I103" s="225">
        <v>42234</v>
      </c>
      <c r="J103" s="74">
        <v>-1</v>
      </c>
      <c r="K103" s="61" t="s">
        <v>2577</v>
      </c>
      <c r="L103" s="61">
        <v>42225</v>
      </c>
      <c r="M103" s="17" t="s">
        <v>2578</v>
      </c>
      <c r="N103" s="61">
        <v>42228</v>
      </c>
      <c r="O103" s="46" t="s">
        <v>2641</v>
      </c>
      <c r="P103" s="242">
        <v>42232</v>
      </c>
      <c r="Q103" s="243">
        <v>2</v>
      </c>
      <c r="R103" s="17" t="s">
        <v>2579</v>
      </c>
      <c r="S103" s="61">
        <v>42228</v>
      </c>
      <c r="T103" s="46" t="s">
        <v>2622</v>
      </c>
      <c r="U103" s="26">
        <v>42231</v>
      </c>
      <c r="V103" s="52" t="s">
        <v>1369</v>
      </c>
      <c r="W103" s="67" t="s">
        <v>1442</v>
      </c>
      <c r="X103" s="37"/>
      <c r="Y103" s="37"/>
      <c r="Z103" s="38"/>
      <c r="AA103" s="39"/>
      <c r="AB103" s="40"/>
      <c r="AC103" s="41"/>
      <c r="AD103" s="40"/>
      <c r="AE103" s="40"/>
      <c r="AF103" s="40"/>
      <c r="AG103" s="40"/>
      <c r="AH103" s="41"/>
      <c r="AI103" s="40"/>
      <c r="AJ103" s="42"/>
    </row>
    <row r="104" spans="1:36" s="5" customFormat="1" ht="24.95" customHeight="1" x14ac:dyDescent="0.2">
      <c r="A104" s="13"/>
      <c r="B104" s="357"/>
      <c r="C104" s="355"/>
      <c r="D104" s="355"/>
      <c r="E104" s="46">
        <v>0</v>
      </c>
      <c r="F104" s="17" t="s">
        <v>1442</v>
      </c>
      <c r="G104" s="18" t="s">
        <v>1442</v>
      </c>
      <c r="H104" s="74" t="s">
        <v>1442</v>
      </c>
      <c r="I104" s="225"/>
      <c r="J104" s="74" t="s">
        <v>1442</v>
      </c>
      <c r="K104" s="61" t="s">
        <v>2612</v>
      </c>
      <c r="L104" s="61">
        <v>42229</v>
      </c>
      <c r="M104" s="17" t="s">
        <v>2613</v>
      </c>
      <c r="N104" s="61">
        <v>42232</v>
      </c>
      <c r="O104" s="46" t="s">
        <v>2669</v>
      </c>
      <c r="P104" s="242">
        <v>42234</v>
      </c>
      <c r="Q104" s="243">
        <v>1</v>
      </c>
      <c r="R104" s="17" t="s">
        <v>2638</v>
      </c>
      <c r="S104" s="62">
        <v>42232</v>
      </c>
      <c r="T104" s="46" t="s">
        <v>2836</v>
      </c>
      <c r="U104" s="26">
        <v>42254</v>
      </c>
      <c r="V104" s="52" t="s">
        <v>1369</v>
      </c>
      <c r="W104" s="67" t="s">
        <v>1442</v>
      </c>
      <c r="X104" s="37"/>
      <c r="Y104" s="37"/>
      <c r="Z104" s="38"/>
      <c r="AA104" s="39"/>
      <c r="AB104" s="40"/>
      <c r="AC104" s="41"/>
      <c r="AD104" s="40"/>
      <c r="AE104" s="40"/>
      <c r="AF104" s="40"/>
      <c r="AG104" s="40"/>
      <c r="AH104" s="41"/>
      <c r="AI104" s="40"/>
      <c r="AJ104" s="42"/>
    </row>
    <row r="105" spans="1:36" s="5" customFormat="1" ht="31.5" x14ac:dyDescent="0.2">
      <c r="A105" s="13"/>
      <c r="B105" s="358"/>
      <c r="C105" s="346"/>
      <c r="D105" s="346"/>
      <c r="E105" s="46">
        <v>1</v>
      </c>
      <c r="F105" s="17" t="s">
        <v>1442</v>
      </c>
      <c r="G105" s="18" t="s">
        <v>1442</v>
      </c>
      <c r="H105" s="74" t="s">
        <v>1442</v>
      </c>
      <c r="I105" s="225"/>
      <c r="J105" s="74" t="s">
        <v>1442</v>
      </c>
      <c r="K105" s="61" t="s">
        <v>2909</v>
      </c>
      <c r="L105" s="61">
        <v>42261</v>
      </c>
      <c r="M105" s="17" t="s">
        <v>2910</v>
      </c>
      <c r="N105" s="18">
        <v>42263</v>
      </c>
      <c r="O105" s="174" t="s">
        <v>3014</v>
      </c>
      <c r="P105" s="242">
        <v>42264</v>
      </c>
      <c r="Q105" s="243">
        <v>1</v>
      </c>
      <c r="R105" s="17" t="s">
        <v>3010</v>
      </c>
      <c r="S105" s="18">
        <v>42264</v>
      </c>
      <c r="T105" s="290" t="s">
        <v>3079</v>
      </c>
      <c r="U105" s="26">
        <v>42332</v>
      </c>
      <c r="V105" s="52" t="s">
        <v>1369</v>
      </c>
      <c r="W105" s="67" t="s">
        <v>1442</v>
      </c>
      <c r="X105" s="37"/>
      <c r="Y105" s="37"/>
      <c r="Z105" s="38"/>
      <c r="AA105" s="39"/>
      <c r="AB105" s="40"/>
      <c r="AC105" s="41"/>
      <c r="AD105" s="40"/>
      <c r="AE105" s="40"/>
      <c r="AF105" s="40"/>
      <c r="AG105" s="40"/>
      <c r="AH105" s="41"/>
      <c r="AI105" s="40"/>
      <c r="AJ105" s="42"/>
    </row>
    <row r="106" spans="1:36" s="5" customFormat="1" ht="24.95" customHeight="1" x14ac:dyDescent="0.2">
      <c r="A106" s="13">
        <f>A103+1</f>
        <v>47</v>
      </c>
      <c r="B106" s="356" t="s">
        <v>68</v>
      </c>
      <c r="C106" s="345" t="s">
        <v>179</v>
      </c>
      <c r="D106" s="345" t="s">
        <v>296</v>
      </c>
      <c r="E106" s="46" t="s">
        <v>1432</v>
      </c>
      <c r="F106" s="17">
        <v>2</v>
      </c>
      <c r="G106" s="18">
        <v>42228</v>
      </c>
      <c r="H106" s="175"/>
      <c r="I106" s="225">
        <v>42227</v>
      </c>
      <c r="J106" s="74">
        <v>3</v>
      </c>
      <c r="K106" s="61" t="s">
        <v>2577</v>
      </c>
      <c r="L106" s="61">
        <v>42225</v>
      </c>
      <c r="M106" s="17" t="s">
        <v>2578</v>
      </c>
      <c r="N106" s="61">
        <v>42228</v>
      </c>
      <c r="O106" s="46" t="s">
        <v>2641</v>
      </c>
      <c r="P106" s="242">
        <v>42232</v>
      </c>
      <c r="Q106" s="243">
        <v>2</v>
      </c>
      <c r="R106" s="17" t="s">
        <v>2579</v>
      </c>
      <c r="S106" s="61">
        <v>42228</v>
      </c>
      <c r="T106" s="290" t="s">
        <v>2623</v>
      </c>
      <c r="U106" s="26">
        <v>42231</v>
      </c>
      <c r="V106" s="52" t="s">
        <v>1369</v>
      </c>
      <c r="W106" s="67" t="s">
        <v>1442</v>
      </c>
      <c r="X106" s="37"/>
      <c r="Y106" s="37"/>
      <c r="Z106" s="38"/>
      <c r="AA106" s="39"/>
      <c r="AB106" s="40"/>
      <c r="AC106" s="41"/>
      <c r="AD106" s="40"/>
      <c r="AE106" s="40"/>
      <c r="AF106" s="40"/>
      <c r="AG106" s="40"/>
      <c r="AH106" s="41"/>
      <c r="AI106" s="40"/>
      <c r="AJ106" s="42"/>
    </row>
    <row r="107" spans="1:36" s="5" customFormat="1" ht="24.95" customHeight="1" x14ac:dyDescent="0.2">
      <c r="A107" s="13"/>
      <c r="B107" s="357"/>
      <c r="C107" s="355"/>
      <c r="D107" s="355"/>
      <c r="E107" s="46">
        <v>0</v>
      </c>
      <c r="F107" s="74" t="s">
        <v>1442</v>
      </c>
      <c r="G107" s="74" t="s">
        <v>1442</v>
      </c>
      <c r="H107" s="175"/>
      <c r="I107" s="225"/>
      <c r="J107" s="74" t="s">
        <v>1442</v>
      </c>
      <c r="K107" s="61" t="s">
        <v>2612</v>
      </c>
      <c r="L107" s="61">
        <v>42229</v>
      </c>
      <c r="M107" s="17" t="s">
        <v>2613</v>
      </c>
      <c r="N107" s="61">
        <v>42232</v>
      </c>
      <c r="O107" s="46" t="s">
        <v>2669</v>
      </c>
      <c r="P107" s="242">
        <v>42234</v>
      </c>
      <c r="Q107" s="243">
        <v>1</v>
      </c>
      <c r="R107" s="17" t="s">
        <v>2638</v>
      </c>
      <c r="S107" s="62">
        <v>42232</v>
      </c>
      <c r="T107" s="290" t="s">
        <v>2837</v>
      </c>
      <c r="U107" s="26">
        <v>42254</v>
      </c>
      <c r="V107" s="52" t="s">
        <v>1369</v>
      </c>
      <c r="W107" s="67" t="s">
        <v>1442</v>
      </c>
      <c r="X107" s="37"/>
      <c r="Y107" s="37"/>
      <c r="Z107" s="38"/>
      <c r="AA107" s="39"/>
      <c r="AB107" s="40"/>
      <c r="AC107" s="41"/>
      <c r="AD107" s="40"/>
      <c r="AE107" s="40"/>
      <c r="AF107" s="40"/>
      <c r="AG107" s="40"/>
      <c r="AH107" s="41"/>
      <c r="AI107" s="40"/>
      <c r="AJ107" s="42"/>
    </row>
    <row r="108" spans="1:36" s="5" customFormat="1" ht="31.5" x14ac:dyDescent="0.2">
      <c r="A108" s="13"/>
      <c r="B108" s="358"/>
      <c r="C108" s="346"/>
      <c r="D108" s="346"/>
      <c r="E108" s="46">
        <v>1</v>
      </c>
      <c r="F108" s="74" t="s">
        <v>1442</v>
      </c>
      <c r="G108" s="74" t="s">
        <v>1442</v>
      </c>
      <c r="H108" s="175"/>
      <c r="I108" s="225"/>
      <c r="J108" s="74" t="s">
        <v>1442</v>
      </c>
      <c r="K108" s="61" t="s">
        <v>2909</v>
      </c>
      <c r="L108" s="61">
        <v>42261</v>
      </c>
      <c r="M108" s="17" t="s">
        <v>2910</v>
      </c>
      <c r="N108" s="18">
        <v>42263</v>
      </c>
      <c r="O108" s="174" t="s">
        <v>3014</v>
      </c>
      <c r="P108" s="242">
        <v>42264</v>
      </c>
      <c r="Q108" s="243">
        <v>1</v>
      </c>
      <c r="R108" s="17" t="s">
        <v>3010</v>
      </c>
      <c r="S108" s="18">
        <v>42264</v>
      </c>
      <c r="T108" s="290" t="s">
        <v>3080</v>
      </c>
      <c r="U108" s="26">
        <v>42332</v>
      </c>
      <c r="V108" s="52" t="s">
        <v>1369</v>
      </c>
      <c r="W108" s="67" t="s">
        <v>1442</v>
      </c>
      <c r="X108" s="37"/>
      <c r="Y108" s="37"/>
      <c r="Z108" s="38"/>
      <c r="AA108" s="39"/>
      <c r="AB108" s="40"/>
      <c r="AC108" s="41"/>
      <c r="AD108" s="40"/>
      <c r="AE108" s="40"/>
      <c r="AF108" s="40"/>
      <c r="AG108" s="40"/>
      <c r="AH108" s="41"/>
      <c r="AI108" s="40"/>
      <c r="AJ108" s="42"/>
    </row>
    <row r="109" spans="1:36" s="5" customFormat="1" ht="24.95" customHeight="1" x14ac:dyDescent="0.2">
      <c r="A109" s="13">
        <f>A106+1</f>
        <v>48</v>
      </c>
      <c r="B109" s="356" t="s">
        <v>69</v>
      </c>
      <c r="C109" s="345" t="s">
        <v>180</v>
      </c>
      <c r="D109" s="345" t="s">
        <v>297</v>
      </c>
      <c r="E109" s="46" t="s">
        <v>1432</v>
      </c>
      <c r="F109" s="17">
        <v>2</v>
      </c>
      <c r="G109" s="18">
        <v>42212</v>
      </c>
      <c r="H109" s="175"/>
      <c r="I109" s="225">
        <v>42206</v>
      </c>
      <c r="J109" s="74">
        <v>-21</v>
      </c>
      <c r="K109" s="61" t="s">
        <v>2644</v>
      </c>
      <c r="L109" s="61">
        <v>42233</v>
      </c>
      <c r="M109" s="17" t="s">
        <v>2645</v>
      </c>
      <c r="N109" s="18">
        <v>42234</v>
      </c>
      <c r="O109" s="46" t="s">
        <v>2705</v>
      </c>
      <c r="P109" s="26">
        <v>42239</v>
      </c>
      <c r="Q109" s="52">
        <v>2</v>
      </c>
      <c r="R109" s="114" t="s">
        <v>2664</v>
      </c>
      <c r="S109" s="18">
        <v>42234</v>
      </c>
      <c r="T109" s="8"/>
      <c r="U109" s="26"/>
      <c r="V109" s="52"/>
      <c r="W109" s="67" t="s">
        <v>3060</v>
      </c>
      <c r="X109" s="37"/>
      <c r="Y109" s="37"/>
      <c r="Z109" s="38"/>
      <c r="AA109" s="39"/>
      <c r="AB109" s="40"/>
      <c r="AC109" s="41"/>
      <c r="AD109" s="40"/>
      <c r="AE109" s="40"/>
      <c r="AF109" s="40"/>
      <c r="AG109" s="40"/>
      <c r="AH109" s="41"/>
      <c r="AI109" s="40"/>
      <c r="AJ109" s="42"/>
    </row>
    <row r="110" spans="1:36" s="5" customFormat="1" ht="24.95" customHeight="1" x14ac:dyDescent="0.2">
      <c r="A110" s="13"/>
      <c r="B110" s="358"/>
      <c r="C110" s="346"/>
      <c r="D110" s="346"/>
      <c r="E110" s="46">
        <v>0</v>
      </c>
      <c r="F110" s="17"/>
      <c r="G110" s="18"/>
      <c r="H110" s="175"/>
      <c r="I110" s="225"/>
      <c r="J110" s="74"/>
      <c r="K110" s="61" t="s">
        <v>2706</v>
      </c>
      <c r="L110" s="61">
        <v>42241</v>
      </c>
      <c r="M110" s="17" t="s">
        <v>2707</v>
      </c>
      <c r="N110" s="18">
        <v>42241</v>
      </c>
      <c r="O110" s="46" t="s">
        <v>2771</v>
      </c>
      <c r="P110" s="26">
        <v>42246</v>
      </c>
      <c r="Q110" s="52">
        <v>1</v>
      </c>
      <c r="R110" s="114" t="s">
        <v>2717</v>
      </c>
      <c r="S110" s="18">
        <v>42242</v>
      </c>
      <c r="T110" s="46" t="s">
        <v>2838</v>
      </c>
      <c r="U110" s="26">
        <v>42254</v>
      </c>
      <c r="V110" s="52" t="s">
        <v>1369</v>
      </c>
      <c r="W110" s="67" t="s">
        <v>1442</v>
      </c>
      <c r="X110" s="37"/>
      <c r="Y110" s="37"/>
      <c r="Z110" s="38"/>
      <c r="AA110" s="39"/>
      <c r="AB110" s="40"/>
      <c r="AC110" s="41"/>
      <c r="AD110" s="40"/>
      <c r="AE110" s="40"/>
      <c r="AF110" s="40"/>
      <c r="AG110" s="40"/>
      <c r="AH110" s="41"/>
      <c r="AI110" s="40"/>
      <c r="AJ110" s="42"/>
    </row>
    <row r="111" spans="1:36" s="5" customFormat="1" ht="24.95" customHeight="1" x14ac:dyDescent="0.2">
      <c r="A111" s="13">
        <f>A109+1</f>
        <v>49</v>
      </c>
      <c r="B111" s="356" t="s">
        <v>70</v>
      </c>
      <c r="C111" s="345" t="s">
        <v>181</v>
      </c>
      <c r="D111" s="345" t="s">
        <v>298</v>
      </c>
      <c r="E111" s="46" t="s">
        <v>1432</v>
      </c>
      <c r="F111" s="17">
        <v>2</v>
      </c>
      <c r="G111" s="18">
        <v>42216</v>
      </c>
      <c r="H111" s="175"/>
      <c r="I111" s="225">
        <v>42213</v>
      </c>
      <c r="J111" s="74">
        <v>-17</v>
      </c>
      <c r="K111" s="61" t="s">
        <v>2644</v>
      </c>
      <c r="L111" s="61">
        <v>42233</v>
      </c>
      <c r="M111" s="17" t="s">
        <v>2645</v>
      </c>
      <c r="N111" s="18">
        <v>42234</v>
      </c>
      <c r="O111" s="46" t="s">
        <v>2705</v>
      </c>
      <c r="P111" s="26">
        <v>42239</v>
      </c>
      <c r="Q111" s="52">
        <v>2</v>
      </c>
      <c r="R111" s="114" t="s">
        <v>2664</v>
      </c>
      <c r="S111" s="18">
        <v>42234</v>
      </c>
      <c r="T111" s="8"/>
      <c r="U111" s="26"/>
      <c r="V111" s="52"/>
      <c r="W111" s="67" t="s">
        <v>3060</v>
      </c>
      <c r="X111" s="37"/>
      <c r="Y111" s="37"/>
      <c r="Z111" s="38"/>
      <c r="AA111" s="39"/>
      <c r="AB111" s="40"/>
      <c r="AC111" s="41"/>
      <c r="AD111" s="40"/>
      <c r="AE111" s="40"/>
      <c r="AF111" s="40"/>
      <c r="AG111" s="40"/>
      <c r="AH111" s="41"/>
      <c r="AI111" s="40"/>
      <c r="AJ111" s="42"/>
    </row>
    <row r="112" spans="1:36" s="5" customFormat="1" ht="24.95" customHeight="1" x14ac:dyDescent="0.2">
      <c r="A112" s="13"/>
      <c r="B112" s="358"/>
      <c r="C112" s="346"/>
      <c r="D112" s="346"/>
      <c r="E112" s="46">
        <v>0</v>
      </c>
      <c r="F112" s="17"/>
      <c r="G112" s="18"/>
      <c r="H112" s="175"/>
      <c r="I112" s="225"/>
      <c r="J112" s="74"/>
      <c r="K112" s="61" t="s">
        <v>2706</v>
      </c>
      <c r="L112" s="61">
        <v>42241</v>
      </c>
      <c r="M112" s="17" t="s">
        <v>2707</v>
      </c>
      <c r="N112" s="18">
        <v>42241</v>
      </c>
      <c r="O112" s="46" t="s">
        <v>2771</v>
      </c>
      <c r="P112" s="26">
        <v>42246</v>
      </c>
      <c r="Q112" s="52">
        <v>1</v>
      </c>
      <c r="R112" s="114" t="s">
        <v>2717</v>
      </c>
      <c r="S112" s="18">
        <v>42242</v>
      </c>
      <c r="T112" s="290" t="s">
        <v>2992</v>
      </c>
      <c r="U112" s="26">
        <v>42267</v>
      </c>
      <c r="V112" s="52" t="s">
        <v>1369</v>
      </c>
      <c r="W112" s="67" t="s">
        <v>1442</v>
      </c>
      <c r="X112" s="37"/>
      <c r="Y112" s="37"/>
      <c r="Z112" s="38"/>
      <c r="AA112" s="39"/>
      <c r="AB112" s="40"/>
      <c r="AC112" s="41"/>
      <c r="AD112" s="40"/>
      <c r="AE112" s="40"/>
      <c r="AF112" s="40"/>
      <c r="AG112" s="40"/>
      <c r="AH112" s="41"/>
      <c r="AI112" s="40"/>
      <c r="AJ112" s="42"/>
    </row>
    <row r="113" spans="1:36" s="5" customFormat="1" ht="24.95" customHeight="1" x14ac:dyDescent="0.2">
      <c r="A113" s="13">
        <f>A111+1</f>
        <v>50</v>
      </c>
      <c r="B113" s="356" t="s">
        <v>71</v>
      </c>
      <c r="C113" s="345" t="s">
        <v>182</v>
      </c>
      <c r="D113" s="345" t="s">
        <v>299</v>
      </c>
      <c r="E113" s="46" t="s">
        <v>1432</v>
      </c>
      <c r="F113" s="17">
        <v>2</v>
      </c>
      <c r="G113" s="18">
        <v>42236</v>
      </c>
      <c r="H113" s="175"/>
      <c r="I113" s="225">
        <v>42192</v>
      </c>
      <c r="J113" s="74">
        <v>-5</v>
      </c>
      <c r="K113" s="61" t="s">
        <v>2710</v>
      </c>
      <c r="L113" s="61">
        <v>42241</v>
      </c>
      <c r="M113" s="17" t="s">
        <v>2711</v>
      </c>
      <c r="N113" s="18">
        <v>42242</v>
      </c>
      <c r="O113" s="46" t="s">
        <v>2866</v>
      </c>
      <c r="P113" s="26">
        <v>42255</v>
      </c>
      <c r="Q113" s="52">
        <v>3</v>
      </c>
      <c r="R113" s="17" t="s">
        <v>2716</v>
      </c>
      <c r="S113" s="18">
        <v>42242</v>
      </c>
      <c r="T113" s="46" t="s">
        <v>2848</v>
      </c>
      <c r="U113" s="26">
        <v>42254</v>
      </c>
      <c r="V113" s="52" t="s">
        <v>1369</v>
      </c>
      <c r="W113" s="67" t="s">
        <v>1442</v>
      </c>
      <c r="X113" s="37"/>
      <c r="Y113" s="37"/>
      <c r="Z113" s="38"/>
      <c r="AA113" s="39"/>
      <c r="AB113" s="40"/>
      <c r="AC113" s="41"/>
      <c r="AD113" s="40"/>
      <c r="AE113" s="40"/>
      <c r="AF113" s="40"/>
      <c r="AG113" s="40"/>
      <c r="AH113" s="41"/>
      <c r="AI113" s="40"/>
      <c r="AJ113" s="42"/>
    </row>
    <row r="114" spans="1:36" s="5" customFormat="1" ht="24.95" customHeight="1" x14ac:dyDescent="0.2">
      <c r="A114" s="13"/>
      <c r="B114" s="357"/>
      <c r="C114" s="355"/>
      <c r="D114" s="355"/>
      <c r="E114" s="46">
        <v>0</v>
      </c>
      <c r="F114" s="17">
        <v>1</v>
      </c>
      <c r="G114" s="18"/>
      <c r="H114" s="175"/>
      <c r="I114" s="225"/>
      <c r="J114" s="74"/>
      <c r="K114" s="61" t="s">
        <v>2889</v>
      </c>
      <c r="L114" s="61">
        <v>42260</v>
      </c>
      <c r="M114" s="17" t="s">
        <v>2890</v>
      </c>
      <c r="N114" s="18">
        <v>42262</v>
      </c>
      <c r="O114" s="46" t="s">
        <v>3013</v>
      </c>
      <c r="P114" s="26">
        <v>42267</v>
      </c>
      <c r="Q114" s="52">
        <v>1</v>
      </c>
      <c r="R114" s="284" t="s">
        <v>3009</v>
      </c>
      <c r="S114" s="18">
        <v>42264</v>
      </c>
      <c r="T114" s="290" t="s">
        <v>3081</v>
      </c>
      <c r="U114" s="26">
        <v>42332</v>
      </c>
      <c r="V114" s="52" t="s">
        <v>1369</v>
      </c>
      <c r="W114" s="67" t="s">
        <v>1442</v>
      </c>
      <c r="X114" s="37"/>
      <c r="Y114" s="37"/>
      <c r="Z114" s="38"/>
      <c r="AA114" s="39"/>
      <c r="AB114" s="40"/>
      <c r="AC114" s="41"/>
      <c r="AD114" s="40"/>
      <c r="AE114" s="40"/>
      <c r="AF114" s="40"/>
      <c r="AG114" s="40"/>
      <c r="AH114" s="41"/>
      <c r="AI114" s="40"/>
      <c r="AJ114" s="42"/>
    </row>
    <row r="115" spans="1:36" s="5" customFormat="1" ht="24.95" customHeight="1" x14ac:dyDescent="0.2">
      <c r="A115" s="13"/>
      <c r="B115" s="357"/>
      <c r="C115" s="355"/>
      <c r="D115" s="355"/>
      <c r="E115" s="290">
        <v>1</v>
      </c>
      <c r="F115" s="17">
        <v>1</v>
      </c>
      <c r="G115" s="18" t="s">
        <v>1442</v>
      </c>
      <c r="H115" s="175"/>
      <c r="I115" s="225"/>
      <c r="J115" s="74"/>
      <c r="K115" s="61" t="s">
        <v>3228</v>
      </c>
      <c r="L115" s="61">
        <v>42409</v>
      </c>
      <c r="M115" s="17" t="s">
        <v>3229</v>
      </c>
      <c r="N115" s="104">
        <v>42411</v>
      </c>
      <c r="O115" s="46" t="s">
        <v>3270</v>
      </c>
      <c r="P115" s="26">
        <v>42423</v>
      </c>
      <c r="Q115" s="52">
        <v>2</v>
      </c>
      <c r="R115" s="114" t="s">
        <v>3244</v>
      </c>
      <c r="S115" s="175">
        <v>42046</v>
      </c>
      <c r="T115" s="290" t="s">
        <v>3267</v>
      </c>
      <c r="U115" s="26">
        <v>42422</v>
      </c>
      <c r="V115" s="293" t="s">
        <v>1369</v>
      </c>
      <c r="W115" s="67" t="s">
        <v>1442</v>
      </c>
      <c r="X115" s="37"/>
      <c r="Y115" s="37"/>
      <c r="Z115" s="38"/>
      <c r="AA115" s="39"/>
      <c r="AB115" s="40"/>
      <c r="AC115" s="41"/>
      <c r="AD115" s="40"/>
      <c r="AE115" s="40"/>
      <c r="AF115" s="40"/>
      <c r="AG115" s="40"/>
      <c r="AH115" s="41"/>
      <c r="AI115" s="40"/>
      <c r="AJ115" s="42"/>
    </row>
    <row r="116" spans="1:36" s="5" customFormat="1" ht="24.95" customHeight="1" x14ac:dyDescent="0.2">
      <c r="A116" s="13"/>
      <c r="B116" s="358"/>
      <c r="C116" s="346"/>
      <c r="D116" s="346"/>
      <c r="E116" s="46">
        <v>2</v>
      </c>
      <c r="F116" s="17"/>
      <c r="G116" s="18"/>
      <c r="H116" s="175"/>
      <c r="I116" s="225"/>
      <c r="J116" s="74"/>
      <c r="K116" s="61" t="s">
        <v>3275</v>
      </c>
      <c r="L116" s="61">
        <v>42424</v>
      </c>
      <c r="M116" s="17" t="s">
        <v>3276</v>
      </c>
      <c r="N116" s="18">
        <v>42425</v>
      </c>
      <c r="O116" s="290" t="s">
        <v>3289</v>
      </c>
      <c r="P116" s="26">
        <v>42438</v>
      </c>
      <c r="Q116" s="52">
        <v>2</v>
      </c>
      <c r="R116" s="114" t="s">
        <v>3281</v>
      </c>
      <c r="S116" s="175">
        <v>42430</v>
      </c>
      <c r="T116" s="290"/>
      <c r="U116" s="26"/>
      <c r="V116" s="293"/>
      <c r="W116" s="67" t="s">
        <v>3290</v>
      </c>
      <c r="X116" s="37"/>
      <c r="Y116" s="37"/>
      <c r="Z116" s="38"/>
      <c r="AA116" s="39"/>
      <c r="AB116" s="40"/>
      <c r="AC116" s="41"/>
      <c r="AD116" s="40"/>
      <c r="AE116" s="40"/>
      <c r="AF116" s="40"/>
      <c r="AG116" s="40"/>
      <c r="AH116" s="41"/>
      <c r="AI116" s="40"/>
      <c r="AJ116" s="42"/>
    </row>
    <row r="117" spans="1:36" s="5" customFormat="1" ht="24.95" customHeight="1" x14ac:dyDescent="0.2">
      <c r="A117" s="13">
        <f>A113+1</f>
        <v>51</v>
      </c>
      <c r="B117" s="356" t="s">
        <v>72</v>
      </c>
      <c r="C117" s="345" t="s">
        <v>183</v>
      </c>
      <c r="D117" s="345" t="s">
        <v>300</v>
      </c>
      <c r="E117" s="46" t="s">
        <v>1432</v>
      </c>
      <c r="F117" s="17">
        <v>2</v>
      </c>
      <c r="G117" s="18">
        <v>42240</v>
      </c>
      <c r="H117" s="175"/>
      <c r="I117" s="225">
        <v>42185</v>
      </c>
      <c r="J117" s="74">
        <v>-1</v>
      </c>
      <c r="K117" s="61" t="s">
        <v>2710</v>
      </c>
      <c r="L117" s="61">
        <v>42241</v>
      </c>
      <c r="M117" s="17" t="s">
        <v>2711</v>
      </c>
      <c r="N117" s="18">
        <v>42242</v>
      </c>
      <c r="O117" s="46" t="s">
        <v>2866</v>
      </c>
      <c r="P117" s="26">
        <v>42255</v>
      </c>
      <c r="Q117" s="52">
        <v>3</v>
      </c>
      <c r="R117" s="17" t="s">
        <v>2716</v>
      </c>
      <c r="S117" s="18">
        <v>42242</v>
      </c>
      <c r="T117" s="46" t="s">
        <v>2847</v>
      </c>
      <c r="U117" s="26">
        <v>42254</v>
      </c>
      <c r="V117" s="52" t="s">
        <v>1369</v>
      </c>
      <c r="W117" s="67" t="s">
        <v>1442</v>
      </c>
      <c r="X117" s="37"/>
      <c r="Y117" s="37"/>
      <c r="Z117" s="38"/>
      <c r="AA117" s="39"/>
      <c r="AB117" s="40"/>
      <c r="AC117" s="41"/>
      <c r="AD117" s="40"/>
      <c r="AE117" s="40"/>
      <c r="AF117" s="40"/>
      <c r="AG117" s="40"/>
      <c r="AH117" s="41"/>
      <c r="AI117" s="40"/>
      <c r="AJ117" s="42"/>
    </row>
    <row r="118" spans="1:36" s="5" customFormat="1" ht="24.95" customHeight="1" x14ac:dyDescent="0.2">
      <c r="A118" s="13"/>
      <c r="B118" s="357"/>
      <c r="C118" s="355"/>
      <c r="D118" s="355"/>
      <c r="E118" s="46">
        <v>0</v>
      </c>
      <c r="F118" s="17">
        <v>1</v>
      </c>
      <c r="G118" s="18"/>
      <c r="H118" s="175"/>
      <c r="I118" s="225"/>
      <c r="J118" s="74"/>
      <c r="K118" s="61" t="s">
        <v>2889</v>
      </c>
      <c r="L118" s="61">
        <v>42260</v>
      </c>
      <c r="M118" s="17" t="s">
        <v>2890</v>
      </c>
      <c r="N118" s="18">
        <v>42262</v>
      </c>
      <c r="O118" s="46" t="s">
        <v>3013</v>
      </c>
      <c r="P118" s="26">
        <v>42267</v>
      </c>
      <c r="Q118" s="52">
        <v>1</v>
      </c>
      <c r="R118" s="284" t="s">
        <v>3009</v>
      </c>
      <c r="S118" s="18">
        <v>42264</v>
      </c>
      <c r="T118" s="290" t="s">
        <v>3071</v>
      </c>
      <c r="U118" s="26">
        <v>42332</v>
      </c>
      <c r="V118" s="293" t="s">
        <v>1369</v>
      </c>
      <c r="W118" s="67" t="s">
        <v>1442</v>
      </c>
      <c r="X118" s="37"/>
      <c r="Y118" s="37"/>
      <c r="Z118" s="38"/>
      <c r="AA118" s="39"/>
      <c r="AB118" s="40"/>
      <c r="AC118" s="41"/>
      <c r="AD118" s="40"/>
      <c r="AE118" s="40"/>
      <c r="AF118" s="40"/>
      <c r="AG118" s="40"/>
      <c r="AH118" s="41"/>
      <c r="AI118" s="40"/>
      <c r="AJ118" s="42"/>
    </row>
    <row r="119" spans="1:36" s="5" customFormat="1" ht="24.95" customHeight="1" x14ac:dyDescent="0.2">
      <c r="A119" s="13"/>
      <c r="B119" s="357"/>
      <c r="C119" s="355"/>
      <c r="D119" s="355"/>
      <c r="E119" s="46">
        <v>1</v>
      </c>
      <c r="F119" s="17"/>
      <c r="G119" s="18"/>
      <c r="H119" s="175"/>
      <c r="I119" s="225"/>
      <c r="J119" s="74"/>
      <c r="K119" s="61" t="s">
        <v>3225</v>
      </c>
      <c r="L119" s="61">
        <v>42408</v>
      </c>
      <c r="M119" s="17" t="s">
        <v>3226</v>
      </c>
      <c r="N119" s="104">
        <v>42411</v>
      </c>
      <c r="O119" s="46" t="s">
        <v>3255</v>
      </c>
      <c r="P119" s="26">
        <v>42418</v>
      </c>
      <c r="Q119" s="52">
        <v>2</v>
      </c>
      <c r="R119" s="114" t="s">
        <v>3243</v>
      </c>
      <c r="S119" s="175">
        <v>42046</v>
      </c>
      <c r="T119" s="290" t="s">
        <v>3269</v>
      </c>
      <c r="U119" s="26">
        <v>42422</v>
      </c>
      <c r="V119" s="293" t="s">
        <v>1369</v>
      </c>
      <c r="W119" s="67" t="s">
        <v>1442</v>
      </c>
      <c r="X119" s="37"/>
      <c r="Y119" s="37"/>
      <c r="Z119" s="38"/>
      <c r="AA119" s="39"/>
      <c r="AB119" s="40"/>
      <c r="AC119" s="41"/>
      <c r="AD119" s="40"/>
      <c r="AE119" s="40"/>
      <c r="AF119" s="40"/>
      <c r="AG119" s="40"/>
      <c r="AH119" s="41"/>
      <c r="AI119" s="40"/>
      <c r="AJ119" s="42"/>
    </row>
    <row r="120" spans="1:36" s="5" customFormat="1" ht="24.95" customHeight="1" x14ac:dyDescent="0.2">
      <c r="A120" s="13"/>
      <c r="B120" s="358"/>
      <c r="C120" s="346"/>
      <c r="D120" s="346"/>
      <c r="E120" s="46">
        <v>2</v>
      </c>
      <c r="F120" s="17"/>
      <c r="G120" s="18"/>
      <c r="H120" s="175"/>
      <c r="I120" s="225"/>
      <c r="J120" s="74"/>
      <c r="K120" s="61" t="s">
        <v>3275</v>
      </c>
      <c r="L120" s="61">
        <v>42424</v>
      </c>
      <c r="M120" s="17" t="s">
        <v>3276</v>
      </c>
      <c r="N120" s="18">
        <v>42425</v>
      </c>
      <c r="O120" s="290" t="s">
        <v>3289</v>
      </c>
      <c r="P120" s="26">
        <v>42438</v>
      </c>
      <c r="Q120" s="52">
        <v>2</v>
      </c>
      <c r="R120" s="114" t="s">
        <v>3281</v>
      </c>
      <c r="S120" s="175">
        <v>42430</v>
      </c>
      <c r="T120" s="290"/>
      <c r="U120" s="26"/>
      <c r="V120" s="293"/>
      <c r="W120" s="67" t="s">
        <v>3290</v>
      </c>
      <c r="X120" s="37"/>
      <c r="Y120" s="37"/>
      <c r="Z120" s="38"/>
      <c r="AA120" s="39"/>
      <c r="AB120" s="40"/>
      <c r="AC120" s="41"/>
      <c r="AD120" s="40"/>
      <c r="AE120" s="40"/>
      <c r="AF120" s="40"/>
      <c r="AG120" s="40"/>
      <c r="AH120" s="41"/>
      <c r="AI120" s="40"/>
      <c r="AJ120" s="42"/>
    </row>
    <row r="121" spans="1:36" s="5" customFormat="1" ht="24.95" customHeight="1" x14ac:dyDescent="0.2">
      <c r="A121" s="13">
        <f>A117+1</f>
        <v>52</v>
      </c>
      <c r="B121" s="356" t="s">
        <v>73</v>
      </c>
      <c r="C121" s="345" t="s">
        <v>184</v>
      </c>
      <c r="D121" s="450" t="s">
        <v>301</v>
      </c>
      <c r="E121" s="46" t="s">
        <v>1432</v>
      </c>
      <c r="F121" s="17">
        <v>2</v>
      </c>
      <c r="G121" s="18">
        <v>42244</v>
      </c>
      <c r="H121" s="175"/>
      <c r="I121" s="225">
        <v>42171</v>
      </c>
      <c r="J121" s="74">
        <v>3</v>
      </c>
      <c r="K121" s="61" t="s">
        <v>2710</v>
      </c>
      <c r="L121" s="61">
        <v>42241</v>
      </c>
      <c r="M121" s="17" t="s">
        <v>2711</v>
      </c>
      <c r="N121" s="18">
        <v>42242</v>
      </c>
      <c r="O121" s="46" t="s">
        <v>2866</v>
      </c>
      <c r="P121" s="26">
        <v>42255</v>
      </c>
      <c r="Q121" s="52">
        <v>3</v>
      </c>
      <c r="R121" s="17" t="s">
        <v>2716</v>
      </c>
      <c r="S121" s="18">
        <v>42242</v>
      </c>
      <c r="T121" s="46" t="s">
        <v>2846</v>
      </c>
      <c r="U121" s="26">
        <v>42254</v>
      </c>
      <c r="V121" s="52" t="s">
        <v>1369</v>
      </c>
      <c r="W121" s="67" t="s">
        <v>1442</v>
      </c>
      <c r="X121" s="37"/>
      <c r="Y121" s="37"/>
      <c r="Z121" s="38"/>
      <c r="AA121" s="39"/>
      <c r="AB121" s="40"/>
      <c r="AC121" s="41"/>
      <c r="AD121" s="40"/>
      <c r="AE121" s="40"/>
      <c r="AF121" s="40"/>
      <c r="AG121" s="40"/>
      <c r="AH121" s="41"/>
      <c r="AI121" s="40"/>
      <c r="AJ121" s="42"/>
    </row>
    <row r="122" spans="1:36" s="5" customFormat="1" ht="24.95" customHeight="1" x14ac:dyDescent="0.2">
      <c r="A122" s="13"/>
      <c r="B122" s="357"/>
      <c r="C122" s="355"/>
      <c r="D122" s="451"/>
      <c r="E122" s="46">
        <v>0</v>
      </c>
      <c r="F122" s="17">
        <v>1</v>
      </c>
      <c r="G122" s="18"/>
      <c r="H122" s="175"/>
      <c r="I122" s="225"/>
      <c r="J122" s="74"/>
      <c r="K122" s="61" t="s">
        <v>2889</v>
      </c>
      <c r="L122" s="61">
        <v>42260</v>
      </c>
      <c r="M122" s="17" t="s">
        <v>2890</v>
      </c>
      <c r="N122" s="18">
        <v>42262</v>
      </c>
      <c r="O122" s="46" t="s">
        <v>3013</v>
      </c>
      <c r="P122" s="26">
        <v>42267</v>
      </c>
      <c r="Q122" s="52">
        <v>1</v>
      </c>
      <c r="R122" s="284" t="s">
        <v>3009</v>
      </c>
      <c r="S122" s="18">
        <v>42264</v>
      </c>
      <c r="T122" s="290" t="s">
        <v>3072</v>
      </c>
      <c r="U122" s="26">
        <v>42332</v>
      </c>
      <c r="V122" s="293" t="s">
        <v>1369</v>
      </c>
      <c r="W122" s="67" t="s">
        <v>1442</v>
      </c>
      <c r="X122" s="37"/>
      <c r="Y122" s="37"/>
      <c r="Z122" s="38"/>
      <c r="AA122" s="39"/>
      <c r="AB122" s="40"/>
      <c r="AC122" s="41"/>
      <c r="AD122" s="40"/>
      <c r="AE122" s="40"/>
      <c r="AF122" s="40"/>
      <c r="AG122" s="40"/>
      <c r="AH122" s="41"/>
      <c r="AI122" s="40"/>
      <c r="AJ122" s="42"/>
    </row>
    <row r="123" spans="1:36" s="5" customFormat="1" ht="24.95" customHeight="1" x14ac:dyDescent="0.2">
      <c r="A123" s="13"/>
      <c r="B123" s="358"/>
      <c r="C123" s="346"/>
      <c r="D123" s="452"/>
      <c r="E123" s="46">
        <v>1</v>
      </c>
      <c r="F123" s="17"/>
      <c r="G123" s="18"/>
      <c r="H123" s="175"/>
      <c r="I123" s="225"/>
      <c r="J123" s="74"/>
      <c r="K123" s="61" t="s">
        <v>3225</v>
      </c>
      <c r="L123" s="61">
        <v>42408</v>
      </c>
      <c r="M123" s="17" t="s">
        <v>3226</v>
      </c>
      <c r="N123" s="104">
        <v>42411</v>
      </c>
      <c r="O123" s="46" t="s">
        <v>3291</v>
      </c>
      <c r="P123" s="26">
        <v>42439</v>
      </c>
      <c r="Q123" s="52">
        <v>2</v>
      </c>
      <c r="R123" s="114" t="s">
        <v>3243</v>
      </c>
      <c r="S123" s="175">
        <v>42046</v>
      </c>
      <c r="T123" s="290" t="s">
        <v>3264</v>
      </c>
      <c r="U123" s="26">
        <v>42422</v>
      </c>
      <c r="V123" s="293" t="s">
        <v>1369</v>
      </c>
      <c r="W123" s="67" t="s">
        <v>1442</v>
      </c>
      <c r="X123" s="37"/>
      <c r="Y123" s="37"/>
      <c r="Z123" s="38"/>
      <c r="AA123" s="39"/>
      <c r="AB123" s="40"/>
      <c r="AC123" s="41"/>
      <c r="AD123" s="40"/>
      <c r="AE123" s="40"/>
      <c r="AF123" s="40"/>
      <c r="AG123" s="40"/>
      <c r="AH123" s="41"/>
      <c r="AI123" s="40"/>
      <c r="AJ123" s="42"/>
    </row>
    <row r="124" spans="1:36" s="5" customFormat="1" ht="24.95" customHeight="1" x14ac:dyDescent="0.2">
      <c r="A124" s="13">
        <f>A121+1</f>
        <v>53</v>
      </c>
      <c r="B124" s="454" t="s">
        <v>74</v>
      </c>
      <c r="C124" s="455" t="s">
        <v>185</v>
      </c>
      <c r="D124" s="455" t="s">
        <v>302</v>
      </c>
      <c r="E124" s="46" t="s">
        <v>1432</v>
      </c>
      <c r="F124" s="17">
        <v>2</v>
      </c>
      <c r="G124" s="18">
        <v>42200</v>
      </c>
      <c r="H124" s="175"/>
      <c r="I124" s="225">
        <v>42164</v>
      </c>
      <c r="J124" s="74">
        <v>-42</v>
      </c>
      <c r="K124" s="61" t="s">
        <v>2720</v>
      </c>
      <c r="L124" s="16">
        <v>42242</v>
      </c>
      <c r="M124" s="18" t="s">
        <v>2721</v>
      </c>
      <c r="N124" s="18">
        <v>42243</v>
      </c>
      <c r="O124" s="46" t="s">
        <v>2935</v>
      </c>
      <c r="P124" s="26">
        <v>42263</v>
      </c>
      <c r="Q124" s="52">
        <v>2</v>
      </c>
      <c r="R124" s="114" t="s">
        <v>2750</v>
      </c>
      <c r="S124" s="18">
        <v>42243</v>
      </c>
      <c r="T124" s="46" t="s">
        <v>2845</v>
      </c>
      <c r="U124" s="26">
        <v>42254</v>
      </c>
      <c r="V124" s="52" t="s">
        <v>1369</v>
      </c>
      <c r="W124" s="67" t="s">
        <v>1442</v>
      </c>
      <c r="X124" s="37"/>
      <c r="Y124" s="37"/>
      <c r="Z124" s="38"/>
      <c r="AA124" s="39"/>
      <c r="AB124" s="40"/>
      <c r="AC124" s="41"/>
      <c r="AD124" s="40"/>
      <c r="AE124" s="40"/>
      <c r="AF124" s="40"/>
      <c r="AG124" s="40"/>
      <c r="AH124" s="41"/>
      <c r="AI124" s="40"/>
      <c r="AJ124" s="42"/>
    </row>
    <row r="125" spans="1:36" s="5" customFormat="1" ht="24.95" customHeight="1" x14ac:dyDescent="0.2">
      <c r="A125" s="13"/>
      <c r="B125" s="454"/>
      <c r="C125" s="455"/>
      <c r="D125" s="455"/>
      <c r="E125" s="46">
        <v>0</v>
      </c>
      <c r="F125" s="17">
        <v>1</v>
      </c>
      <c r="G125" s="18"/>
      <c r="H125" s="175"/>
      <c r="I125" s="225"/>
      <c r="J125" s="74"/>
      <c r="K125" s="61" t="s">
        <v>3063</v>
      </c>
      <c r="L125" s="61">
        <v>42331</v>
      </c>
      <c r="M125" s="17" t="s">
        <v>3064</v>
      </c>
      <c r="N125" s="18">
        <v>42331</v>
      </c>
      <c r="O125" s="46" t="s">
        <v>3182</v>
      </c>
      <c r="P125" s="26">
        <v>42375</v>
      </c>
      <c r="Q125" s="52">
        <v>1</v>
      </c>
      <c r="R125" s="224" t="s">
        <v>3070</v>
      </c>
      <c r="S125" s="62">
        <v>42332</v>
      </c>
      <c r="T125" s="290" t="s">
        <v>3129</v>
      </c>
      <c r="U125" s="26">
        <v>42351</v>
      </c>
      <c r="V125" s="52" t="s">
        <v>1369</v>
      </c>
      <c r="W125" s="14" t="s">
        <v>1442</v>
      </c>
      <c r="X125" s="37"/>
      <c r="Y125" s="37"/>
      <c r="Z125" s="38"/>
      <c r="AA125" s="39"/>
      <c r="AB125" s="40"/>
      <c r="AC125" s="41"/>
      <c r="AD125" s="40"/>
      <c r="AE125" s="40"/>
      <c r="AF125" s="40"/>
      <c r="AG125" s="40"/>
      <c r="AH125" s="41"/>
      <c r="AI125" s="40"/>
      <c r="AJ125" s="42"/>
    </row>
    <row r="126" spans="1:36" s="5" customFormat="1" ht="24.95" customHeight="1" x14ac:dyDescent="0.2">
      <c r="A126" s="13"/>
      <c r="B126" s="454"/>
      <c r="C126" s="455"/>
      <c r="D126" s="455"/>
      <c r="E126" s="46">
        <v>1</v>
      </c>
      <c r="F126" s="17">
        <v>1</v>
      </c>
      <c r="G126" s="18"/>
      <c r="H126" s="175"/>
      <c r="I126" s="225"/>
      <c r="J126" s="74"/>
      <c r="K126" s="61" t="s">
        <v>3209</v>
      </c>
      <c r="L126" s="61">
        <v>42403</v>
      </c>
      <c r="M126" s="17" t="s">
        <v>3210</v>
      </c>
      <c r="N126" s="18">
        <v>42408</v>
      </c>
      <c r="O126" s="46" t="s">
        <v>3271</v>
      </c>
      <c r="P126" s="26">
        <v>42423</v>
      </c>
      <c r="Q126" s="52">
        <v>2</v>
      </c>
      <c r="R126" s="304" t="s">
        <v>3233</v>
      </c>
      <c r="S126" s="62">
        <v>42409</v>
      </c>
      <c r="T126" s="290" t="s">
        <v>3265</v>
      </c>
      <c r="U126" s="26">
        <v>42422</v>
      </c>
      <c r="V126" s="293" t="s">
        <v>1369</v>
      </c>
      <c r="W126" s="308" t="s">
        <v>1442</v>
      </c>
      <c r="X126" s="37"/>
      <c r="Y126" s="37"/>
      <c r="Z126" s="38"/>
      <c r="AA126" s="39"/>
      <c r="AB126" s="40"/>
      <c r="AC126" s="41"/>
      <c r="AD126" s="40"/>
      <c r="AE126" s="40"/>
      <c r="AF126" s="40"/>
      <c r="AG126" s="40"/>
      <c r="AH126" s="41"/>
      <c r="AI126" s="40"/>
      <c r="AJ126" s="42"/>
    </row>
    <row r="127" spans="1:36" s="5" customFormat="1" ht="24.95" customHeight="1" x14ac:dyDescent="0.2">
      <c r="A127" s="13"/>
      <c r="B127" s="454"/>
      <c r="C127" s="455"/>
      <c r="D127" s="455"/>
      <c r="E127" s="46">
        <v>2</v>
      </c>
      <c r="F127" s="17"/>
      <c r="G127" s="18"/>
      <c r="H127" s="175"/>
      <c r="I127" s="225"/>
      <c r="J127" s="74"/>
      <c r="K127" s="61" t="s">
        <v>3273</v>
      </c>
      <c r="L127" s="61">
        <v>42424</v>
      </c>
      <c r="M127" s="17" t="s">
        <v>3274</v>
      </c>
      <c r="N127" s="18">
        <v>42425</v>
      </c>
      <c r="O127" s="290" t="s">
        <v>3282</v>
      </c>
      <c r="P127" s="26">
        <v>42431</v>
      </c>
      <c r="Q127" s="52">
        <v>2</v>
      </c>
      <c r="R127" s="309" t="s">
        <v>3280</v>
      </c>
      <c r="S127" s="62">
        <v>42430</v>
      </c>
      <c r="T127" s="290"/>
      <c r="U127" s="26"/>
      <c r="V127" s="293"/>
      <c r="W127" s="67" t="s">
        <v>1552</v>
      </c>
      <c r="X127" s="37"/>
      <c r="Y127" s="37"/>
      <c r="Z127" s="38"/>
      <c r="AA127" s="39"/>
      <c r="AB127" s="40"/>
      <c r="AC127" s="41"/>
      <c r="AD127" s="40"/>
      <c r="AE127" s="40"/>
      <c r="AF127" s="40"/>
      <c r="AG127" s="40"/>
      <c r="AH127" s="41"/>
      <c r="AI127" s="40"/>
      <c r="AJ127" s="42"/>
    </row>
    <row r="128" spans="1:36" s="5" customFormat="1" ht="21" customHeight="1" x14ac:dyDescent="0.2">
      <c r="A128" s="13">
        <f>A124+1</f>
        <v>54</v>
      </c>
      <c r="B128" s="454" t="s">
        <v>75</v>
      </c>
      <c r="C128" s="455" t="s">
        <v>186</v>
      </c>
      <c r="D128" s="455" t="s">
        <v>303</v>
      </c>
      <c r="E128" s="46" t="s">
        <v>1432</v>
      </c>
      <c r="F128" s="17">
        <v>2</v>
      </c>
      <c r="G128" s="18">
        <v>42204</v>
      </c>
      <c r="H128" s="175"/>
      <c r="I128" s="225">
        <v>42157</v>
      </c>
      <c r="J128" s="74">
        <v>-38</v>
      </c>
      <c r="K128" s="61" t="s">
        <v>2720</v>
      </c>
      <c r="L128" s="61">
        <v>42242</v>
      </c>
      <c r="M128" s="17" t="s">
        <v>2721</v>
      </c>
      <c r="N128" s="18">
        <v>42243</v>
      </c>
      <c r="O128" s="46" t="s">
        <v>2932</v>
      </c>
      <c r="P128" s="26">
        <v>42262</v>
      </c>
      <c r="Q128" s="52">
        <v>1</v>
      </c>
      <c r="R128" s="114" t="s">
        <v>2750</v>
      </c>
      <c r="S128" s="18">
        <v>42243</v>
      </c>
      <c r="T128" s="46" t="s">
        <v>2844</v>
      </c>
      <c r="U128" s="26">
        <v>42254</v>
      </c>
      <c r="V128" s="52" t="s">
        <v>1369</v>
      </c>
      <c r="W128" s="67" t="s">
        <v>1442</v>
      </c>
      <c r="X128" s="37"/>
      <c r="Y128" s="37"/>
      <c r="Z128" s="38"/>
      <c r="AA128" s="39"/>
      <c r="AB128" s="40"/>
      <c r="AC128" s="41"/>
      <c r="AD128" s="40"/>
      <c r="AE128" s="40"/>
      <c r="AF128" s="40"/>
      <c r="AG128" s="40"/>
      <c r="AH128" s="41"/>
      <c r="AI128" s="40"/>
      <c r="AJ128" s="42"/>
    </row>
    <row r="129" spans="1:36" s="5" customFormat="1" ht="21" customHeight="1" x14ac:dyDescent="0.2">
      <c r="A129" s="13"/>
      <c r="B129" s="454"/>
      <c r="C129" s="455"/>
      <c r="D129" s="455"/>
      <c r="E129" s="46">
        <v>0</v>
      </c>
      <c r="F129" s="17">
        <v>1</v>
      </c>
      <c r="G129" s="18"/>
      <c r="H129" s="175"/>
      <c r="I129" s="225"/>
      <c r="J129" s="74"/>
      <c r="K129" s="61" t="s">
        <v>3209</v>
      </c>
      <c r="L129" s="61">
        <v>42403</v>
      </c>
      <c r="M129" s="17" t="s">
        <v>3210</v>
      </c>
      <c r="N129" s="18">
        <v>42408</v>
      </c>
      <c r="O129" s="46" t="s">
        <v>3271</v>
      </c>
      <c r="P129" s="26">
        <v>42423</v>
      </c>
      <c r="Q129" s="52">
        <v>2</v>
      </c>
      <c r="R129" s="114" t="s">
        <v>3233</v>
      </c>
      <c r="S129" s="62">
        <v>42409</v>
      </c>
      <c r="T129" s="290" t="s">
        <v>3266</v>
      </c>
      <c r="U129" s="26">
        <v>42422</v>
      </c>
      <c r="V129" s="293" t="s">
        <v>1369</v>
      </c>
      <c r="W129" s="308" t="s">
        <v>1442</v>
      </c>
      <c r="X129" s="37"/>
      <c r="Y129" s="37"/>
      <c r="Z129" s="38"/>
      <c r="AA129" s="39"/>
      <c r="AB129" s="40"/>
      <c r="AC129" s="41"/>
      <c r="AD129" s="40"/>
      <c r="AE129" s="40"/>
      <c r="AF129" s="40"/>
      <c r="AG129" s="40"/>
      <c r="AH129" s="41"/>
      <c r="AI129" s="40"/>
      <c r="AJ129" s="42"/>
    </row>
    <row r="130" spans="1:36" s="5" customFormat="1" ht="21" customHeight="1" x14ac:dyDescent="0.2">
      <c r="A130" s="13"/>
      <c r="B130" s="454"/>
      <c r="C130" s="455"/>
      <c r="D130" s="455"/>
      <c r="E130" s="46">
        <v>1</v>
      </c>
      <c r="F130" s="17"/>
      <c r="G130" s="18"/>
      <c r="H130" s="175"/>
      <c r="I130" s="225"/>
      <c r="J130" s="74"/>
      <c r="K130" s="61" t="s">
        <v>3273</v>
      </c>
      <c r="L130" s="61">
        <v>42424</v>
      </c>
      <c r="M130" s="17" t="s">
        <v>3274</v>
      </c>
      <c r="N130" s="18">
        <v>42425</v>
      </c>
      <c r="O130" s="290" t="s">
        <v>3282</v>
      </c>
      <c r="P130" s="26">
        <v>42431</v>
      </c>
      <c r="Q130" s="52">
        <v>2</v>
      </c>
      <c r="R130" s="309" t="s">
        <v>3280</v>
      </c>
      <c r="S130" s="62">
        <v>42430</v>
      </c>
      <c r="T130" s="290"/>
      <c r="U130" s="26"/>
      <c r="V130" s="293"/>
      <c r="W130" s="67" t="s">
        <v>1552</v>
      </c>
      <c r="X130" s="37"/>
      <c r="Y130" s="37"/>
      <c r="Z130" s="38"/>
      <c r="AA130" s="39"/>
      <c r="AB130" s="40"/>
      <c r="AC130" s="41"/>
      <c r="AD130" s="40"/>
      <c r="AE130" s="40"/>
      <c r="AF130" s="40"/>
      <c r="AG130" s="40"/>
      <c r="AH130" s="41"/>
      <c r="AI130" s="40"/>
      <c r="AJ130" s="42"/>
    </row>
    <row r="131" spans="1:36" s="5" customFormat="1" ht="21" customHeight="1" x14ac:dyDescent="0.2">
      <c r="A131" s="13">
        <f>A128+1</f>
        <v>55</v>
      </c>
      <c r="B131" s="356" t="s">
        <v>2911</v>
      </c>
      <c r="C131" s="345" t="s">
        <v>187</v>
      </c>
      <c r="D131" s="345" t="s">
        <v>304</v>
      </c>
      <c r="E131" s="46" t="s">
        <v>1432</v>
      </c>
      <c r="F131" s="17">
        <v>2</v>
      </c>
      <c r="G131" s="18">
        <v>42246</v>
      </c>
      <c r="H131" s="175"/>
      <c r="I131" s="225">
        <v>42169</v>
      </c>
      <c r="J131" s="74">
        <v>-15</v>
      </c>
      <c r="K131" s="61" t="s">
        <v>2909</v>
      </c>
      <c r="L131" s="16">
        <v>42261</v>
      </c>
      <c r="M131" s="17" t="s">
        <v>2912</v>
      </c>
      <c r="N131" s="18">
        <v>42264</v>
      </c>
      <c r="O131" s="46" t="s">
        <v>3026</v>
      </c>
      <c r="P131" s="26">
        <v>42277</v>
      </c>
      <c r="Q131" s="52">
        <v>3</v>
      </c>
      <c r="R131" s="17" t="s">
        <v>3011</v>
      </c>
      <c r="S131" s="18">
        <v>42264</v>
      </c>
      <c r="T131" s="8"/>
      <c r="U131" s="26"/>
      <c r="V131" s="52"/>
      <c r="W131" s="67" t="s">
        <v>1552</v>
      </c>
      <c r="X131" s="37"/>
      <c r="Y131" s="37"/>
      <c r="Z131" s="38"/>
      <c r="AA131" s="39"/>
      <c r="AB131" s="40"/>
      <c r="AC131" s="41"/>
      <c r="AD131" s="40"/>
      <c r="AE131" s="40"/>
      <c r="AF131" s="40"/>
      <c r="AG131" s="40"/>
      <c r="AH131" s="41"/>
      <c r="AI131" s="40"/>
      <c r="AJ131" s="42"/>
    </row>
    <row r="132" spans="1:36" s="5" customFormat="1" ht="23.25" customHeight="1" x14ac:dyDescent="0.2">
      <c r="A132" s="13"/>
      <c r="B132" s="358"/>
      <c r="C132" s="346"/>
      <c r="D132" s="346"/>
      <c r="E132" s="46">
        <v>0</v>
      </c>
      <c r="F132" s="17"/>
      <c r="G132" s="18"/>
      <c r="H132" s="175"/>
      <c r="I132" s="226"/>
      <c r="J132" s="74"/>
      <c r="K132" s="62" t="s">
        <v>2979</v>
      </c>
      <c r="L132" s="61">
        <v>42276</v>
      </c>
      <c r="M132" s="279" t="s">
        <v>2968</v>
      </c>
      <c r="N132" s="18">
        <v>42277</v>
      </c>
      <c r="O132" s="46" t="s">
        <v>3040</v>
      </c>
      <c r="P132" s="26">
        <v>42281</v>
      </c>
      <c r="Q132" s="52">
        <v>1</v>
      </c>
      <c r="R132" s="17" t="s">
        <v>3035</v>
      </c>
      <c r="S132" s="18">
        <v>42278</v>
      </c>
      <c r="T132" s="290" t="s">
        <v>3049</v>
      </c>
      <c r="U132" s="26">
        <v>42298</v>
      </c>
      <c r="V132" s="52" t="s">
        <v>1369</v>
      </c>
      <c r="W132" s="67" t="s">
        <v>1442</v>
      </c>
      <c r="X132" s="37"/>
      <c r="Y132" s="37"/>
      <c r="Z132" s="38"/>
      <c r="AA132" s="39"/>
      <c r="AB132" s="40"/>
      <c r="AC132" s="41"/>
      <c r="AD132" s="40"/>
      <c r="AE132" s="40"/>
      <c r="AF132" s="40"/>
      <c r="AG132" s="40"/>
      <c r="AH132" s="41"/>
      <c r="AI132" s="40"/>
      <c r="AJ132" s="42"/>
    </row>
    <row r="133" spans="1:36" s="5" customFormat="1" ht="21" hidden="1" customHeight="1" x14ac:dyDescent="0.2">
      <c r="A133" s="13">
        <f>A131+1</f>
        <v>56</v>
      </c>
      <c r="B133" s="25" t="s">
        <v>76</v>
      </c>
      <c r="C133" s="15" t="s">
        <v>188</v>
      </c>
      <c r="D133" s="15" t="s">
        <v>305</v>
      </c>
      <c r="E133" s="46" t="s">
        <v>1432</v>
      </c>
      <c r="F133" s="17">
        <v>2</v>
      </c>
      <c r="G133" s="61">
        <v>41888</v>
      </c>
      <c r="H133" s="62"/>
      <c r="I133" s="62"/>
      <c r="J133" s="74">
        <v>-51</v>
      </c>
      <c r="K133" s="99" t="s">
        <v>1993</v>
      </c>
      <c r="L133" s="16">
        <v>41939</v>
      </c>
      <c r="M133" s="114" t="s">
        <v>1995</v>
      </c>
      <c r="N133" s="18">
        <v>41940</v>
      </c>
      <c r="O133" s="46" t="s">
        <v>2170</v>
      </c>
      <c r="P133" s="26">
        <v>41959</v>
      </c>
      <c r="Q133" s="63" t="s">
        <v>1465</v>
      </c>
      <c r="R133" s="187" t="s">
        <v>2071</v>
      </c>
      <c r="S133" s="62">
        <v>41941</v>
      </c>
      <c r="T133" s="46" t="s">
        <v>2123</v>
      </c>
      <c r="U133" s="26">
        <v>41945</v>
      </c>
      <c r="V133" s="63" t="s">
        <v>1465</v>
      </c>
      <c r="W133" s="67" t="s">
        <v>1442</v>
      </c>
      <c r="X133" s="37"/>
      <c r="Y133" s="37"/>
      <c r="Z133" s="38"/>
      <c r="AA133" s="39"/>
      <c r="AB133" s="40"/>
      <c r="AC133" s="41"/>
      <c r="AD133" s="40"/>
      <c r="AE133" s="40"/>
      <c r="AF133" s="40"/>
      <c r="AG133" s="40"/>
      <c r="AH133" s="41"/>
      <c r="AI133" s="40"/>
      <c r="AJ133" s="42"/>
    </row>
    <row r="134" spans="1:36" s="5" customFormat="1" ht="21" hidden="1" customHeight="1" x14ac:dyDescent="0.2">
      <c r="A134" s="13">
        <f t="shared" ref="A134:A137" si="0">A133+1</f>
        <v>57</v>
      </c>
      <c r="B134" s="25" t="s">
        <v>77</v>
      </c>
      <c r="C134" s="15" t="s">
        <v>189</v>
      </c>
      <c r="D134" s="15" t="s">
        <v>306</v>
      </c>
      <c r="E134" s="46" t="s">
        <v>1432</v>
      </c>
      <c r="F134" s="17">
        <v>2</v>
      </c>
      <c r="G134" s="61">
        <v>41855</v>
      </c>
      <c r="H134" s="62"/>
      <c r="I134" s="62"/>
      <c r="J134" s="74">
        <v>-51</v>
      </c>
      <c r="K134" s="99" t="s">
        <v>1923</v>
      </c>
      <c r="L134" s="61">
        <v>41906</v>
      </c>
      <c r="M134" s="114" t="s">
        <v>1924</v>
      </c>
      <c r="N134" s="18">
        <v>41909</v>
      </c>
      <c r="O134" s="46" t="s">
        <v>2167</v>
      </c>
      <c r="P134" s="26">
        <v>41959</v>
      </c>
      <c r="Q134" s="63" t="s">
        <v>1465</v>
      </c>
      <c r="R134" s="15" t="s">
        <v>1981</v>
      </c>
      <c r="S134" s="62">
        <v>41913</v>
      </c>
      <c r="T134" s="46" t="s">
        <v>2077</v>
      </c>
      <c r="U134" s="26">
        <v>41926</v>
      </c>
      <c r="V134" s="63" t="s">
        <v>1465</v>
      </c>
      <c r="W134" s="67" t="s">
        <v>1442</v>
      </c>
      <c r="X134" s="37"/>
      <c r="Y134" s="37"/>
      <c r="Z134" s="38"/>
      <c r="AA134" s="39"/>
      <c r="AB134" s="40"/>
      <c r="AC134" s="41"/>
      <c r="AD134" s="40"/>
      <c r="AE134" s="40"/>
      <c r="AF134" s="40"/>
      <c r="AG134" s="40"/>
      <c r="AH134" s="41"/>
      <c r="AI134" s="40"/>
      <c r="AJ134" s="42"/>
    </row>
    <row r="135" spans="1:36" s="5" customFormat="1" ht="21" hidden="1" customHeight="1" x14ac:dyDescent="0.2">
      <c r="A135" s="13">
        <f t="shared" si="0"/>
        <v>58</v>
      </c>
      <c r="B135" s="25" t="s">
        <v>78</v>
      </c>
      <c r="C135" s="209" t="s">
        <v>190</v>
      </c>
      <c r="D135" s="15" t="s">
        <v>307</v>
      </c>
      <c r="E135" s="46" t="s">
        <v>1432</v>
      </c>
      <c r="F135" s="17">
        <v>2</v>
      </c>
      <c r="G135" s="61">
        <v>41859</v>
      </c>
      <c r="H135" s="62"/>
      <c r="I135" s="62"/>
      <c r="J135" s="74">
        <v>-53</v>
      </c>
      <c r="K135" s="99" t="s">
        <v>1964</v>
      </c>
      <c r="L135" s="61">
        <v>41912</v>
      </c>
      <c r="M135" s="114" t="s">
        <v>1965</v>
      </c>
      <c r="N135" s="18">
        <v>41914</v>
      </c>
      <c r="O135" s="46" t="s">
        <v>2055</v>
      </c>
      <c r="P135" s="26">
        <v>41924</v>
      </c>
      <c r="Q135" s="63" t="s">
        <v>1465</v>
      </c>
      <c r="R135" s="15" t="s">
        <v>1988</v>
      </c>
      <c r="S135" s="62">
        <v>41914</v>
      </c>
      <c r="T135" s="46" t="s">
        <v>2078</v>
      </c>
      <c r="U135" s="26">
        <v>41926</v>
      </c>
      <c r="V135" s="63" t="s">
        <v>1465</v>
      </c>
      <c r="W135" s="67" t="s">
        <v>1442</v>
      </c>
      <c r="X135" s="37"/>
      <c r="Y135" s="37"/>
      <c r="Z135" s="38"/>
      <c r="AA135" s="39"/>
      <c r="AB135" s="40"/>
      <c r="AC135" s="41"/>
      <c r="AD135" s="40"/>
      <c r="AE135" s="40"/>
      <c r="AF135" s="40"/>
      <c r="AG135" s="40"/>
      <c r="AH135" s="41"/>
      <c r="AI135" s="40"/>
      <c r="AJ135" s="42"/>
    </row>
    <row r="136" spans="1:36" s="5" customFormat="1" ht="21" hidden="1" customHeight="1" x14ac:dyDescent="0.2">
      <c r="A136" s="13">
        <f t="shared" si="0"/>
        <v>59</v>
      </c>
      <c r="B136" s="25" t="s">
        <v>79</v>
      </c>
      <c r="C136" s="203" t="s">
        <v>191</v>
      </c>
      <c r="D136" s="203" t="s">
        <v>308</v>
      </c>
      <c r="E136" s="46" t="s">
        <v>1432</v>
      </c>
      <c r="F136" s="17">
        <v>2</v>
      </c>
      <c r="G136" s="61">
        <v>41877</v>
      </c>
      <c r="H136" s="62"/>
      <c r="I136" s="62"/>
      <c r="J136" s="74">
        <v>-85</v>
      </c>
      <c r="K136" s="99" t="s">
        <v>2196</v>
      </c>
      <c r="L136" s="16">
        <v>41963</v>
      </c>
      <c r="M136" s="17" t="s">
        <v>2197</v>
      </c>
      <c r="N136" s="18">
        <v>41965</v>
      </c>
      <c r="O136" s="46" t="s">
        <v>2206</v>
      </c>
      <c r="P136" s="26">
        <v>41972</v>
      </c>
      <c r="Q136" s="63" t="s">
        <v>1465</v>
      </c>
      <c r="R136" s="204" t="s">
        <v>2200</v>
      </c>
      <c r="S136" s="62">
        <v>41967</v>
      </c>
      <c r="T136" s="46" t="s">
        <v>2228</v>
      </c>
      <c r="U136" s="26">
        <v>41990</v>
      </c>
      <c r="V136" s="105" t="s">
        <v>1465</v>
      </c>
      <c r="W136" s="67" t="s">
        <v>1442</v>
      </c>
      <c r="X136" s="37"/>
      <c r="Y136" s="37"/>
      <c r="Z136" s="38"/>
      <c r="AA136" s="39"/>
      <c r="AB136" s="40"/>
      <c r="AC136" s="41"/>
      <c r="AD136" s="40"/>
      <c r="AE136" s="40"/>
      <c r="AF136" s="40"/>
      <c r="AG136" s="40"/>
      <c r="AH136" s="41"/>
      <c r="AI136" s="40"/>
      <c r="AJ136" s="42"/>
    </row>
    <row r="137" spans="1:36" s="5" customFormat="1" ht="12.75" hidden="1" customHeight="1" x14ac:dyDescent="0.2">
      <c r="A137" s="13">
        <f t="shared" si="0"/>
        <v>60</v>
      </c>
      <c r="B137" s="353" t="s">
        <v>80</v>
      </c>
      <c r="C137" s="345" t="s">
        <v>192</v>
      </c>
      <c r="D137" s="345" t="s">
        <v>309</v>
      </c>
      <c r="E137" s="46" t="s">
        <v>1432</v>
      </c>
      <c r="F137" s="17">
        <v>2</v>
      </c>
      <c r="G137" s="61">
        <v>41908</v>
      </c>
      <c r="H137" s="62"/>
      <c r="I137" s="62"/>
      <c r="J137" s="74" t="s">
        <v>1442</v>
      </c>
      <c r="K137" s="61" t="s">
        <v>1642</v>
      </c>
      <c r="L137" s="16">
        <v>41842</v>
      </c>
      <c r="M137" s="17" t="s">
        <v>1643</v>
      </c>
      <c r="N137" s="18">
        <v>41852</v>
      </c>
      <c r="O137" s="46" t="s">
        <v>1704</v>
      </c>
      <c r="P137" s="26">
        <v>41863</v>
      </c>
      <c r="Q137" s="52">
        <v>2</v>
      </c>
      <c r="R137" s="172" t="s">
        <v>1665</v>
      </c>
      <c r="S137" s="62">
        <v>41854</v>
      </c>
      <c r="T137" s="8"/>
      <c r="U137" s="9" t="s">
        <v>1442</v>
      </c>
      <c r="V137" s="48" t="s">
        <v>1442</v>
      </c>
      <c r="W137" s="106" t="s">
        <v>1552</v>
      </c>
      <c r="X137" s="37"/>
      <c r="Y137" s="37"/>
      <c r="Z137" s="38"/>
      <c r="AA137" s="39"/>
      <c r="AB137" s="40"/>
      <c r="AC137" s="41"/>
      <c r="AD137" s="40"/>
      <c r="AE137" s="40"/>
      <c r="AF137" s="40"/>
      <c r="AG137" s="40"/>
      <c r="AH137" s="41"/>
      <c r="AI137" s="40"/>
      <c r="AJ137" s="42"/>
    </row>
    <row r="138" spans="1:36" s="5" customFormat="1" ht="21" hidden="1" customHeight="1" x14ac:dyDescent="0.2">
      <c r="A138" s="13"/>
      <c r="B138" s="354"/>
      <c r="C138" s="346"/>
      <c r="D138" s="346"/>
      <c r="E138" s="46">
        <v>0</v>
      </c>
      <c r="F138" s="17" t="s">
        <v>1442</v>
      </c>
      <c r="G138" s="61" t="s">
        <v>1442</v>
      </c>
      <c r="H138" s="62"/>
      <c r="I138" s="62"/>
      <c r="J138" s="74" t="s">
        <v>1442</v>
      </c>
      <c r="K138" s="61" t="s">
        <v>1740</v>
      </c>
      <c r="L138" s="61">
        <v>41886</v>
      </c>
      <c r="M138" s="17" t="s">
        <v>1741</v>
      </c>
      <c r="N138" s="18">
        <v>41890</v>
      </c>
      <c r="O138" s="46" t="s">
        <v>1821</v>
      </c>
      <c r="P138" s="26">
        <v>41893</v>
      </c>
      <c r="Q138" s="63" t="s">
        <v>1465</v>
      </c>
      <c r="R138" s="180" t="s">
        <v>1783</v>
      </c>
      <c r="S138" s="62">
        <v>41891</v>
      </c>
      <c r="T138" s="46" t="s">
        <v>1782</v>
      </c>
      <c r="U138" s="26">
        <v>41892</v>
      </c>
      <c r="V138" s="52" t="s">
        <v>1529</v>
      </c>
      <c r="W138" s="106" t="s">
        <v>1442</v>
      </c>
      <c r="X138" s="37"/>
      <c r="Y138" s="37"/>
      <c r="Z138" s="38"/>
      <c r="AA138" s="39"/>
      <c r="AB138" s="40"/>
      <c r="AC138" s="41"/>
      <c r="AD138" s="40"/>
      <c r="AE138" s="40"/>
      <c r="AF138" s="40"/>
      <c r="AG138" s="40"/>
      <c r="AH138" s="41"/>
      <c r="AI138" s="40"/>
      <c r="AJ138" s="42"/>
    </row>
    <row r="139" spans="1:36" s="5" customFormat="1" ht="21" hidden="1" customHeight="1" x14ac:dyDescent="0.2">
      <c r="A139" s="13">
        <f>A137+1</f>
        <v>61</v>
      </c>
      <c r="B139" s="25" t="s">
        <v>81</v>
      </c>
      <c r="C139" s="15" t="s">
        <v>193</v>
      </c>
      <c r="D139" s="15" t="s">
        <v>310</v>
      </c>
      <c r="E139" s="46" t="s">
        <v>1432</v>
      </c>
      <c r="F139" s="17">
        <v>2</v>
      </c>
      <c r="G139" s="61">
        <v>41891</v>
      </c>
      <c r="H139" s="62"/>
      <c r="I139" s="62"/>
      <c r="J139" s="74">
        <v>-22</v>
      </c>
      <c r="K139" s="61" t="s">
        <v>1976</v>
      </c>
      <c r="L139" s="16">
        <v>41913</v>
      </c>
      <c r="M139" s="17" t="s">
        <v>1977</v>
      </c>
      <c r="N139" s="18">
        <v>41914</v>
      </c>
      <c r="O139" s="46" t="s">
        <v>2059</v>
      </c>
      <c r="P139" s="26">
        <v>41925</v>
      </c>
      <c r="Q139" s="63" t="s">
        <v>1465</v>
      </c>
      <c r="R139" s="186" t="s">
        <v>2018</v>
      </c>
      <c r="S139" s="62">
        <v>41920</v>
      </c>
      <c r="T139" s="46" t="s">
        <v>2079</v>
      </c>
      <c r="U139" s="26">
        <v>41926</v>
      </c>
      <c r="V139" s="63" t="s">
        <v>1465</v>
      </c>
      <c r="W139" s="67" t="s">
        <v>1442</v>
      </c>
      <c r="X139" s="37"/>
      <c r="Y139" s="37"/>
      <c r="Z139" s="38"/>
      <c r="AA139" s="39"/>
      <c r="AB139" s="40"/>
      <c r="AC139" s="41"/>
      <c r="AD139" s="40"/>
      <c r="AE139" s="40"/>
      <c r="AF139" s="40"/>
      <c r="AG139" s="40"/>
      <c r="AH139" s="41"/>
      <c r="AI139" s="40"/>
      <c r="AJ139" s="42"/>
    </row>
    <row r="140" spans="1:36" s="5" customFormat="1" ht="21" hidden="1" customHeight="1" x14ac:dyDescent="0.2">
      <c r="A140" s="13">
        <f t="shared" ref="A140:A146" si="1">A139+1</f>
        <v>62</v>
      </c>
      <c r="B140" s="25" t="s">
        <v>82</v>
      </c>
      <c r="C140" s="209" t="s">
        <v>194</v>
      </c>
      <c r="D140" s="15" t="s">
        <v>311</v>
      </c>
      <c r="E140" s="46" t="s">
        <v>1432</v>
      </c>
      <c r="F140" s="17">
        <v>2</v>
      </c>
      <c r="G140" s="61">
        <v>41933</v>
      </c>
      <c r="H140" s="62"/>
      <c r="I140" s="62"/>
      <c r="J140" s="74">
        <v>-19</v>
      </c>
      <c r="K140" s="61" t="s">
        <v>2148</v>
      </c>
      <c r="L140" s="16">
        <v>41952</v>
      </c>
      <c r="M140" s="17" t="s">
        <v>2149</v>
      </c>
      <c r="N140" s="18">
        <v>41953</v>
      </c>
      <c r="O140" s="46" t="s">
        <v>2169</v>
      </c>
      <c r="P140" s="26">
        <v>41959</v>
      </c>
      <c r="Q140" s="63" t="s">
        <v>1465</v>
      </c>
      <c r="R140" s="202" t="s">
        <v>2154</v>
      </c>
      <c r="S140" s="62">
        <v>41954</v>
      </c>
      <c r="T140" s="46" t="s">
        <v>2166</v>
      </c>
      <c r="U140" s="26">
        <v>41956</v>
      </c>
      <c r="V140" s="63" t="s">
        <v>1465</v>
      </c>
      <c r="W140" s="67" t="s">
        <v>1442</v>
      </c>
      <c r="X140" s="37"/>
      <c r="Y140" s="37"/>
      <c r="Z140" s="38"/>
      <c r="AA140" s="39"/>
      <c r="AB140" s="40"/>
      <c r="AC140" s="41"/>
      <c r="AD140" s="40"/>
      <c r="AE140" s="40"/>
      <c r="AF140" s="40"/>
      <c r="AG140" s="40"/>
      <c r="AH140" s="41"/>
      <c r="AI140" s="40"/>
      <c r="AJ140" s="42"/>
    </row>
    <row r="141" spans="1:36" s="5" customFormat="1" ht="21" hidden="1" customHeight="1" x14ac:dyDescent="0.2">
      <c r="A141" s="13">
        <f t="shared" si="1"/>
        <v>63</v>
      </c>
      <c r="B141" s="25" t="s">
        <v>83</v>
      </c>
      <c r="C141" s="15" t="s">
        <v>195</v>
      </c>
      <c r="D141" s="15" t="s">
        <v>312</v>
      </c>
      <c r="E141" s="46" t="s">
        <v>1432</v>
      </c>
      <c r="F141" s="17">
        <v>2</v>
      </c>
      <c r="G141" s="61">
        <v>41911</v>
      </c>
      <c r="H141" s="62"/>
      <c r="I141" s="62"/>
      <c r="J141" s="74">
        <v>-1</v>
      </c>
      <c r="K141" s="61" t="s">
        <v>1859</v>
      </c>
      <c r="L141" s="61">
        <v>41899</v>
      </c>
      <c r="M141" s="17" t="s">
        <v>1858</v>
      </c>
      <c r="N141" s="18">
        <v>41904</v>
      </c>
      <c r="O141" s="46" t="s">
        <v>2043</v>
      </c>
      <c r="P141" s="26">
        <v>41920</v>
      </c>
      <c r="Q141" s="63" t="s">
        <v>1465</v>
      </c>
      <c r="R141" s="15" t="s">
        <v>1915</v>
      </c>
      <c r="S141" s="62">
        <v>41906</v>
      </c>
      <c r="T141" s="46" t="s">
        <v>1966</v>
      </c>
      <c r="U141" s="26">
        <v>41912</v>
      </c>
      <c r="V141" s="63" t="s">
        <v>1465</v>
      </c>
      <c r="W141" s="67" t="s">
        <v>1442</v>
      </c>
      <c r="X141" s="37"/>
      <c r="Y141" s="37"/>
      <c r="Z141" s="38"/>
      <c r="AA141" s="39"/>
      <c r="AB141" s="40"/>
      <c r="AC141" s="41"/>
      <c r="AD141" s="40"/>
      <c r="AE141" s="40"/>
      <c r="AF141" s="40"/>
      <c r="AG141" s="40"/>
      <c r="AH141" s="41"/>
      <c r="AI141" s="40"/>
      <c r="AJ141" s="42"/>
    </row>
    <row r="142" spans="1:36" s="5" customFormat="1" ht="21" hidden="1" customHeight="1" x14ac:dyDescent="0.2">
      <c r="A142" s="13">
        <f t="shared" si="1"/>
        <v>64</v>
      </c>
      <c r="B142" s="25" t="s">
        <v>84</v>
      </c>
      <c r="C142" s="209" t="s">
        <v>196</v>
      </c>
      <c r="D142" s="15" t="s">
        <v>313</v>
      </c>
      <c r="E142" s="46" t="s">
        <v>1432</v>
      </c>
      <c r="F142" s="17">
        <v>2</v>
      </c>
      <c r="G142" s="61">
        <v>41937</v>
      </c>
      <c r="H142" s="62"/>
      <c r="I142" s="62"/>
      <c r="J142" s="74">
        <v>-18</v>
      </c>
      <c r="K142" s="99" t="s">
        <v>2160</v>
      </c>
      <c r="L142" s="99">
        <v>41955</v>
      </c>
      <c r="M142" s="17" t="s">
        <v>2162</v>
      </c>
      <c r="N142" s="104">
        <v>41958</v>
      </c>
      <c r="O142" s="46" t="s">
        <v>2198</v>
      </c>
      <c r="P142" s="26">
        <v>41965</v>
      </c>
      <c r="Q142" s="63" t="s">
        <v>1465</v>
      </c>
      <c r="R142" s="202" t="s">
        <v>2187</v>
      </c>
      <c r="S142" s="62">
        <v>41960</v>
      </c>
      <c r="T142" s="46" t="s">
        <v>2220</v>
      </c>
      <c r="U142" s="26">
        <v>41981</v>
      </c>
      <c r="V142" s="63" t="s">
        <v>1465</v>
      </c>
      <c r="W142" s="67" t="s">
        <v>1442</v>
      </c>
      <c r="X142" s="37"/>
      <c r="Y142" s="37"/>
      <c r="Z142" s="38"/>
      <c r="AA142" s="39"/>
      <c r="AB142" s="40"/>
      <c r="AC142" s="41"/>
      <c r="AD142" s="40"/>
      <c r="AE142" s="40"/>
      <c r="AF142" s="40"/>
      <c r="AG142" s="40"/>
      <c r="AH142" s="41"/>
      <c r="AI142" s="40"/>
      <c r="AJ142" s="42"/>
    </row>
    <row r="143" spans="1:36" s="5" customFormat="1" ht="21" hidden="1" customHeight="1" x14ac:dyDescent="0.2">
      <c r="A143" s="13">
        <f t="shared" si="1"/>
        <v>65</v>
      </c>
      <c r="B143" s="25" t="s">
        <v>85</v>
      </c>
      <c r="C143" s="15" t="s">
        <v>197</v>
      </c>
      <c r="D143" s="15" t="s">
        <v>314</v>
      </c>
      <c r="E143" s="46" t="s">
        <v>1432</v>
      </c>
      <c r="F143" s="17">
        <v>2</v>
      </c>
      <c r="G143" s="61">
        <v>41915</v>
      </c>
      <c r="H143" s="62"/>
      <c r="I143" s="62"/>
      <c r="J143" s="74">
        <v>17</v>
      </c>
      <c r="K143" s="61" t="s">
        <v>1844</v>
      </c>
      <c r="L143" s="16">
        <v>41896</v>
      </c>
      <c r="M143" s="17" t="s">
        <v>1816</v>
      </c>
      <c r="N143" s="18">
        <v>41898</v>
      </c>
      <c r="O143" s="46" t="s">
        <v>2185</v>
      </c>
      <c r="P143" s="26">
        <v>41959</v>
      </c>
      <c r="Q143" s="63" t="s">
        <v>1465</v>
      </c>
      <c r="R143" s="15" t="s">
        <v>1867</v>
      </c>
      <c r="S143" s="62">
        <v>41900</v>
      </c>
      <c r="T143" s="46" t="s">
        <v>1959</v>
      </c>
      <c r="U143" s="26">
        <v>41911</v>
      </c>
      <c r="V143" s="52" t="s">
        <v>1529</v>
      </c>
      <c r="W143" s="67" t="s">
        <v>1442</v>
      </c>
      <c r="X143" s="37"/>
      <c r="Y143" s="37"/>
      <c r="Z143" s="38"/>
      <c r="AA143" s="39"/>
      <c r="AB143" s="40"/>
      <c r="AC143" s="41"/>
      <c r="AD143" s="40"/>
      <c r="AE143" s="40"/>
      <c r="AF143" s="40"/>
      <c r="AG143" s="40"/>
      <c r="AH143" s="41"/>
      <c r="AI143" s="40"/>
      <c r="AJ143" s="42"/>
    </row>
    <row r="144" spans="1:36" s="5" customFormat="1" ht="21" hidden="1" customHeight="1" x14ac:dyDescent="0.2">
      <c r="A144" s="13">
        <f t="shared" si="1"/>
        <v>66</v>
      </c>
      <c r="B144" s="25" t="s">
        <v>86</v>
      </c>
      <c r="C144" s="209" t="s">
        <v>198</v>
      </c>
      <c r="D144" s="15" t="s">
        <v>315</v>
      </c>
      <c r="E144" s="46" t="s">
        <v>1432</v>
      </c>
      <c r="F144" s="17">
        <v>2</v>
      </c>
      <c r="G144" s="61">
        <v>41941</v>
      </c>
      <c r="H144" s="62"/>
      <c r="I144" s="62"/>
      <c r="J144" s="74">
        <v>-18</v>
      </c>
      <c r="K144" s="61" t="s">
        <v>2173</v>
      </c>
      <c r="L144" s="16">
        <v>41959</v>
      </c>
      <c r="M144" s="17" t="s">
        <v>2174</v>
      </c>
      <c r="N144" s="18">
        <v>41961</v>
      </c>
      <c r="O144" s="46" t="s">
        <v>2205</v>
      </c>
      <c r="P144" s="26">
        <v>41972</v>
      </c>
      <c r="Q144" s="63" t="s">
        <v>1465</v>
      </c>
      <c r="R144" s="203" t="s">
        <v>2191</v>
      </c>
      <c r="S144" s="62">
        <v>41962</v>
      </c>
      <c r="T144" s="46" t="s">
        <v>2219</v>
      </c>
      <c r="U144" s="26">
        <v>41981</v>
      </c>
      <c r="V144" s="63" t="s">
        <v>1465</v>
      </c>
      <c r="W144" s="67" t="s">
        <v>1442</v>
      </c>
      <c r="X144" s="37"/>
      <c r="Y144" s="37"/>
      <c r="Z144" s="38"/>
      <c r="AA144" s="39"/>
      <c r="AB144" s="40"/>
      <c r="AC144" s="41"/>
      <c r="AD144" s="40"/>
      <c r="AE144" s="40"/>
      <c r="AF144" s="40"/>
      <c r="AG144" s="40"/>
      <c r="AH144" s="41"/>
      <c r="AI144" s="40"/>
      <c r="AJ144" s="42"/>
    </row>
    <row r="145" spans="1:36" s="5" customFormat="1" ht="21" hidden="1" customHeight="1" x14ac:dyDescent="0.2">
      <c r="A145" s="13">
        <f t="shared" si="1"/>
        <v>67</v>
      </c>
      <c r="B145" s="25" t="s">
        <v>87</v>
      </c>
      <c r="C145" s="15" t="s">
        <v>199</v>
      </c>
      <c r="D145" s="15" t="s">
        <v>316</v>
      </c>
      <c r="E145" s="46" t="s">
        <v>1432</v>
      </c>
      <c r="F145" s="17">
        <v>2</v>
      </c>
      <c r="G145" s="61">
        <v>41919</v>
      </c>
      <c r="H145" s="62"/>
      <c r="I145" s="62"/>
      <c r="J145" s="74">
        <v>20</v>
      </c>
      <c r="K145" s="61" t="s">
        <v>1855</v>
      </c>
      <c r="L145" s="61">
        <v>41898</v>
      </c>
      <c r="M145" s="17" t="s">
        <v>1854</v>
      </c>
      <c r="N145" s="18">
        <v>41904</v>
      </c>
      <c r="O145" s="46" t="s">
        <v>1970</v>
      </c>
      <c r="P145" s="26">
        <v>41912</v>
      </c>
      <c r="Q145" s="63" t="s">
        <v>1465</v>
      </c>
      <c r="R145" s="15" t="s">
        <v>1916</v>
      </c>
      <c r="S145" s="62">
        <v>41906</v>
      </c>
      <c r="T145" s="46" t="s">
        <v>2072</v>
      </c>
      <c r="U145" s="26">
        <v>41924</v>
      </c>
      <c r="V145" s="63" t="s">
        <v>1465</v>
      </c>
      <c r="W145" s="67" t="s">
        <v>1442</v>
      </c>
      <c r="X145" s="37"/>
      <c r="Y145" s="37"/>
      <c r="Z145" s="38"/>
      <c r="AA145" s="39"/>
      <c r="AB145" s="40"/>
      <c r="AC145" s="41"/>
      <c r="AD145" s="40"/>
      <c r="AE145" s="40"/>
      <c r="AF145" s="40"/>
      <c r="AG145" s="40"/>
      <c r="AH145" s="41"/>
      <c r="AI145" s="40"/>
      <c r="AJ145" s="42"/>
    </row>
    <row r="146" spans="1:36" s="5" customFormat="1" ht="12.75" hidden="1" customHeight="1" x14ac:dyDescent="0.2">
      <c r="A146" s="13">
        <f t="shared" si="1"/>
        <v>68</v>
      </c>
      <c r="B146" s="353" t="s">
        <v>88</v>
      </c>
      <c r="C146" s="345" t="s">
        <v>200</v>
      </c>
      <c r="D146" s="345" t="s">
        <v>317</v>
      </c>
      <c r="E146" s="46" t="s">
        <v>1432</v>
      </c>
      <c r="F146" s="17">
        <v>2</v>
      </c>
      <c r="G146" s="61">
        <v>41923</v>
      </c>
      <c r="H146" s="62"/>
      <c r="I146" s="62"/>
      <c r="J146" s="74">
        <v>20</v>
      </c>
      <c r="K146" s="99" t="s">
        <v>1796</v>
      </c>
      <c r="L146" s="99">
        <v>41893</v>
      </c>
      <c r="M146" s="114" t="s">
        <v>1797</v>
      </c>
      <c r="N146" s="104">
        <v>41894</v>
      </c>
      <c r="O146" s="46" t="s">
        <v>1876</v>
      </c>
      <c r="P146" s="26">
        <v>41899</v>
      </c>
      <c r="Q146" s="52">
        <v>2</v>
      </c>
      <c r="R146" s="180" t="s">
        <v>1849</v>
      </c>
      <c r="S146" s="62">
        <v>41898</v>
      </c>
      <c r="T146" s="8"/>
      <c r="U146" s="9"/>
      <c r="V146" s="48"/>
      <c r="W146" s="67" t="s">
        <v>1552</v>
      </c>
      <c r="X146" s="37"/>
      <c r="Y146" s="37"/>
      <c r="Z146" s="38"/>
      <c r="AA146" s="39"/>
      <c r="AB146" s="40"/>
      <c r="AC146" s="41"/>
      <c r="AD146" s="40"/>
      <c r="AE146" s="40"/>
      <c r="AF146" s="40"/>
      <c r="AG146" s="40"/>
      <c r="AH146" s="41"/>
      <c r="AI146" s="40"/>
      <c r="AJ146" s="42"/>
    </row>
    <row r="147" spans="1:36" s="5" customFormat="1" ht="12.75" hidden="1" customHeight="1" x14ac:dyDescent="0.2">
      <c r="A147" s="13"/>
      <c r="B147" s="354"/>
      <c r="C147" s="346"/>
      <c r="D147" s="346"/>
      <c r="E147" s="46">
        <v>0</v>
      </c>
      <c r="F147" s="17" t="s">
        <v>1442</v>
      </c>
      <c r="G147" s="61" t="s">
        <v>1442</v>
      </c>
      <c r="H147" s="62"/>
      <c r="I147" s="62"/>
      <c r="J147" s="74"/>
      <c r="K147" s="99" t="s">
        <v>1883</v>
      </c>
      <c r="L147" s="99">
        <v>41903</v>
      </c>
      <c r="M147" s="114" t="s">
        <v>1882</v>
      </c>
      <c r="N147" s="18">
        <v>41904</v>
      </c>
      <c r="O147" s="46" t="s">
        <v>1972</v>
      </c>
      <c r="P147" s="26">
        <v>41912</v>
      </c>
      <c r="Q147" s="63" t="s">
        <v>1465</v>
      </c>
      <c r="R147" s="15" t="s">
        <v>1914</v>
      </c>
      <c r="S147" s="62">
        <v>41906</v>
      </c>
      <c r="T147" s="46" t="s">
        <v>1950</v>
      </c>
      <c r="U147" s="26">
        <v>41910</v>
      </c>
      <c r="V147" s="63" t="s">
        <v>1465</v>
      </c>
      <c r="W147" s="67" t="s">
        <v>1442</v>
      </c>
      <c r="X147" s="37"/>
      <c r="Y147" s="37"/>
      <c r="Z147" s="38"/>
      <c r="AA147" s="39"/>
      <c r="AB147" s="40"/>
      <c r="AC147" s="41"/>
      <c r="AD147" s="40"/>
      <c r="AE147" s="40"/>
      <c r="AF147" s="40"/>
      <c r="AG147" s="40"/>
      <c r="AH147" s="41"/>
      <c r="AI147" s="40"/>
      <c r="AJ147" s="42"/>
    </row>
    <row r="148" spans="1:36" s="5" customFormat="1" ht="21" hidden="1" customHeight="1" x14ac:dyDescent="0.2">
      <c r="A148" s="13">
        <f>A146+1</f>
        <v>69</v>
      </c>
      <c r="B148" s="25" t="s">
        <v>89</v>
      </c>
      <c r="C148" s="15" t="s">
        <v>201</v>
      </c>
      <c r="D148" s="15" t="s">
        <v>318</v>
      </c>
      <c r="E148" s="46" t="s">
        <v>1432</v>
      </c>
      <c r="F148" s="17">
        <v>2</v>
      </c>
      <c r="G148" s="61">
        <v>41894</v>
      </c>
      <c r="H148" s="62"/>
      <c r="I148" s="62"/>
      <c r="J148" s="74">
        <v>-26</v>
      </c>
      <c r="K148" s="99" t="s">
        <v>2002</v>
      </c>
      <c r="L148" s="61" t="s">
        <v>1442</v>
      </c>
      <c r="M148" s="114" t="s">
        <v>2005</v>
      </c>
      <c r="N148" s="104">
        <v>41921</v>
      </c>
      <c r="O148" s="46" t="s">
        <v>2062</v>
      </c>
      <c r="P148" s="26">
        <v>41928</v>
      </c>
      <c r="Q148" s="63" t="s">
        <v>1465</v>
      </c>
      <c r="R148" s="187" t="s">
        <v>2025</v>
      </c>
      <c r="S148" s="62">
        <v>41923</v>
      </c>
      <c r="T148" s="46" t="s">
        <v>2080</v>
      </c>
      <c r="U148" s="26">
        <v>41927</v>
      </c>
      <c r="V148" s="63" t="s">
        <v>1465</v>
      </c>
      <c r="W148" s="67" t="s">
        <v>1442</v>
      </c>
      <c r="X148" s="37"/>
      <c r="Y148" s="37"/>
      <c r="Z148" s="38"/>
      <c r="AA148" s="39"/>
      <c r="AB148" s="40"/>
      <c r="AC148" s="41"/>
      <c r="AD148" s="40"/>
      <c r="AE148" s="40"/>
      <c r="AF148" s="40"/>
      <c r="AG148" s="40"/>
      <c r="AH148" s="41"/>
      <c r="AI148" s="40"/>
      <c r="AJ148" s="42"/>
    </row>
    <row r="149" spans="1:36" s="5" customFormat="1" ht="12.75" hidden="1" customHeight="1" x14ac:dyDescent="0.2">
      <c r="A149" s="13">
        <f t="shared" ref="A149:A215" si="2">A148+1</f>
        <v>70</v>
      </c>
      <c r="B149" s="353" t="s">
        <v>90</v>
      </c>
      <c r="C149" s="345" t="s">
        <v>202</v>
      </c>
      <c r="D149" s="345" t="s">
        <v>319</v>
      </c>
      <c r="E149" s="46" t="s">
        <v>1432</v>
      </c>
      <c r="F149" s="17">
        <v>2</v>
      </c>
      <c r="G149" s="61">
        <v>41927</v>
      </c>
      <c r="H149" s="62"/>
      <c r="I149" s="62"/>
      <c r="J149" s="74">
        <v>23</v>
      </c>
      <c r="K149" s="99" t="s">
        <v>1775</v>
      </c>
      <c r="L149" s="99">
        <v>41892</v>
      </c>
      <c r="M149" s="114" t="s">
        <v>1777</v>
      </c>
      <c r="N149" s="104">
        <v>41893</v>
      </c>
      <c r="O149" s="46" t="s">
        <v>1873</v>
      </c>
      <c r="P149" s="26">
        <v>41899</v>
      </c>
      <c r="Q149" s="52">
        <v>2</v>
      </c>
      <c r="R149" s="180" t="s">
        <v>1819</v>
      </c>
      <c r="S149" s="62">
        <v>41893</v>
      </c>
      <c r="T149" s="8"/>
      <c r="U149" s="9"/>
      <c r="V149" s="48"/>
      <c r="W149" s="67" t="s">
        <v>1552</v>
      </c>
      <c r="X149" s="37"/>
      <c r="Y149" s="37"/>
      <c r="Z149" s="38"/>
      <c r="AA149" s="39"/>
      <c r="AB149" s="40"/>
      <c r="AC149" s="41"/>
      <c r="AD149" s="40"/>
      <c r="AE149" s="40"/>
      <c r="AF149" s="40"/>
      <c r="AG149" s="40"/>
      <c r="AH149" s="41"/>
      <c r="AI149" s="40"/>
      <c r="AJ149" s="42"/>
    </row>
    <row r="150" spans="1:36" s="5" customFormat="1" ht="12.75" hidden="1" customHeight="1" x14ac:dyDescent="0.2">
      <c r="A150" s="13"/>
      <c r="B150" s="354"/>
      <c r="C150" s="346"/>
      <c r="D150" s="346"/>
      <c r="E150" s="46">
        <v>0</v>
      </c>
      <c r="F150" s="17" t="s">
        <v>1442</v>
      </c>
      <c r="G150" s="61" t="s">
        <v>1442</v>
      </c>
      <c r="H150" s="62"/>
      <c r="I150" s="62"/>
      <c r="J150" s="74" t="s">
        <v>1442</v>
      </c>
      <c r="K150" s="99" t="s">
        <v>1895</v>
      </c>
      <c r="L150" s="99">
        <v>41904</v>
      </c>
      <c r="M150" s="114" t="s">
        <v>1896</v>
      </c>
      <c r="N150" s="104">
        <v>41904</v>
      </c>
      <c r="O150" s="46" t="s">
        <v>1449</v>
      </c>
      <c r="P150" s="26">
        <v>41912</v>
      </c>
      <c r="Q150" s="63" t="s">
        <v>1465</v>
      </c>
      <c r="R150" s="15" t="s">
        <v>1943</v>
      </c>
      <c r="S150" s="62">
        <v>41909</v>
      </c>
      <c r="T150" s="46" t="s">
        <v>1949</v>
      </c>
      <c r="U150" s="26">
        <v>41910</v>
      </c>
      <c r="V150" s="63" t="s">
        <v>1465</v>
      </c>
      <c r="W150" s="67" t="s">
        <v>1442</v>
      </c>
      <c r="X150" s="37"/>
      <c r="Y150" s="37"/>
      <c r="Z150" s="38"/>
      <c r="AA150" s="39"/>
      <c r="AB150" s="40"/>
      <c r="AC150" s="41"/>
      <c r="AD150" s="40"/>
      <c r="AE150" s="40"/>
      <c r="AF150" s="40"/>
      <c r="AG150" s="40"/>
      <c r="AH150" s="41"/>
      <c r="AI150" s="40"/>
      <c r="AJ150" s="42"/>
    </row>
    <row r="151" spans="1:36" s="5" customFormat="1" ht="21" hidden="1" customHeight="1" x14ac:dyDescent="0.2">
      <c r="A151" s="13">
        <f>A149+1</f>
        <v>71</v>
      </c>
      <c r="B151" s="25" t="s">
        <v>91</v>
      </c>
      <c r="C151" s="209" t="s">
        <v>203</v>
      </c>
      <c r="D151" s="15" t="s">
        <v>320</v>
      </c>
      <c r="E151" s="46" t="s">
        <v>1432</v>
      </c>
      <c r="F151" s="17">
        <v>2</v>
      </c>
      <c r="G151" s="61">
        <v>41897</v>
      </c>
      <c r="H151" s="62"/>
      <c r="I151" s="62"/>
      <c r="J151" s="74">
        <v>-23</v>
      </c>
      <c r="K151" s="99" t="s">
        <v>2002</v>
      </c>
      <c r="L151" s="61" t="s">
        <v>1442</v>
      </c>
      <c r="M151" s="114" t="s">
        <v>2006</v>
      </c>
      <c r="N151" s="104">
        <v>41921</v>
      </c>
      <c r="O151" s="46" t="s">
        <v>2063</v>
      </c>
      <c r="P151" s="26">
        <v>41928</v>
      </c>
      <c r="Q151" s="63" t="s">
        <v>1465</v>
      </c>
      <c r="R151" s="187" t="s">
        <v>2027</v>
      </c>
      <c r="S151" s="62">
        <v>41923</v>
      </c>
      <c r="T151" s="46" t="s">
        <v>2081</v>
      </c>
      <c r="U151" s="26">
        <v>41941</v>
      </c>
      <c r="V151" s="63" t="s">
        <v>1465</v>
      </c>
      <c r="W151" s="67" t="s">
        <v>1442</v>
      </c>
      <c r="X151" s="37"/>
      <c r="Y151" s="37"/>
      <c r="Z151" s="38"/>
      <c r="AA151" s="39"/>
      <c r="AB151" s="40"/>
      <c r="AC151" s="41"/>
      <c r="AD151" s="40"/>
      <c r="AE151" s="40"/>
      <c r="AF151" s="40"/>
      <c r="AG151" s="40"/>
      <c r="AH151" s="41"/>
      <c r="AI151" s="40"/>
      <c r="AJ151" s="42"/>
    </row>
    <row r="152" spans="1:36" s="5" customFormat="1" ht="12.75" hidden="1" customHeight="1" x14ac:dyDescent="0.2">
      <c r="A152" s="13">
        <f t="shared" si="2"/>
        <v>72</v>
      </c>
      <c r="B152" s="353" t="s">
        <v>92</v>
      </c>
      <c r="C152" s="345" t="s">
        <v>204</v>
      </c>
      <c r="D152" s="345" t="s">
        <v>321</v>
      </c>
      <c r="E152" s="46" t="s">
        <v>1432</v>
      </c>
      <c r="F152" s="17">
        <v>2</v>
      </c>
      <c r="G152" s="61">
        <v>41931</v>
      </c>
      <c r="H152" s="62"/>
      <c r="I152" s="62"/>
      <c r="J152" s="74">
        <v>-9</v>
      </c>
      <c r="K152" s="99" t="s">
        <v>1815</v>
      </c>
      <c r="L152" s="61">
        <v>41893</v>
      </c>
      <c r="M152" s="114" t="s">
        <v>1817</v>
      </c>
      <c r="N152" s="104">
        <v>41898</v>
      </c>
      <c r="O152" s="46" t="s">
        <v>1925</v>
      </c>
      <c r="P152" s="26">
        <v>41905</v>
      </c>
      <c r="Q152" s="52">
        <v>2</v>
      </c>
      <c r="R152" s="15" t="s">
        <v>1868</v>
      </c>
      <c r="S152" s="62">
        <v>41900</v>
      </c>
      <c r="T152" s="46" t="s">
        <v>1935</v>
      </c>
      <c r="U152" s="26">
        <v>41907</v>
      </c>
      <c r="V152" s="63" t="s">
        <v>1465</v>
      </c>
      <c r="W152" s="67" t="s">
        <v>1442</v>
      </c>
      <c r="X152" s="37"/>
      <c r="Y152" s="37"/>
      <c r="Z152" s="38"/>
      <c r="AA152" s="39"/>
      <c r="AB152" s="40"/>
      <c r="AC152" s="41"/>
      <c r="AD152" s="40"/>
      <c r="AE152" s="40"/>
      <c r="AF152" s="40"/>
      <c r="AG152" s="40"/>
      <c r="AH152" s="41"/>
      <c r="AI152" s="40"/>
      <c r="AJ152" s="42"/>
    </row>
    <row r="153" spans="1:36" s="5" customFormat="1" ht="12.75" hidden="1" customHeight="1" x14ac:dyDescent="0.2">
      <c r="A153" s="13"/>
      <c r="B153" s="354"/>
      <c r="C153" s="346"/>
      <c r="D153" s="346"/>
      <c r="E153" s="46">
        <v>0</v>
      </c>
      <c r="F153" s="17" t="s">
        <v>1442</v>
      </c>
      <c r="G153" s="61" t="s">
        <v>1442</v>
      </c>
      <c r="H153" s="62"/>
      <c r="I153" s="62"/>
      <c r="J153" s="74" t="s">
        <v>1442</v>
      </c>
      <c r="K153" s="99" t="s">
        <v>2002</v>
      </c>
      <c r="L153" s="61" t="s">
        <v>1442</v>
      </c>
      <c r="M153" s="114" t="s">
        <v>2004</v>
      </c>
      <c r="N153" s="104">
        <v>41921</v>
      </c>
      <c r="O153" s="46" t="s">
        <v>2062</v>
      </c>
      <c r="P153" s="26">
        <v>41928</v>
      </c>
      <c r="Q153" s="63" t="s">
        <v>1465</v>
      </c>
      <c r="R153" s="187" t="s">
        <v>2024</v>
      </c>
      <c r="S153" s="62">
        <v>41923</v>
      </c>
      <c r="T153" s="46" t="s">
        <v>2076</v>
      </c>
      <c r="U153" s="26">
        <v>41924</v>
      </c>
      <c r="V153" s="105" t="s">
        <v>1465</v>
      </c>
      <c r="W153" s="67" t="s">
        <v>1442</v>
      </c>
      <c r="X153" s="37"/>
      <c r="Y153" s="37"/>
      <c r="Z153" s="38"/>
      <c r="AA153" s="39"/>
      <c r="AB153" s="40"/>
      <c r="AC153" s="41"/>
      <c r="AD153" s="40"/>
      <c r="AE153" s="40"/>
      <c r="AF153" s="40"/>
      <c r="AG153" s="40"/>
      <c r="AH153" s="41"/>
      <c r="AI153" s="40"/>
      <c r="AJ153" s="42"/>
    </row>
    <row r="154" spans="1:36" s="5" customFormat="1" ht="21" hidden="1" customHeight="1" x14ac:dyDescent="0.2">
      <c r="A154" s="13">
        <f>A152+1</f>
        <v>73</v>
      </c>
      <c r="B154" s="25" t="s">
        <v>93</v>
      </c>
      <c r="C154" s="209" t="s">
        <v>205</v>
      </c>
      <c r="D154" s="15" t="s">
        <v>322</v>
      </c>
      <c r="E154" s="46" t="s">
        <v>1432</v>
      </c>
      <c r="F154" s="17">
        <v>2</v>
      </c>
      <c r="G154" s="61">
        <v>41900</v>
      </c>
      <c r="H154" s="62"/>
      <c r="I154" s="62"/>
      <c r="J154" s="74">
        <v>-20</v>
      </c>
      <c r="K154" s="99" t="s">
        <v>2002</v>
      </c>
      <c r="L154" s="61" t="s">
        <v>1442</v>
      </c>
      <c r="M154" s="114" t="s">
        <v>2007</v>
      </c>
      <c r="N154" s="104">
        <v>41921</v>
      </c>
      <c r="O154" s="46" t="s">
        <v>2063</v>
      </c>
      <c r="P154" s="26">
        <v>41928</v>
      </c>
      <c r="Q154" s="63" t="s">
        <v>1465</v>
      </c>
      <c r="R154" s="187" t="s">
        <v>2026</v>
      </c>
      <c r="S154" s="62">
        <v>41923</v>
      </c>
      <c r="T154" s="46" t="s">
        <v>2108</v>
      </c>
      <c r="U154" s="26">
        <v>41927</v>
      </c>
      <c r="V154" s="105" t="s">
        <v>1465</v>
      </c>
      <c r="W154" s="67" t="s">
        <v>1442</v>
      </c>
      <c r="X154" s="37"/>
      <c r="Y154" s="37"/>
      <c r="Z154" s="38"/>
      <c r="AA154" s="39"/>
      <c r="AB154" s="40"/>
      <c r="AC154" s="41"/>
      <c r="AD154" s="40"/>
      <c r="AE154" s="40"/>
      <c r="AF154" s="40"/>
      <c r="AG154" s="40"/>
      <c r="AH154" s="41"/>
      <c r="AI154" s="40"/>
      <c r="AJ154" s="42"/>
    </row>
    <row r="155" spans="1:36" s="5" customFormat="1" ht="21" hidden="1" customHeight="1" x14ac:dyDescent="0.2">
      <c r="A155" s="13">
        <f t="shared" si="2"/>
        <v>74</v>
      </c>
      <c r="B155" s="25" t="s">
        <v>94</v>
      </c>
      <c r="C155" s="209" t="s">
        <v>206</v>
      </c>
      <c r="D155" s="187" t="s">
        <v>323</v>
      </c>
      <c r="E155" s="46" t="s">
        <v>1432</v>
      </c>
      <c r="F155" s="17">
        <v>2</v>
      </c>
      <c r="G155" s="61">
        <v>41903</v>
      </c>
      <c r="H155" s="62"/>
      <c r="I155" s="62"/>
      <c r="J155" s="74">
        <v>-42</v>
      </c>
      <c r="K155" s="99" t="s">
        <v>2125</v>
      </c>
      <c r="L155" s="16">
        <v>41945</v>
      </c>
      <c r="M155" s="114" t="s">
        <v>2127</v>
      </c>
      <c r="N155" s="18">
        <v>41946</v>
      </c>
      <c r="O155" s="46" t="s">
        <v>2147</v>
      </c>
      <c r="P155" s="26">
        <v>41951</v>
      </c>
      <c r="Q155" s="63" t="s">
        <v>1465</v>
      </c>
      <c r="R155" s="202" t="s">
        <v>2139</v>
      </c>
      <c r="S155" s="62">
        <v>41948</v>
      </c>
      <c r="T155" s="46" t="s">
        <v>2158</v>
      </c>
      <c r="U155" s="26">
        <v>41954</v>
      </c>
      <c r="V155" s="105" t="s">
        <v>1465</v>
      </c>
      <c r="W155" s="67" t="s">
        <v>1442</v>
      </c>
      <c r="X155" s="37"/>
      <c r="Y155" s="37"/>
      <c r="Z155" s="38"/>
      <c r="AA155" s="39"/>
      <c r="AB155" s="40"/>
      <c r="AC155" s="41"/>
      <c r="AD155" s="40"/>
      <c r="AE155" s="40"/>
      <c r="AF155" s="40"/>
      <c r="AG155" s="40"/>
      <c r="AH155" s="41"/>
      <c r="AI155" s="40"/>
      <c r="AJ155" s="42"/>
    </row>
    <row r="156" spans="1:36" s="5" customFormat="1" ht="21" hidden="1" customHeight="1" x14ac:dyDescent="0.2">
      <c r="A156" s="13">
        <f t="shared" si="2"/>
        <v>75</v>
      </c>
      <c r="B156" s="25" t="s">
        <v>95</v>
      </c>
      <c r="C156" s="209" t="s">
        <v>207</v>
      </c>
      <c r="D156" s="15" t="s">
        <v>324</v>
      </c>
      <c r="E156" s="46" t="s">
        <v>1432</v>
      </c>
      <c r="F156" s="17">
        <v>2</v>
      </c>
      <c r="G156" s="61">
        <v>41863</v>
      </c>
      <c r="H156" s="62"/>
      <c r="I156" s="62"/>
      <c r="J156" s="74">
        <v>-44</v>
      </c>
      <c r="K156" s="117" t="s">
        <v>1940</v>
      </c>
      <c r="L156" s="61">
        <v>41910</v>
      </c>
      <c r="M156" s="181" t="s">
        <v>1942</v>
      </c>
      <c r="N156" s="18">
        <v>41911</v>
      </c>
      <c r="O156" s="46" t="s">
        <v>2045</v>
      </c>
      <c r="P156" s="26">
        <v>41918</v>
      </c>
      <c r="Q156" s="63" t="s">
        <v>1465</v>
      </c>
      <c r="R156" s="15" t="s">
        <v>1978</v>
      </c>
      <c r="S156" s="62">
        <v>41913</v>
      </c>
      <c r="T156" s="46" t="s">
        <v>2073</v>
      </c>
      <c r="U156" s="26">
        <v>41918</v>
      </c>
      <c r="V156" s="52" t="s">
        <v>1529</v>
      </c>
      <c r="W156" s="67" t="s">
        <v>1442</v>
      </c>
      <c r="X156" s="37"/>
      <c r="Y156" s="37"/>
      <c r="Z156" s="38"/>
      <c r="AA156" s="39"/>
      <c r="AB156" s="40"/>
      <c r="AC156" s="41"/>
      <c r="AD156" s="40"/>
      <c r="AE156" s="40"/>
      <c r="AF156" s="40"/>
      <c r="AG156" s="40"/>
      <c r="AH156" s="41"/>
      <c r="AI156" s="40"/>
      <c r="AJ156" s="42"/>
    </row>
    <row r="157" spans="1:36" s="5" customFormat="1" ht="21" hidden="1" customHeight="1" x14ac:dyDescent="0.2">
      <c r="A157" s="13">
        <f t="shared" si="2"/>
        <v>76</v>
      </c>
      <c r="B157" s="25" t="s">
        <v>96</v>
      </c>
      <c r="C157" s="209" t="s">
        <v>208</v>
      </c>
      <c r="D157" s="15" t="s">
        <v>325</v>
      </c>
      <c r="E157" s="46" t="s">
        <v>1432</v>
      </c>
      <c r="F157" s="17">
        <v>2</v>
      </c>
      <c r="G157" s="61">
        <v>41906</v>
      </c>
      <c r="H157" s="62"/>
      <c r="I157" s="62"/>
      <c r="J157" s="74">
        <v>-33</v>
      </c>
      <c r="K157" s="99" t="s">
        <v>1993</v>
      </c>
      <c r="L157" s="61">
        <v>41939</v>
      </c>
      <c r="M157" s="114" t="s">
        <v>1995</v>
      </c>
      <c r="N157" s="18">
        <v>41940</v>
      </c>
      <c r="O157" s="46" t="s">
        <v>2170</v>
      </c>
      <c r="P157" s="26">
        <v>41959</v>
      </c>
      <c r="Q157" s="63" t="s">
        <v>1465</v>
      </c>
      <c r="R157" s="187" t="s">
        <v>2071</v>
      </c>
      <c r="S157" s="62">
        <v>41941</v>
      </c>
      <c r="T157" s="46" t="s">
        <v>2124</v>
      </c>
      <c r="U157" s="26">
        <v>41945</v>
      </c>
      <c r="V157" s="63" t="s">
        <v>1465</v>
      </c>
      <c r="W157" s="67" t="s">
        <v>1442</v>
      </c>
      <c r="X157" s="37"/>
      <c r="Y157" s="37"/>
      <c r="Z157" s="38"/>
      <c r="AA157" s="39"/>
      <c r="AB157" s="40"/>
      <c r="AC157" s="41"/>
      <c r="AD157" s="40"/>
      <c r="AE157" s="40"/>
      <c r="AF157" s="40"/>
      <c r="AG157" s="40"/>
      <c r="AH157" s="41"/>
      <c r="AI157" s="40"/>
      <c r="AJ157" s="42"/>
    </row>
    <row r="158" spans="1:36" s="5" customFormat="1" ht="21" hidden="1" customHeight="1" x14ac:dyDescent="0.2">
      <c r="A158" s="13">
        <f t="shared" si="2"/>
        <v>77</v>
      </c>
      <c r="B158" s="25" t="s">
        <v>97</v>
      </c>
      <c r="C158" s="15" t="s">
        <v>209</v>
      </c>
      <c r="D158" s="15" t="s">
        <v>326</v>
      </c>
      <c r="E158" s="46" t="s">
        <v>1432</v>
      </c>
      <c r="F158" s="17">
        <v>2</v>
      </c>
      <c r="G158" s="61">
        <v>41867</v>
      </c>
      <c r="H158" s="62"/>
      <c r="I158" s="62"/>
      <c r="J158" s="74">
        <v>-36</v>
      </c>
      <c r="K158" s="99" t="s">
        <v>1883</v>
      </c>
      <c r="L158" s="99">
        <v>41903</v>
      </c>
      <c r="M158" s="114" t="s">
        <v>1884</v>
      </c>
      <c r="N158" s="104">
        <v>41906</v>
      </c>
      <c r="O158" s="46" t="s">
        <v>2044</v>
      </c>
      <c r="P158" s="26">
        <v>41920</v>
      </c>
      <c r="Q158" s="63" t="s">
        <v>1465</v>
      </c>
      <c r="R158" s="15" t="s">
        <v>1944</v>
      </c>
      <c r="S158" s="62">
        <v>41909</v>
      </c>
      <c r="T158" s="46" t="s">
        <v>1963</v>
      </c>
      <c r="U158" s="104">
        <v>41912</v>
      </c>
      <c r="V158" s="105" t="s">
        <v>1465</v>
      </c>
      <c r="W158" s="67" t="s">
        <v>1442</v>
      </c>
      <c r="X158" s="37"/>
      <c r="Y158" s="37"/>
      <c r="Z158" s="38"/>
      <c r="AA158" s="39"/>
      <c r="AB158" s="40"/>
      <c r="AC158" s="41"/>
      <c r="AD158" s="40"/>
      <c r="AE158" s="40"/>
      <c r="AF158" s="40"/>
      <c r="AG158" s="40"/>
      <c r="AH158" s="41"/>
      <c r="AI158" s="40"/>
      <c r="AJ158" s="42"/>
    </row>
    <row r="159" spans="1:36" s="5" customFormat="1" ht="21" hidden="1" customHeight="1" x14ac:dyDescent="0.2">
      <c r="A159" s="13">
        <f t="shared" si="2"/>
        <v>78</v>
      </c>
      <c r="B159" s="25" t="s">
        <v>98</v>
      </c>
      <c r="C159" s="209" t="s">
        <v>210</v>
      </c>
      <c r="D159" s="15" t="s">
        <v>327</v>
      </c>
      <c r="E159" s="46" t="s">
        <v>1432</v>
      </c>
      <c r="F159" s="17">
        <v>2</v>
      </c>
      <c r="G159" s="61">
        <v>41871</v>
      </c>
      <c r="H159" s="62"/>
      <c r="I159" s="62"/>
      <c r="J159" s="74">
        <v>-43</v>
      </c>
      <c r="K159" s="99" t="s">
        <v>1999</v>
      </c>
      <c r="L159" s="16">
        <v>41914</v>
      </c>
      <c r="M159" s="114" t="s">
        <v>2000</v>
      </c>
      <c r="N159" s="18">
        <v>41919</v>
      </c>
      <c r="O159" s="46" t="s">
        <v>2058</v>
      </c>
      <c r="P159" s="26">
        <v>41925</v>
      </c>
      <c r="Q159" s="63" t="s">
        <v>1465</v>
      </c>
      <c r="R159" s="186" t="s">
        <v>2019</v>
      </c>
      <c r="S159" s="62">
        <v>41920</v>
      </c>
      <c r="T159" s="46" t="s">
        <v>2075</v>
      </c>
      <c r="U159" s="26">
        <v>41924</v>
      </c>
      <c r="V159" s="105" t="s">
        <v>1465</v>
      </c>
      <c r="W159" s="67" t="s">
        <v>1442</v>
      </c>
      <c r="X159" s="37"/>
      <c r="Y159" s="37"/>
      <c r="Z159" s="38"/>
      <c r="AA159" s="39"/>
      <c r="AB159" s="40"/>
      <c r="AC159" s="41"/>
      <c r="AD159" s="40"/>
      <c r="AE159" s="40"/>
      <c r="AF159" s="40"/>
      <c r="AG159" s="40"/>
      <c r="AH159" s="41"/>
      <c r="AI159" s="40"/>
      <c r="AJ159" s="42"/>
    </row>
    <row r="160" spans="1:36" s="5" customFormat="1" ht="21" hidden="1" customHeight="1" x14ac:dyDescent="0.2">
      <c r="A160" s="13">
        <f t="shared" si="2"/>
        <v>79</v>
      </c>
      <c r="B160" s="25" t="s">
        <v>99</v>
      </c>
      <c r="C160" s="209" t="s">
        <v>211</v>
      </c>
      <c r="D160" s="204" t="s">
        <v>328</v>
      </c>
      <c r="E160" s="46" t="s">
        <v>1432</v>
      </c>
      <c r="F160" s="17">
        <v>2</v>
      </c>
      <c r="G160" s="61">
        <v>41881</v>
      </c>
      <c r="H160" s="62"/>
      <c r="I160" s="62"/>
      <c r="J160" s="74">
        <v>-87</v>
      </c>
      <c r="K160" s="99" t="s">
        <v>2201</v>
      </c>
      <c r="L160" s="16">
        <v>41968</v>
      </c>
      <c r="M160" s="17" t="s">
        <v>2202</v>
      </c>
      <c r="N160" s="18">
        <v>41969</v>
      </c>
      <c r="O160" s="46" t="s">
        <v>2210</v>
      </c>
      <c r="P160" s="26">
        <v>41974</v>
      </c>
      <c r="Q160" s="63" t="s">
        <v>1465</v>
      </c>
      <c r="R160" s="205" t="s">
        <v>2204</v>
      </c>
      <c r="S160" s="62">
        <v>41972</v>
      </c>
      <c r="T160" s="46" t="s">
        <v>2223</v>
      </c>
      <c r="U160" s="26">
        <v>41990</v>
      </c>
      <c r="V160" s="105" t="s">
        <v>1465</v>
      </c>
      <c r="W160" s="67" t="s">
        <v>1442</v>
      </c>
      <c r="X160" s="37"/>
      <c r="Y160" s="37"/>
      <c r="Z160" s="38"/>
      <c r="AA160" s="39"/>
      <c r="AB160" s="40"/>
      <c r="AC160" s="41"/>
      <c r="AD160" s="40"/>
      <c r="AE160" s="40"/>
      <c r="AF160" s="40"/>
      <c r="AG160" s="40"/>
      <c r="AH160" s="41"/>
      <c r="AI160" s="40"/>
      <c r="AJ160" s="42"/>
    </row>
    <row r="161" spans="1:36" s="5" customFormat="1" ht="21" hidden="1" customHeight="1" x14ac:dyDescent="0.2">
      <c r="A161" s="13">
        <f t="shared" si="2"/>
        <v>80</v>
      </c>
      <c r="B161" s="25" t="s">
        <v>100</v>
      </c>
      <c r="C161" s="209" t="s">
        <v>212</v>
      </c>
      <c r="D161" s="15" t="s">
        <v>329</v>
      </c>
      <c r="E161" s="46" t="s">
        <v>1432</v>
      </c>
      <c r="F161" s="17">
        <v>2</v>
      </c>
      <c r="G161" s="61">
        <v>41875</v>
      </c>
      <c r="H161" s="62"/>
      <c r="I161" s="62"/>
      <c r="J161" s="74">
        <v>-36</v>
      </c>
      <c r="K161" s="99" t="s">
        <v>1954</v>
      </c>
      <c r="L161" s="61">
        <v>41911</v>
      </c>
      <c r="M161" s="114" t="s">
        <v>1956</v>
      </c>
      <c r="N161" s="18">
        <v>41912</v>
      </c>
      <c r="O161" s="46" t="s">
        <v>2050</v>
      </c>
      <c r="P161" s="26">
        <v>41921</v>
      </c>
      <c r="Q161" s="63" t="s">
        <v>1465</v>
      </c>
      <c r="R161" s="15" t="s">
        <v>1991</v>
      </c>
      <c r="S161" s="62">
        <v>41914</v>
      </c>
      <c r="T161" s="46" t="s">
        <v>2074</v>
      </c>
      <c r="U161" s="26">
        <v>41918</v>
      </c>
      <c r="V161" s="105" t="s">
        <v>1465</v>
      </c>
      <c r="W161" s="67" t="s">
        <v>1442</v>
      </c>
      <c r="X161" s="37"/>
      <c r="Y161" s="37"/>
      <c r="Z161" s="38"/>
      <c r="AA161" s="39"/>
      <c r="AB161" s="40"/>
      <c r="AC161" s="41"/>
      <c r="AD161" s="40"/>
      <c r="AE161" s="40"/>
      <c r="AF161" s="40"/>
      <c r="AG161" s="40"/>
      <c r="AH161" s="41"/>
      <c r="AI161" s="40"/>
      <c r="AJ161" s="42"/>
    </row>
    <row r="162" spans="1:36" s="5" customFormat="1" ht="21" hidden="1" customHeight="1" x14ac:dyDescent="0.2">
      <c r="A162" s="13">
        <f t="shared" si="2"/>
        <v>81</v>
      </c>
      <c r="B162" s="25" t="s">
        <v>101</v>
      </c>
      <c r="C162" s="15" t="s">
        <v>213</v>
      </c>
      <c r="D162" s="15" t="s">
        <v>330</v>
      </c>
      <c r="E162" s="46" t="s">
        <v>1432</v>
      </c>
      <c r="F162" s="17">
        <v>2</v>
      </c>
      <c r="G162" s="61">
        <v>41885</v>
      </c>
      <c r="H162" s="62"/>
      <c r="I162" s="62"/>
      <c r="J162" s="74">
        <v>-69</v>
      </c>
      <c r="K162" s="99" t="s">
        <v>2160</v>
      </c>
      <c r="L162" s="99">
        <v>41955</v>
      </c>
      <c r="M162" s="17" t="s">
        <v>2162</v>
      </c>
      <c r="N162" s="104">
        <v>41958</v>
      </c>
      <c r="O162" s="46" t="s">
        <v>2198</v>
      </c>
      <c r="P162" s="26">
        <v>41965</v>
      </c>
      <c r="Q162" s="63" t="s">
        <v>1465</v>
      </c>
      <c r="R162" s="202" t="s">
        <v>2187</v>
      </c>
      <c r="S162" s="62">
        <v>41960</v>
      </c>
      <c r="T162" s="46" t="s">
        <v>2222</v>
      </c>
      <c r="U162" s="26">
        <v>41990</v>
      </c>
      <c r="V162" s="105" t="s">
        <v>1465</v>
      </c>
      <c r="W162" s="67" t="s">
        <v>1442</v>
      </c>
      <c r="X162" s="37"/>
      <c r="Y162" s="37"/>
      <c r="Z162" s="38"/>
      <c r="AA162" s="39"/>
      <c r="AB162" s="40"/>
      <c r="AC162" s="41"/>
      <c r="AD162" s="40"/>
      <c r="AE162" s="40"/>
      <c r="AF162" s="40"/>
      <c r="AG162" s="40"/>
      <c r="AH162" s="41"/>
      <c r="AI162" s="40"/>
      <c r="AJ162" s="42"/>
    </row>
    <row r="163" spans="1:36" s="5" customFormat="1" ht="24.95" customHeight="1" x14ac:dyDescent="0.2">
      <c r="A163" s="360">
        <f>A162+1</f>
        <v>82</v>
      </c>
      <c r="B163" s="347" t="s">
        <v>102</v>
      </c>
      <c r="C163" s="345" t="s">
        <v>214</v>
      </c>
      <c r="D163" s="345" t="s">
        <v>331</v>
      </c>
      <c r="E163" s="46" t="s">
        <v>1432</v>
      </c>
      <c r="F163" s="17">
        <v>2</v>
      </c>
      <c r="G163" s="18">
        <v>42186</v>
      </c>
      <c r="H163" s="175"/>
      <c r="I163" s="225">
        <v>42095</v>
      </c>
      <c r="J163" s="74">
        <f ca="1">G163-TODAY()</f>
        <v>-1876</v>
      </c>
      <c r="K163" s="62" t="s">
        <v>3211</v>
      </c>
      <c r="L163" s="16">
        <v>42404</v>
      </c>
      <c r="M163" s="305" t="s">
        <v>3212</v>
      </c>
      <c r="N163" s="18">
        <v>42408</v>
      </c>
      <c r="O163" s="290" t="s">
        <v>3278</v>
      </c>
      <c r="P163" s="26">
        <v>42428</v>
      </c>
      <c r="Q163" s="52">
        <v>2</v>
      </c>
      <c r="R163" s="17" t="s">
        <v>3234</v>
      </c>
      <c r="S163" s="62">
        <v>42409</v>
      </c>
      <c r="T163" s="290" t="s">
        <v>3261</v>
      </c>
      <c r="U163" s="26">
        <v>42422</v>
      </c>
      <c r="V163" s="52" t="s">
        <v>1369</v>
      </c>
      <c r="W163" s="308" t="s">
        <v>1442</v>
      </c>
      <c r="X163" s="37"/>
      <c r="Y163" s="37"/>
      <c r="Z163" s="38"/>
      <c r="AA163" s="39"/>
      <c r="AB163" s="40"/>
      <c r="AC163" s="41"/>
      <c r="AD163" s="40"/>
      <c r="AE163" s="40"/>
      <c r="AF163" s="40"/>
      <c r="AG163" s="40"/>
      <c r="AH163" s="41"/>
      <c r="AI163" s="40"/>
      <c r="AJ163" s="42"/>
    </row>
    <row r="164" spans="1:36" s="5" customFormat="1" ht="24.95" customHeight="1" x14ac:dyDescent="0.2">
      <c r="A164" s="361"/>
      <c r="B164" s="348"/>
      <c r="C164" s="346"/>
      <c r="D164" s="346"/>
      <c r="E164" s="290" t="s">
        <v>1459</v>
      </c>
      <c r="F164" s="17">
        <v>1</v>
      </c>
      <c r="G164" s="18"/>
      <c r="H164" s="175"/>
      <c r="I164" s="225"/>
      <c r="J164" s="74"/>
      <c r="K164" s="62" t="s">
        <v>3320</v>
      </c>
      <c r="L164" s="61">
        <v>42639</v>
      </c>
      <c r="M164" s="320" t="s">
        <v>3323</v>
      </c>
      <c r="N164" s="18">
        <v>42641</v>
      </c>
      <c r="O164" s="290" t="s">
        <v>3335</v>
      </c>
      <c r="P164" s="26">
        <v>42648</v>
      </c>
      <c r="Q164" s="52">
        <v>1</v>
      </c>
      <c r="R164" s="114" t="s">
        <v>3328</v>
      </c>
      <c r="S164" s="175">
        <v>42641</v>
      </c>
      <c r="T164" s="290"/>
      <c r="U164" s="26"/>
      <c r="V164" s="52"/>
      <c r="W164" s="308"/>
      <c r="X164" s="37"/>
      <c r="Y164" s="37"/>
      <c r="Z164" s="38"/>
      <c r="AA164" s="39"/>
      <c r="AB164" s="40"/>
      <c r="AC164" s="41"/>
      <c r="AD164" s="40"/>
      <c r="AE164" s="40"/>
      <c r="AF164" s="40"/>
      <c r="AG164" s="40"/>
      <c r="AH164" s="41"/>
      <c r="AI164" s="40"/>
      <c r="AJ164" s="42"/>
    </row>
    <row r="165" spans="1:36" s="5" customFormat="1" ht="24.95" customHeight="1" x14ac:dyDescent="0.2">
      <c r="A165" s="13">
        <f>A163+1</f>
        <v>83</v>
      </c>
      <c r="B165" s="24" t="s">
        <v>103</v>
      </c>
      <c r="C165" s="15" t="s">
        <v>215</v>
      </c>
      <c r="D165" s="15" t="s">
        <v>332</v>
      </c>
      <c r="E165" s="46" t="s">
        <v>1432</v>
      </c>
      <c r="F165" s="17">
        <v>2</v>
      </c>
      <c r="G165" s="18">
        <v>42190</v>
      </c>
      <c r="H165" s="175"/>
      <c r="I165" s="225">
        <v>42102</v>
      </c>
      <c r="J165" s="74">
        <v>-57</v>
      </c>
      <c r="K165" s="61" t="s">
        <v>2769</v>
      </c>
      <c r="L165" s="16">
        <v>42247</v>
      </c>
      <c r="M165" s="17" t="s">
        <v>2770</v>
      </c>
      <c r="N165" s="18">
        <v>42249</v>
      </c>
      <c r="O165" s="46" t="s">
        <v>2939</v>
      </c>
      <c r="P165" s="26">
        <v>42263</v>
      </c>
      <c r="Q165" s="52">
        <v>1</v>
      </c>
      <c r="R165" s="17" t="s">
        <v>2791</v>
      </c>
      <c r="S165" s="62">
        <v>42249</v>
      </c>
      <c r="T165" s="46" t="s">
        <v>2806</v>
      </c>
      <c r="U165" s="26">
        <v>42253</v>
      </c>
      <c r="V165" s="52" t="s">
        <v>1369</v>
      </c>
      <c r="W165" s="67" t="s">
        <v>1442</v>
      </c>
      <c r="X165" s="37"/>
      <c r="Y165" s="37"/>
      <c r="Z165" s="38"/>
      <c r="AA165" s="39"/>
      <c r="AB165" s="40"/>
      <c r="AC165" s="41"/>
      <c r="AD165" s="40"/>
      <c r="AE165" s="40"/>
      <c r="AF165" s="40"/>
      <c r="AG165" s="40"/>
      <c r="AH165" s="41"/>
      <c r="AI165" s="40"/>
      <c r="AJ165" s="42"/>
    </row>
    <row r="166" spans="1:36" s="5" customFormat="1" ht="24.95" customHeight="1" x14ac:dyDescent="0.2">
      <c r="A166" s="13">
        <f t="shared" si="2"/>
        <v>84</v>
      </c>
      <c r="B166" s="24" t="s">
        <v>104</v>
      </c>
      <c r="C166" s="15" t="s">
        <v>216</v>
      </c>
      <c r="D166" s="15" t="s">
        <v>333</v>
      </c>
      <c r="E166" s="46" t="s">
        <v>1432</v>
      </c>
      <c r="F166" s="17">
        <v>2</v>
      </c>
      <c r="G166" s="18">
        <v>42194</v>
      </c>
      <c r="H166" s="175"/>
      <c r="I166" s="225">
        <v>42109</v>
      </c>
      <c r="J166" s="74">
        <v>-59</v>
      </c>
      <c r="K166" s="61" t="s">
        <v>2386</v>
      </c>
      <c r="L166" s="16">
        <v>42162</v>
      </c>
      <c r="M166" s="17" t="s">
        <v>2387</v>
      </c>
      <c r="N166" s="18">
        <v>42164</v>
      </c>
      <c r="O166" s="46" t="s">
        <v>2407</v>
      </c>
      <c r="P166" s="26">
        <v>42169</v>
      </c>
      <c r="Q166" s="52">
        <v>1</v>
      </c>
      <c r="R166" s="224" t="s">
        <v>2400</v>
      </c>
      <c r="S166" s="62">
        <v>42166</v>
      </c>
      <c r="T166" s="46" t="s">
        <v>2807</v>
      </c>
      <c r="U166" s="26">
        <v>42253</v>
      </c>
      <c r="V166" s="52" t="s">
        <v>1369</v>
      </c>
      <c r="W166" s="67" t="s">
        <v>1442</v>
      </c>
      <c r="X166" s="37"/>
      <c r="Y166" s="37"/>
      <c r="Z166" s="38"/>
      <c r="AA166" s="39"/>
      <c r="AB166" s="40"/>
      <c r="AC166" s="41"/>
      <c r="AD166" s="40"/>
      <c r="AE166" s="40"/>
      <c r="AF166" s="40"/>
      <c r="AG166" s="40"/>
      <c r="AH166" s="41"/>
      <c r="AI166" s="40"/>
      <c r="AJ166" s="42"/>
    </row>
    <row r="167" spans="1:36" s="5" customFormat="1" ht="24.95" customHeight="1" x14ac:dyDescent="0.2">
      <c r="A167" s="13">
        <f t="shared" si="2"/>
        <v>85</v>
      </c>
      <c r="B167" s="356" t="s">
        <v>105</v>
      </c>
      <c r="C167" s="345" t="s">
        <v>217</v>
      </c>
      <c r="D167" s="345" t="s">
        <v>334</v>
      </c>
      <c r="E167" s="46" t="s">
        <v>1432</v>
      </c>
      <c r="F167" s="17">
        <v>2</v>
      </c>
      <c r="G167" s="18">
        <v>42116</v>
      </c>
      <c r="H167" s="175"/>
      <c r="I167" s="18">
        <v>42116</v>
      </c>
      <c r="J167" s="74">
        <v>2</v>
      </c>
      <c r="K167" s="61" t="s">
        <v>2327</v>
      </c>
      <c r="L167" s="16">
        <v>42114</v>
      </c>
      <c r="M167" s="17" t="s">
        <v>2328</v>
      </c>
      <c r="N167" s="18">
        <v>42123</v>
      </c>
      <c r="O167" s="46" t="s">
        <v>2361</v>
      </c>
      <c r="P167" s="26">
        <v>42141</v>
      </c>
      <c r="Q167" s="52">
        <v>2</v>
      </c>
      <c r="R167" s="114" t="s">
        <v>2339</v>
      </c>
      <c r="S167" s="18">
        <v>42137</v>
      </c>
      <c r="T167" s="46" t="s">
        <v>2356</v>
      </c>
      <c r="U167" s="26">
        <v>42142</v>
      </c>
      <c r="V167" s="52" t="s">
        <v>1369</v>
      </c>
      <c r="W167" s="67" t="s">
        <v>1442</v>
      </c>
      <c r="X167" s="37"/>
      <c r="Y167" s="37"/>
      <c r="Z167" s="38"/>
      <c r="AA167" s="39"/>
      <c r="AB167" s="40"/>
      <c r="AC167" s="41"/>
      <c r="AD167" s="40"/>
      <c r="AE167" s="40"/>
      <c r="AF167" s="40"/>
      <c r="AG167" s="40"/>
      <c r="AH167" s="41"/>
      <c r="AI167" s="40"/>
      <c r="AJ167" s="42"/>
    </row>
    <row r="168" spans="1:36" s="5" customFormat="1" ht="24.95" customHeight="1" x14ac:dyDescent="0.2">
      <c r="A168" s="13"/>
      <c r="B168" s="358"/>
      <c r="C168" s="346"/>
      <c r="D168" s="346"/>
      <c r="E168" s="46" t="s">
        <v>1459</v>
      </c>
      <c r="F168" s="17" t="s">
        <v>1442</v>
      </c>
      <c r="G168" s="18" t="s">
        <v>1442</v>
      </c>
      <c r="H168" s="175"/>
      <c r="I168" s="18"/>
      <c r="J168" s="74" t="s">
        <v>1442</v>
      </c>
      <c r="K168" s="61" t="s">
        <v>2634</v>
      </c>
      <c r="L168" s="61">
        <v>42232</v>
      </c>
      <c r="M168" s="17" t="s">
        <v>2633</v>
      </c>
      <c r="N168" s="18">
        <v>42233</v>
      </c>
      <c r="O168" s="46" t="s">
        <v>2700</v>
      </c>
      <c r="P168" s="26">
        <v>42239</v>
      </c>
      <c r="Q168" s="52">
        <v>1</v>
      </c>
      <c r="R168" s="114" t="s">
        <v>2663</v>
      </c>
      <c r="S168" s="18">
        <v>42234</v>
      </c>
      <c r="T168" s="46" t="s">
        <v>2808</v>
      </c>
      <c r="U168" s="26">
        <v>42253</v>
      </c>
      <c r="V168" s="52" t="s">
        <v>1369</v>
      </c>
      <c r="W168" s="67" t="s">
        <v>1442</v>
      </c>
      <c r="X168" s="37"/>
      <c r="Y168" s="37"/>
      <c r="Z168" s="38"/>
      <c r="AA168" s="39"/>
      <c r="AB168" s="40"/>
      <c r="AC168" s="41"/>
      <c r="AD168" s="40"/>
      <c r="AE168" s="40"/>
      <c r="AF168" s="40"/>
      <c r="AG168" s="40"/>
      <c r="AH168" s="41"/>
      <c r="AI168" s="40"/>
      <c r="AJ168" s="42"/>
    </row>
    <row r="169" spans="1:36" s="5" customFormat="1" ht="24.95" customHeight="1" x14ac:dyDescent="0.2">
      <c r="A169" s="13">
        <f>A167+1</f>
        <v>86</v>
      </c>
      <c r="B169" s="356" t="s">
        <v>106</v>
      </c>
      <c r="C169" s="345" t="s">
        <v>218</v>
      </c>
      <c r="D169" s="345" t="s">
        <v>335</v>
      </c>
      <c r="E169" s="46" t="s">
        <v>1432</v>
      </c>
      <c r="F169" s="17">
        <v>2</v>
      </c>
      <c r="G169" s="18">
        <v>42123</v>
      </c>
      <c r="H169" s="175"/>
      <c r="I169" s="18">
        <v>42123</v>
      </c>
      <c r="J169" s="74">
        <v>14</v>
      </c>
      <c r="K169" s="61" t="s">
        <v>2324</v>
      </c>
      <c r="L169" s="61">
        <v>42109</v>
      </c>
      <c r="M169" s="17" t="s">
        <v>2325</v>
      </c>
      <c r="N169" s="18">
        <v>42123</v>
      </c>
      <c r="O169" s="46" t="s">
        <v>2336</v>
      </c>
      <c r="P169" s="26">
        <v>42136</v>
      </c>
      <c r="Q169" s="52">
        <v>2</v>
      </c>
      <c r="R169" s="114" t="s">
        <v>2340</v>
      </c>
      <c r="S169" s="18">
        <v>42137</v>
      </c>
      <c r="T169" s="46" t="s">
        <v>2357</v>
      </c>
      <c r="U169" s="26">
        <v>42142</v>
      </c>
      <c r="V169" s="52" t="s">
        <v>1369</v>
      </c>
      <c r="W169" s="67" t="s">
        <v>1442</v>
      </c>
      <c r="X169" s="37"/>
      <c r="Y169" s="37"/>
      <c r="Z169" s="38"/>
      <c r="AA169" s="39"/>
      <c r="AB169" s="40"/>
      <c r="AC169" s="41"/>
      <c r="AD169" s="40"/>
      <c r="AE169" s="40"/>
      <c r="AF169" s="40"/>
      <c r="AG169" s="40"/>
      <c r="AH169" s="41"/>
      <c r="AI169" s="40"/>
      <c r="AJ169" s="42"/>
    </row>
    <row r="170" spans="1:36" s="5" customFormat="1" ht="24.95" customHeight="1" x14ac:dyDescent="0.2">
      <c r="A170" s="13"/>
      <c r="B170" s="358"/>
      <c r="C170" s="346"/>
      <c r="D170" s="346"/>
      <c r="E170" s="46" t="s">
        <v>1459</v>
      </c>
      <c r="F170" s="17" t="s">
        <v>1442</v>
      </c>
      <c r="G170" s="18" t="s">
        <v>1442</v>
      </c>
      <c r="H170" s="175"/>
      <c r="I170" s="18"/>
      <c r="J170" s="74" t="s">
        <v>1442</v>
      </c>
      <c r="K170" s="61" t="s">
        <v>2614</v>
      </c>
      <c r="L170" s="61">
        <v>42229</v>
      </c>
      <c r="M170" s="17" t="s">
        <v>2615</v>
      </c>
      <c r="N170" s="61">
        <v>42232</v>
      </c>
      <c r="O170" s="46" t="s">
        <v>2670</v>
      </c>
      <c r="P170" s="26">
        <v>42234</v>
      </c>
      <c r="Q170" s="52">
        <v>1</v>
      </c>
      <c r="R170" s="17" t="s">
        <v>2639</v>
      </c>
      <c r="S170" s="62">
        <v>42232</v>
      </c>
      <c r="T170" s="46" t="s">
        <v>2809</v>
      </c>
      <c r="U170" s="26">
        <v>42253</v>
      </c>
      <c r="V170" s="52" t="s">
        <v>1369</v>
      </c>
      <c r="W170" s="67" t="s">
        <v>1442</v>
      </c>
      <c r="X170" s="37"/>
      <c r="Y170" s="37"/>
      <c r="Z170" s="38"/>
      <c r="AA170" s="39"/>
      <c r="AB170" s="40"/>
      <c r="AC170" s="41"/>
      <c r="AD170" s="40"/>
      <c r="AE170" s="40"/>
      <c r="AF170" s="40"/>
      <c r="AG170" s="40"/>
      <c r="AH170" s="41"/>
      <c r="AI170" s="40"/>
      <c r="AJ170" s="42"/>
    </row>
    <row r="171" spans="1:36" s="5" customFormat="1" ht="24.95" customHeight="1" x14ac:dyDescent="0.2">
      <c r="A171" s="13">
        <f>A169+1</f>
        <v>87</v>
      </c>
      <c r="B171" s="356" t="s">
        <v>107</v>
      </c>
      <c r="C171" s="345" t="s">
        <v>219</v>
      </c>
      <c r="D171" s="345" t="s">
        <v>336</v>
      </c>
      <c r="E171" s="46" t="s">
        <v>1432</v>
      </c>
      <c r="F171" s="17">
        <v>2</v>
      </c>
      <c r="G171" s="18">
        <v>42130</v>
      </c>
      <c r="H171" s="175"/>
      <c r="I171" s="18">
        <v>42130</v>
      </c>
      <c r="J171" s="74">
        <v>21</v>
      </c>
      <c r="K171" s="61" t="s">
        <v>2320</v>
      </c>
      <c r="L171" s="61">
        <v>42109</v>
      </c>
      <c r="M171" s="17" t="s">
        <v>2321</v>
      </c>
      <c r="N171" s="18">
        <v>42123</v>
      </c>
      <c r="O171" s="46" t="s">
        <v>2337</v>
      </c>
      <c r="P171" s="26">
        <v>42136</v>
      </c>
      <c r="Q171" s="52">
        <v>2</v>
      </c>
      <c r="R171" s="114" t="s">
        <v>2341</v>
      </c>
      <c r="S171" s="18">
        <v>42137</v>
      </c>
      <c r="T171" s="46" t="s">
        <v>2358</v>
      </c>
      <c r="U171" s="26">
        <v>42142</v>
      </c>
      <c r="V171" s="52" t="s">
        <v>1369</v>
      </c>
      <c r="W171" s="67" t="s">
        <v>1442</v>
      </c>
      <c r="X171" s="37"/>
      <c r="Y171" s="37"/>
      <c r="Z171" s="38"/>
      <c r="AA171" s="39"/>
      <c r="AB171" s="40"/>
      <c r="AC171" s="41"/>
      <c r="AD171" s="40"/>
      <c r="AE171" s="40"/>
      <c r="AF171" s="40"/>
      <c r="AG171" s="40"/>
      <c r="AH171" s="41"/>
      <c r="AI171" s="40"/>
      <c r="AJ171" s="42"/>
    </row>
    <row r="172" spans="1:36" s="5" customFormat="1" ht="24.95" customHeight="1" x14ac:dyDescent="0.2">
      <c r="A172" s="13"/>
      <c r="B172" s="358"/>
      <c r="C172" s="346"/>
      <c r="D172" s="346"/>
      <c r="E172" s="46" t="s">
        <v>1459</v>
      </c>
      <c r="F172" s="17" t="s">
        <v>1442</v>
      </c>
      <c r="G172" s="18" t="s">
        <v>1442</v>
      </c>
      <c r="H172" s="175"/>
      <c r="I172" s="18"/>
      <c r="J172" s="74" t="s">
        <v>1442</v>
      </c>
      <c r="K172" s="61" t="s">
        <v>2601</v>
      </c>
      <c r="L172" s="61">
        <v>42228</v>
      </c>
      <c r="M172" s="17" t="s">
        <v>2602</v>
      </c>
      <c r="N172" s="18">
        <v>42229</v>
      </c>
      <c r="O172" s="46" t="s">
        <v>2668</v>
      </c>
      <c r="P172" s="26">
        <v>42234</v>
      </c>
      <c r="Q172" s="52">
        <v>1</v>
      </c>
      <c r="R172" s="114" t="s">
        <v>2611</v>
      </c>
      <c r="S172" s="18">
        <v>42229</v>
      </c>
      <c r="T172" s="46" t="s">
        <v>2810</v>
      </c>
      <c r="U172" s="26">
        <v>42253</v>
      </c>
      <c r="V172" s="52" t="s">
        <v>1369</v>
      </c>
      <c r="W172" s="67" t="s">
        <v>1442</v>
      </c>
      <c r="X172" s="37"/>
      <c r="Y172" s="37"/>
      <c r="Z172" s="38"/>
      <c r="AA172" s="39"/>
      <c r="AB172" s="40"/>
      <c r="AC172" s="41"/>
      <c r="AD172" s="40"/>
      <c r="AE172" s="40"/>
      <c r="AF172" s="40"/>
      <c r="AG172" s="40"/>
      <c r="AH172" s="41"/>
      <c r="AI172" s="40"/>
      <c r="AJ172" s="42"/>
    </row>
    <row r="173" spans="1:36" s="5" customFormat="1" ht="24.95" customHeight="1" x14ac:dyDescent="0.2">
      <c r="A173" s="13">
        <f>A171+1</f>
        <v>88</v>
      </c>
      <c r="B173" s="356" t="s">
        <v>108</v>
      </c>
      <c r="C173" s="345" t="s">
        <v>220</v>
      </c>
      <c r="D173" s="345" t="s">
        <v>337</v>
      </c>
      <c r="E173" s="46" t="s">
        <v>1432</v>
      </c>
      <c r="F173" s="17">
        <v>2</v>
      </c>
      <c r="G173" s="18">
        <v>42137</v>
      </c>
      <c r="H173" s="175"/>
      <c r="I173" s="18">
        <v>42137</v>
      </c>
      <c r="J173" s="74">
        <v>20</v>
      </c>
      <c r="K173" s="61" t="s">
        <v>2332</v>
      </c>
      <c r="L173" s="61">
        <v>42117</v>
      </c>
      <c r="M173" s="17" t="s">
        <v>2333</v>
      </c>
      <c r="N173" s="18">
        <v>42123</v>
      </c>
      <c r="O173" s="46" t="s">
        <v>2362</v>
      </c>
      <c r="P173" s="26">
        <v>42141</v>
      </c>
      <c r="Q173" s="52">
        <v>2</v>
      </c>
      <c r="R173" s="114" t="s">
        <v>2338</v>
      </c>
      <c r="S173" s="18">
        <v>42137</v>
      </c>
      <c r="T173" s="46" t="s">
        <v>2350</v>
      </c>
      <c r="U173" s="26">
        <v>42141</v>
      </c>
      <c r="V173" s="52" t="s">
        <v>1369</v>
      </c>
      <c r="W173" s="67" t="s">
        <v>1442</v>
      </c>
      <c r="X173" s="37"/>
      <c r="Y173" s="37"/>
      <c r="Z173" s="38"/>
      <c r="AA173" s="39"/>
      <c r="AB173" s="40"/>
      <c r="AC173" s="41"/>
      <c r="AD173" s="40"/>
      <c r="AE173" s="40"/>
      <c r="AF173" s="40"/>
      <c r="AG173" s="40"/>
      <c r="AH173" s="41"/>
      <c r="AI173" s="40"/>
      <c r="AJ173" s="42"/>
    </row>
    <row r="174" spans="1:36" s="5" customFormat="1" ht="24.95" customHeight="1" x14ac:dyDescent="0.2">
      <c r="A174" s="13"/>
      <c r="B174" s="358"/>
      <c r="C174" s="346"/>
      <c r="D174" s="346"/>
      <c r="E174" s="46" t="s">
        <v>1459</v>
      </c>
      <c r="F174" s="17"/>
      <c r="G174" s="18"/>
      <c r="H174" s="175"/>
      <c r="I174" s="18"/>
      <c r="J174" s="74"/>
      <c r="K174" s="61" t="s">
        <v>2594</v>
      </c>
      <c r="L174" s="61">
        <v>42227</v>
      </c>
      <c r="M174" s="17" t="s">
        <v>2595</v>
      </c>
      <c r="N174" s="18">
        <v>42228</v>
      </c>
      <c r="O174" s="46" t="s">
        <v>2642</v>
      </c>
      <c r="P174" s="26">
        <v>42232</v>
      </c>
      <c r="Q174" s="52">
        <v>1</v>
      </c>
      <c r="R174" s="114" t="s">
        <v>2606</v>
      </c>
      <c r="S174" s="18">
        <v>42228</v>
      </c>
      <c r="T174" s="46" t="s">
        <v>2811</v>
      </c>
      <c r="U174" s="26">
        <v>42253</v>
      </c>
      <c r="V174" s="52" t="s">
        <v>1369</v>
      </c>
      <c r="W174" s="67" t="s">
        <v>1442</v>
      </c>
      <c r="X174" s="37"/>
      <c r="Y174" s="37"/>
      <c r="Z174" s="38"/>
      <c r="AA174" s="39"/>
      <c r="AB174" s="40"/>
      <c r="AC174" s="41"/>
      <c r="AD174" s="40"/>
      <c r="AE174" s="40"/>
      <c r="AF174" s="40"/>
      <c r="AG174" s="40"/>
      <c r="AH174" s="41"/>
      <c r="AI174" s="40"/>
      <c r="AJ174" s="42"/>
    </row>
    <row r="175" spans="1:36" s="5" customFormat="1" ht="24.95" customHeight="1" x14ac:dyDescent="0.2">
      <c r="A175" s="13">
        <f>A173+1</f>
        <v>89</v>
      </c>
      <c r="B175" s="356" t="s">
        <v>109</v>
      </c>
      <c r="C175" s="345" t="s">
        <v>221</v>
      </c>
      <c r="D175" s="345" t="s">
        <v>338</v>
      </c>
      <c r="E175" s="46" t="s">
        <v>1432</v>
      </c>
      <c r="F175" s="17">
        <v>2</v>
      </c>
      <c r="G175" s="18">
        <v>42198</v>
      </c>
      <c r="H175" s="175"/>
      <c r="I175" s="225">
        <v>42144</v>
      </c>
      <c r="J175" s="74">
        <v>-45</v>
      </c>
      <c r="K175" s="61" t="s">
        <v>2745</v>
      </c>
      <c r="L175" s="61">
        <v>42243</v>
      </c>
      <c r="M175" s="17" t="s">
        <v>2746</v>
      </c>
      <c r="N175" s="18">
        <v>42246</v>
      </c>
      <c r="O175" s="46" t="s">
        <v>2800</v>
      </c>
      <c r="P175" s="26">
        <v>42250</v>
      </c>
      <c r="Q175" s="52">
        <v>2</v>
      </c>
      <c r="R175" s="17" t="s">
        <v>2786</v>
      </c>
      <c r="S175" s="62">
        <v>42249</v>
      </c>
      <c r="T175" s="46" t="s">
        <v>2812</v>
      </c>
      <c r="U175" s="26">
        <v>42253</v>
      </c>
      <c r="V175" s="52" t="s">
        <v>1369</v>
      </c>
      <c r="W175" s="67" t="s">
        <v>1442</v>
      </c>
      <c r="X175" s="37"/>
      <c r="Y175" s="37"/>
      <c r="Z175" s="38"/>
      <c r="AA175" s="39"/>
      <c r="AB175" s="40"/>
      <c r="AC175" s="41"/>
      <c r="AD175" s="40"/>
      <c r="AE175" s="40"/>
      <c r="AF175" s="40"/>
      <c r="AG175" s="40"/>
      <c r="AH175" s="41"/>
      <c r="AI175" s="40"/>
      <c r="AJ175" s="42"/>
    </row>
    <row r="176" spans="1:36" s="5" customFormat="1" ht="24.95" customHeight="1" x14ac:dyDescent="0.2">
      <c r="A176" s="13"/>
      <c r="B176" s="358"/>
      <c r="C176" s="346"/>
      <c r="D176" s="346"/>
      <c r="E176" s="46" t="s">
        <v>3124</v>
      </c>
      <c r="F176" s="17" t="s">
        <v>1442</v>
      </c>
      <c r="G176" s="18" t="s">
        <v>1442</v>
      </c>
      <c r="H176" s="175"/>
      <c r="I176" s="225"/>
      <c r="J176" s="74"/>
      <c r="K176" s="61" t="s">
        <v>3143</v>
      </c>
      <c r="L176" s="61">
        <v>42353</v>
      </c>
      <c r="M176" s="17" t="s">
        <v>3144</v>
      </c>
      <c r="N176" s="18">
        <v>42355</v>
      </c>
      <c r="O176" s="46" t="s">
        <v>3179</v>
      </c>
      <c r="P176" s="26">
        <v>42372</v>
      </c>
      <c r="Q176" s="52">
        <v>1</v>
      </c>
      <c r="R176" s="17" t="s">
        <v>3154</v>
      </c>
      <c r="S176" s="62">
        <v>42355</v>
      </c>
      <c r="T176" s="46"/>
      <c r="U176" s="26"/>
      <c r="V176" s="52"/>
      <c r="W176" s="67" t="s">
        <v>1442</v>
      </c>
      <c r="X176" s="37"/>
      <c r="Y176" s="37"/>
      <c r="Z176" s="38"/>
      <c r="AA176" s="39"/>
      <c r="AB176" s="40"/>
      <c r="AC176" s="41"/>
      <c r="AD176" s="40"/>
      <c r="AE176" s="40"/>
      <c r="AF176" s="40"/>
      <c r="AG176" s="40"/>
      <c r="AH176" s="41"/>
      <c r="AI176" s="40"/>
      <c r="AJ176" s="42"/>
    </row>
    <row r="177" spans="1:36" s="5" customFormat="1" ht="24.95" customHeight="1" x14ac:dyDescent="0.2">
      <c r="A177" s="13">
        <f>A175+1</f>
        <v>90</v>
      </c>
      <c r="B177" s="356" t="s">
        <v>110</v>
      </c>
      <c r="C177" s="345" t="s">
        <v>222</v>
      </c>
      <c r="D177" s="345" t="s">
        <v>339</v>
      </c>
      <c r="E177" s="46" t="s">
        <v>1432</v>
      </c>
      <c r="F177" s="17">
        <v>2</v>
      </c>
      <c r="G177" s="18">
        <v>42202</v>
      </c>
      <c r="H177" s="175"/>
      <c r="I177" s="225">
        <v>42151</v>
      </c>
      <c r="J177" s="74">
        <v>-33</v>
      </c>
      <c r="K177" s="61" t="s">
        <v>2675</v>
      </c>
      <c r="L177" s="16">
        <v>42235</v>
      </c>
      <c r="M177" s="17" t="s">
        <v>2676</v>
      </c>
      <c r="N177" s="18">
        <v>42235</v>
      </c>
      <c r="O177" s="46" t="s">
        <v>2757</v>
      </c>
      <c r="P177" s="26">
        <v>42243</v>
      </c>
      <c r="Q177" s="52">
        <v>2</v>
      </c>
      <c r="R177" s="17" t="s">
        <v>2682</v>
      </c>
      <c r="S177" s="18">
        <v>42236</v>
      </c>
      <c r="T177" s="46" t="s">
        <v>2813</v>
      </c>
      <c r="U177" s="26">
        <v>42253</v>
      </c>
      <c r="V177" s="52" t="s">
        <v>1369</v>
      </c>
      <c r="W177" s="67" t="s">
        <v>1442</v>
      </c>
      <c r="X177" s="37"/>
      <c r="Y177" s="37"/>
      <c r="Z177" s="38"/>
      <c r="AA177" s="39"/>
      <c r="AB177" s="40"/>
      <c r="AC177" s="41"/>
      <c r="AD177" s="40"/>
      <c r="AE177" s="40"/>
      <c r="AF177" s="40"/>
      <c r="AG177" s="40"/>
      <c r="AH177" s="41"/>
      <c r="AI177" s="40"/>
      <c r="AJ177" s="42"/>
    </row>
    <row r="178" spans="1:36" s="5" customFormat="1" ht="24.95" customHeight="1" x14ac:dyDescent="0.2">
      <c r="A178" s="13"/>
      <c r="B178" s="358"/>
      <c r="C178" s="346"/>
      <c r="D178" s="346"/>
      <c r="E178" s="46" t="s">
        <v>3124</v>
      </c>
      <c r="F178" s="17" t="s">
        <v>1442</v>
      </c>
      <c r="G178" s="18" t="s">
        <v>1442</v>
      </c>
      <c r="H178" s="175"/>
      <c r="I178" s="225"/>
      <c r="J178" s="74"/>
      <c r="K178" s="61" t="s">
        <v>3143</v>
      </c>
      <c r="L178" s="61">
        <v>42353</v>
      </c>
      <c r="M178" s="17" t="s">
        <v>3144</v>
      </c>
      <c r="N178" s="18">
        <v>42355</v>
      </c>
      <c r="O178" s="46" t="s">
        <v>3179</v>
      </c>
      <c r="P178" s="26">
        <v>42372</v>
      </c>
      <c r="Q178" s="52">
        <v>1</v>
      </c>
      <c r="R178" s="17" t="s">
        <v>3154</v>
      </c>
      <c r="S178" s="62">
        <v>42355</v>
      </c>
      <c r="T178" s="46"/>
      <c r="U178" s="26"/>
      <c r="V178" s="52"/>
      <c r="W178" s="67"/>
      <c r="X178" s="37"/>
      <c r="Y178" s="37"/>
      <c r="Z178" s="38"/>
      <c r="AA178" s="39"/>
      <c r="AB178" s="40"/>
      <c r="AC178" s="41"/>
      <c r="AD178" s="40"/>
      <c r="AE178" s="40"/>
      <c r="AF178" s="40"/>
      <c r="AG178" s="40"/>
      <c r="AH178" s="41"/>
      <c r="AI178" s="40"/>
      <c r="AJ178" s="42"/>
    </row>
    <row r="179" spans="1:36" s="5" customFormat="1" ht="24.95" customHeight="1" x14ac:dyDescent="0.2">
      <c r="A179" s="13">
        <f>A177+1</f>
        <v>91</v>
      </c>
      <c r="B179" s="356" t="s">
        <v>111</v>
      </c>
      <c r="C179" s="345" t="s">
        <v>223</v>
      </c>
      <c r="D179" s="345" t="s">
        <v>340</v>
      </c>
      <c r="E179" s="46" t="s">
        <v>1432</v>
      </c>
      <c r="F179" s="17">
        <v>2</v>
      </c>
      <c r="G179" s="18">
        <v>42158</v>
      </c>
      <c r="H179" s="175"/>
      <c r="I179" s="18">
        <v>42158</v>
      </c>
      <c r="J179" s="74">
        <v>44</v>
      </c>
      <c r="K179" s="61" t="s">
        <v>2327</v>
      </c>
      <c r="L179" s="61">
        <v>42114</v>
      </c>
      <c r="M179" s="17" t="s">
        <v>2328</v>
      </c>
      <c r="N179" s="18">
        <v>42123</v>
      </c>
      <c r="O179" s="46" t="s">
        <v>2361</v>
      </c>
      <c r="P179" s="26">
        <v>42141</v>
      </c>
      <c r="Q179" s="52">
        <v>2</v>
      </c>
      <c r="R179" s="114" t="s">
        <v>2339</v>
      </c>
      <c r="S179" s="18">
        <v>42137</v>
      </c>
      <c r="T179" s="46" t="s">
        <v>2359</v>
      </c>
      <c r="U179" s="26">
        <v>42142</v>
      </c>
      <c r="V179" s="52" t="s">
        <v>1369</v>
      </c>
      <c r="W179" s="67" t="s">
        <v>1442</v>
      </c>
      <c r="X179" s="37"/>
      <c r="Y179" s="37"/>
      <c r="Z179" s="38"/>
      <c r="AA179" s="39"/>
      <c r="AB179" s="40"/>
      <c r="AC179" s="41"/>
      <c r="AD179" s="40"/>
      <c r="AE179" s="40"/>
      <c r="AF179" s="40"/>
      <c r="AG179" s="40"/>
      <c r="AH179" s="41"/>
      <c r="AI179" s="40"/>
      <c r="AJ179" s="42"/>
    </row>
    <row r="180" spans="1:36" s="5" customFormat="1" ht="24.95" customHeight="1" x14ac:dyDescent="0.2">
      <c r="A180" s="13"/>
      <c r="B180" s="358"/>
      <c r="C180" s="346"/>
      <c r="D180" s="346"/>
      <c r="E180" s="46" t="s">
        <v>1459</v>
      </c>
      <c r="F180" s="17" t="s">
        <v>1442</v>
      </c>
      <c r="G180" s="18" t="s">
        <v>1442</v>
      </c>
      <c r="H180" s="175"/>
      <c r="I180" s="18"/>
      <c r="J180" s="74"/>
      <c r="K180" s="61" t="s">
        <v>2594</v>
      </c>
      <c r="L180" s="61">
        <v>42227</v>
      </c>
      <c r="M180" s="17" t="s">
        <v>2595</v>
      </c>
      <c r="N180" s="18">
        <v>42228</v>
      </c>
      <c r="O180" s="46" t="s">
        <v>2642</v>
      </c>
      <c r="P180" s="26">
        <v>42232</v>
      </c>
      <c r="Q180" s="52">
        <v>1</v>
      </c>
      <c r="R180" s="114" t="s">
        <v>2606</v>
      </c>
      <c r="S180" s="18">
        <v>42228</v>
      </c>
      <c r="T180" s="46" t="s">
        <v>2814</v>
      </c>
      <c r="U180" s="26">
        <v>42253</v>
      </c>
      <c r="V180" s="52" t="s">
        <v>1369</v>
      </c>
      <c r="W180" s="67" t="s">
        <v>1442</v>
      </c>
      <c r="X180" s="37"/>
      <c r="Y180" s="37"/>
      <c r="Z180" s="38"/>
      <c r="AA180" s="39"/>
      <c r="AB180" s="40"/>
      <c r="AC180" s="41"/>
      <c r="AD180" s="40"/>
      <c r="AE180" s="40"/>
      <c r="AF180" s="40"/>
      <c r="AG180" s="40"/>
      <c r="AH180" s="41"/>
      <c r="AI180" s="40"/>
      <c r="AJ180" s="42"/>
    </row>
    <row r="181" spans="1:36" s="5" customFormat="1" ht="24.95" customHeight="1" x14ac:dyDescent="0.2">
      <c r="A181" s="13">
        <f>A179+1</f>
        <v>92</v>
      </c>
      <c r="B181" s="24" t="s">
        <v>112</v>
      </c>
      <c r="C181" s="15" t="s">
        <v>224</v>
      </c>
      <c r="D181" s="15" t="s">
        <v>341</v>
      </c>
      <c r="E181" s="46" t="s">
        <v>1432</v>
      </c>
      <c r="F181" s="17">
        <v>2</v>
      </c>
      <c r="G181" s="18">
        <v>42206</v>
      </c>
      <c r="H181" s="175"/>
      <c r="I181" s="225">
        <v>42165</v>
      </c>
      <c r="J181" s="74">
        <v>-37</v>
      </c>
      <c r="K181" s="61" t="s">
        <v>2741</v>
      </c>
      <c r="L181" s="16">
        <v>42243</v>
      </c>
      <c r="M181" s="17" t="s">
        <v>2742</v>
      </c>
      <c r="N181" s="18">
        <v>42246</v>
      </c>
      <c r="O181" s="46" t="s">
        <v>2859</v>
      </c>
      <c r="P181" s="26">
        <v>42255</v>
      </c>
      <c r="Q181" s="52">
        <v>1</v>
      </c>
      <c r="R181" s="17" t="s">
        <v>2784</v>
      </c>
      <c r="S181" s="62">
        <v>42249</v>
      </c>
      <c r="T181" s="46" t="s">
        <v>2820</v>
      </c>
      <c r="U181" s="26">
        <v>42253</v>
      </c>
      <c r="V181" s="52" t="s">
        <v>1369</v>
      </c>
      <c r="W181" s="67" t="s">
        <v>1442</v>
      </c>
      <c r="X181" s="37"/>
      <c r="Y181" s="37"/>
      <c r="Z181" s="38"/>
      <c r="AA181" s="39"/>
      <c r="AB181" s="40"/>
      <c r="AC181" s="41"/>
      <c r="AD181" s="40"/>
      <c r="AE181" s="40"/>
      <c r="AF181" s="40"/>
      <c r="AG181" s="40"/>
      <c r="AH181" s="41"/>
      <c r="AI181" s="40"/>
      <c r="AJ181" s="42"/>
    </row>
    <row r="182" spans="1:36" s="5" customFormat="1" ht="24.95" customHeight="1" x14ac:dyDescent="0.2">
      <c r="A182" s="13">
        <f t="shared" si="2"/>
        <v>93</v>
      </c>
      <c r="B182" s="24" t="s">
        <v>113</v>
      </c>
      <c r="C182" s="15" t="s">
        <v>225</v>
      </c>
      <c r="D182" s="15" t="s">
        <v>342</v>
      </c>
      <c r="E182" s="46" t="s">
        <v>1432</v>
      </c>
      <c r="F182" s="17">
        <v>2</v>
      </c>
      <c r="G182" s="18">
        <v>42210</v>
      </c>
      <c r="H182" s="175"/>
      <c r="I182" s="225">
        <v>42172</v>
      </c>
      <c r="J182" s="74">
        <v>-23</v>
      </c>
      <c r="K182" s="61" t="s">
        <v>2648</v>
      </c>
      <c r="L182" s="16">
        <v>42233</v>
      </c>
      <c r="M182" s="17" t="s">
        <v>2649</v>
      </c>
      <c r="N182" s="18">
        <v>42234</v>
      </c>
      <c r="O182" s="46" t="s">
        <v>2701</v>
      </c>
      <c r="P182" s="26">
        <v>42239</v>
      </c>
      <c r="Q182" s="52">
        <v>1</v>
      </c>
      <c r="R182" s="17" t="s">
        <v>2665</v>
      </c>
      <c r="S182" s="18">
        <v>42234</v>
      </c>
      <c r="T182" s="46" t="s">
        <v>2821</v>
      </c>
      <c r="U182" s="26">
        <v>42253</v>
      </c>
      <c r="V182" s="52" t="s">
        <v>1369</v>
      </c>
      <c r="W182" s="67" t="s">
        <v>1442</v>
      </c>
      <c r="X182" s="37"/>
      <c r="Y182" s="37"/>
      <c r="Z182" s="38"/>
      <c r="AA182" s="39"/>
      <c r="AB182" s="40"/>
      <c r="AC182" s="41"/>
      <c r="AD182" s="40"/>
      <c r="AE182" s="40"/>
      <c r="AF182" s="40"/>
      <c r="AG182" s="40"/>
      <c r="AH182" s="41"/>
      <c r="AI182" s="40"/>
      <c r="AJ182" s="42"/>
    </row>
    <row r="183" spans="1:36" s="5" customFormat="1" ht="24.95" customHeight="1" x14ac:dyDescent="0.2">
      <c r="A183" s="13">
        <f t="shared" si="2"/>
        <v>94</v>
      </c>
      <c r="B183" s="356" t="s">
        <v>114</v>
      </c>
      <c r="C183" s="345" t="s">
        <v>226</v>
      </c>
      <c r="D183" s="345" t="s">
        <v>343</v>
      </c>
      <c r="E183" s="46" t="s">
        <v>1432</v>
      </c>
      <c r="F183" s="17">
        <v>2</v>
      </c>
      <c r="G183" s="18">
        <v>42214</v>
      </c>
      <c r="H183" s="175"/>
      <c r="I183" s="225">
        <v>42179</v>
      </c>
      <c r="J183" s="74">
        <v>-22</v>
      </c>
      <c r="K183" s="61" t="s">
        <v>2683</v>
      </c>
      <c r="L183" s="61">
        <v>42236</v>
      </c>
      <c r="M183" s="17" t="s">
        <v>2684</v>
      </c>
      <c r="N183" s="18">
        <v>42239</v>
      </c>
      <c r="O183" s="46" t="s">
        <v>2731</v>
      </c>
      <c r="P183" s="26">
        <v>42242</v>
      </c>
      <c r="Q183" s="52">
        <v>2</v>
      </c>
      <c r="R183" s="17" t="s">
        <v>2694</v>
      </c>
      <c r="S183" s="18">
        <v>42239</v>
      </c>
      <c r="T183" s="46" t="s">
        <v>2822</v>
      </c>
      <c r="U183" s="26">
        <v>42253</v>
      </c>
      <c r="V183" s="52" t="s">
        <v>1369</v>
      </c>
      <c r="W183" s="67" t="s">
        <v>1442</v>
      </c>
      <c r="X183" s="37"/>
      <c r="Y183" s="37"/>
      <c r="Z183" s="38"/>
      <c r="AA183" s="39"/>
      <c r="AB183" s="40"/>
      <c r="AC183" s="41"/>
      <c r="AD183" s="40"/>
      <c r="AE183" s="40"/>
      <c r="AF183" s="40"/>
      <c r="AG183" s="40"/>
      <c r="AH183" s="41"/>
      <c r="AI183" s="40"/>
      <c r="AJ183" s="42"/>
    </row>
    <row r="184" spans="1:36" s="5" customFormat="1" ht="24.95" customHeight="1" x14ac:dyDescent="0.2">
      <c r="A184" s="13"/>
      <c r="B184" s="358"/>
      <c r="C184" s="346"/>
      <c r="D184" s="346"/>
      <c r="E184" s="46" t="s">
        <v>3124</v>
      </c>
      <c r="F184" s="17" t="s">
        <v>1442</v>
      </c>
      <c r="G184" s="18" t="s">
        <v>1442</v>
      </c>
      <c r="H184" s="175"/>
      <c r="I184" s="225"/>
      <c r="J184" s="74"/>
      <c r="K184" s="61" t="s">
        <v>3143</v>
      </c>
      <c r="L184" s="61">
        <v>42353</v>
      </c>
      <c r="M184" s="17" t="s">
        <v>3144</v>
      </c>
      <c r="N184" s="18">
        <v>42355</v>
      </c>
      <c r="O184" s="46" t="s">
        <v>3179</v>
      </c>
      <c r="P184" s="26">
        <v>42372</v>
      </c>
      <c r="Q184" s="52">
        <v>1</v>
      </c>
      <c r="R184" s="17" t="s">
        <v>3154</v>
      </c>
      <c r="S184" s="62">
        <v>42355</v>
      </c>
      <c r="T184" s="46"/>
      <c r="U184" s="26"/>
      <c r="V184" s="52"/>
      <c r="W184" s="67"/>
      <c r="X184" s="37"/>
      <c r="Y184" s="37"/>
      <c r="Z184" s="38"/>
      <c r="AA184" s="39"/>
      <c r="AB184" s="40"/>
      <c r="AC184" s="41"/>
      <c r="AD184" s="40"/>
      <c r="AE184" s="40"/>
      <c r="AF184" s="40"/>
      <c r="AG184" s="40"/>
      <c r="AH184" s="41"/>
      <c r="AI184" s="40"/>
      <c r="AJ184" s="42"/>
    </row>
    <row r="185" spans="1:36" s="5" customFormat="1" ht="24.95" customHeight="1" x14ac:dyDescent="0.2">
      <c r="A185" s="13">
        <f>A183+1</f>
        <v>95</v>
      </c>
      <c r="B185" s="24" t="s">
        <v>115</v>
      </c>
      <c r="C185" s="15" t="s">
        <v>227</v>
      </c>
      <c r="D185" s="15" t="s">
        <v>344</v>
      </c>
      <c r="E185" s="46" t="s">
        <v>1432</v>
      </c>
      <c r="F185" s="17">
        <v>2</v>
      </c>
      <c r="G185" s="18">
        <v>42218</v>
      </c>
      <c r="H185" s="175"/>
      <c r="I185" s="225">
        <v>42186</v>
      </c>
      <c r="J185" s="74">
        <v>-24</v>
      </c>
      <c r="K185" s="61" t="s">
        <v>2729</v>
      </c>
      <c r="L185" s="16">
        <v>42242</v>
      </c>
      <c r="M185" s="17" t="s">
        <v>2730</v>
      </c>
      <c r="N185" s="18">
        <v>42243</v>
      </c>
      <c r="O185" s="46" t="s">
        <v>2857</v>
      </c>
      <c r="P185" s="26">
        <v>42255</v>
      </c>
      <c r="Q185" s="52">
        <v>1</v>
      </c>
      <c r="R185" s="114" t="s">
        <v>2751</v>
      </c>
      <c r="S185" s="18">
        <v>42243</v>
      </c>
      <c r="T185" s="46" t="s">
        <v>2823</v>
      </c>
      <c r="U185" s="26">
        <v>42253</v>
      </c>
      <c r="V185" s="52" t="s">
        <v>1369</v>
      </c>
      <c r="W185" s="67" t="s">
        <v>1442</v>
      </c>
      <c r="X185" s="37"/>
      <c r="Y185" s="37"/>
      <c r="Z185" s="38"/>
      <c r="AA185" s="39"/>
      <c r="AB185" s="40"/>
      <c r="AC185" s="41"/>
      <c r="AD185" s="40"/>
      <c r="AE185" s="40"/>
      <c r="AF185" s="40"/>
      <c r="AG185" s="40"/>
      <c r="AH185" s="41"/>
      <c r="AI185" s="40"/>
      <c r="AJ185" s="42"/>
    </row>
    <row r="186" spans="1:36" s="5" customFormat="1" ht="24.95" customHeight="1" x14ac:dyDescent="0.2">
      <c r="A186" s="13">
        <f t="shared" si="2"/>
        <v>96</v>
      </c>
      <c r="B186" s="24" t="s">
        <v>116</v>
      </c>
      <c r="C186" s="15" t="s">
        <v>228</v>
      </c>
      <c r="D186" s="15" t="s">
        <v>345</v>
      </c>
      <c r="E186" s="46" t="s">
        <v>1432</v>
      </c>
      <c r="F186" s="17">
        <v>2</v>
      </c>
      <c r="G186" s="18">
        <v>42222</v>
      </c>
      <c r="H186" s="175"/>
      <c r="I186" s="225">
        <v>42193</v>
      </c>
      <c r="J186" s="74">
        <v>-28</v>
      </c>
      <c r="K186" s="61" t="s">
        <v>2793</v>
      </c>
      <c r="L186" s="16">
        <v>42250</v>
      </c>
      <c r="M186" s="17" t="s">
        <v>2794</v>
      </c>
      <c r="N186" s="18">
        <v>42253</v>
      </c>
      <c r="O186" s="46" t="s">
        <v>2938</v>
      </c>
      <c r="P186" s="26">
        <v>42263</v>
      </c>
      <c r="Q186" s="52">
        <v>1</v>
      </c>
      <c r="R186" s="17" t="s">
        <v>2841</v>
      </c>
      <c r="S186" s="18">
        <v>42254</v>
      </c>
      <c r="T186" s="46" t="s">
        <v>2917</v>
      </c>
      <c r="U186" s="26">
        <v>42261</v>
      </c>
      <c r="V186" s="52" t="s">
        <v>1369</v>
      </c>
      <c r="W186" s="67" t="s">
        <v>1442</v>
      </c>
      <c r="X186" s="37"/>
      <c r="Y186" s="37"/>
      <c r="Z186" s="38"/>
      <c r="AA186" s="39"/>
      <c r="AB186" s="40"/>
      <c r="AC186" s="41"/>
      <c r="AD186" s="40"/>
      <c r="AE186" s="40"/>
      <c r="AF186" s="40"/>
      <c r="AG186" s="40"/>
      <c r="AH186" s="41"/>
      <c r="AI186" s="40"/>
      <c r="AJ186" s="42"/>
    </row>
    <row r="187" spans="1:36" s="5" customFormat="1" ht="24.95" customHeight="1" x14ac:dyDescent="0.2">
      <c r="A187" s="360">
        <f t="shared" si="2"/>
        <v>97</v>
      </c>
      <c r="B187" s="347" t="s">
        <v>117</v>
      </c>
      <c r="C187" s="345" t="s">
        <v>229</v>
      </c>
      <c r="D187" s="345" t="s">
        <v>346</v>
      </c>
      <c r="E187" s="46" t="s">
        <v>1432</v>
      </c>
      <c r="F187" s="17">
        <v>2</v>
      </c>
      <c r="G187" s="18">
        <v>42226</v>
      </c>
      <c r="H187" s="175"/>
      <c r="I187" s="225">
        <v>42200</v>
      </c>
      <c r="J187" s="74">
        <f ca="1">G187-TODAY()</f>
        <v>-1836</v>
      </c>
      <c r="K187" s="61" t="s">
        <v>3249</v>
      </c>
      <c r="L187" s="16">
        <v>42415</v>
      </c>
      <c r="M187" s="17" t="s">
        <v>3250</v>
      </c>
      <c r="N187" s="104">
        <v>42421</v>
      </c>
      <c r="O187" s="290" t="s">
        <v>3283</v>
      </c>
      <c r="P187" s="26">
        <v>42431</v>
      </c>
      <c r="Q187" s="52">
        <v>2</v>
      </c>
      <c r="R187" s="17" t="s">
        <v>3258</v>
      </c>
      <c r="S187" s="18">
        <v>42421</v>
      </c>
      <c r="T187" s="46" t="s">
        <v>3259</v>
      </c>
      <c r="U187" s="26">
        <v>42422</v>
      </c>
      <c r="V187" s="52" t="s">
        <v>1369</v>
      </c>
      <c r="W187" s="67" t="s">
        <v>1442</v>
      </c>
      <c r="X187" s="37"/>
      <c r="Y187" s="37"/>
      <c r="Z187" s="38"/>
      <c r="AA187" s="39"/>
      <c r="AB187" s="40"/>
      <c r="AC187" s="41"/>
      <c r="AD187" s="40"/>
      <c r="AE187" s="40"/>
      <c r="AF187" s="40"/>
      <c r="AG187" s="40"/>
      <c r="AH187" s="41"/>
      <c r="AI187" s="40"/>
      <c r="AJ187" s="42"/>
    </row>
    <row r="188" spans="1:36" s="5" customFormat="1" ht="24.95" customHeight="1" x14ac:dyDescent="0.2">
      <c r="A188" s="361"/>
      <c r="B188" s="348"/>
      <c r="C188" s="346"/>
      <c r="D188" s="346"/>
      <c r="E188" s="290" t="s">
        <v>1459</v>
      </c>
      <c r="F188" s="17">
        <v>1</v>
      </c>
      <c r="G188" s="18"/>
      <c r="H188" s="175"/>
      <c r="I188" s="225"/>
      <c r="J188" s="74"/>
      <c r="K188" s="61" t="s">
        <v>3320</v>
      </c>
      <c r="L188" s="61">
        <v>42639</v>
      </c>
      <c r="M188" s="320" t="s">
        <v>3323</v>
      </c>
      <c r="N188" s="18">
        <v>42641</v>
      </c>
      <c r="O188" s="290" t="s">
        <v>3335</v>
      </c>
      <c r="P188" s="26">
        <v>42648</v>
      </c>
      <c r="Q188" s="52">
        <v>1</v>
      </c>
      <c r="R188" s="114" t="s">
        <v>3328</v>
      </c>
      <c r="S188" s="175">
        <v>42641</v>
      </c>
      <c r="T188" s="46"/>
      <c r="U188" s="26"/>
      <c r="V188" s="52"/>
      <c r="W188" s="67"/>
      <c r="X188" s="37"/>
      <c r="Y188" s="37"/>
      <c r="Z188" s="38"/>
      <c r="AA188" s="39"/>
      <c r="AB188" s="40"/>
      <c r="AC188" s="41"/>
      <c r="AD188" s="40"/>
      <c r="AE188" s="40"/>
      <c r="AF188" s="40"/>
      <c r="AG188" s="40"/>
      <c r="AH188" s="41"/>
      <c r="AI188" s="40"/>
      <c r="AJ188" s="42"/>
    </row>
    <row r="189" spans="1:36" s="5" customFormat="1" ht="24.95" customHeight="1" x14ac:dyDescent="0.2">
      <c r="A189" s="360">
        <f>A187+1</f>
        <v>98</v>
      </c>
      <c r="B189" s="347" t="s">
        <v>118</v>
      </c>
      <c r="C189" s="345" t="s">
        <v>230</v>
      </c>
      <c r="D189" s="345" t="s">
        <v>347</v>
      </c>
      <c r="E189" s="46" t="s">
        <v>1432</v>
      </c>
      <c r="F189" s="17">
        <v>2</v>
      </c>
      <c r="G189" s="18">
        <v>42230</v>
      </c>
      <c r="H189" s="175"/>
      <c r="I189" s="225">
        <v>42207</v>
      </c>
      <c r="J189" s="74">
        <f ca="1">G189-TODAY()</f>
        <v>-1832</v>
      </c>
      <c r="K189" s="61" t="s">
        <v>3246</v>
      </c>
      <c r="L189" s="16">
        <v>42411</v>
      </c>
      <c r="M189" s="17" t="s">
        <v>3247</v>
      </c>
      <c r="N189" s="104">
        <v>42415</v>
      </c>
      <c r="O189" s="290" t="s">
        <v>3284</v>
      </c>
      <c r="P189" s="26">
        <v>42431</v>
      </c>
      <c r="Q189" s="52">
        <v>2</v>
      </c>
      <c r="R189" s="17" t="s">
        <v>3254</v>
      </c>
      <c r="S189" s="18">
        <v>42417</v>
      </c>
      <c r="T189" s="46" t="s">
        <v>3256</v>
      </c>
      <c r="U189" s="26">
        <v>42421</v>
      </c>
      <c r="V189" s="52" t="s">
        <v>1369</v>
      </c>
      <c r="W189" s="67" t="s">
        <v>1442</v>
      </c>
      <c r="X189" s="37"/>
      <c r="Y189" s="37"/>
      <c r="Z189" s="38"/>
      <c r="AA189" s="39"/>
      <c r="AB189" s="40"/>
      <c r="AC189" s="41"/>
      <c r="AD189" s="40"/>
      <c r="AE189" s="40"/>
      <c r="AF189" s="40"/>
      <c r="AG189" s="40"/>
      <c r="AH189" s="41"/>
      <c r="AI189" s="40"/>
      <c r="AJ189" s="42"/>
    </row>
    <row r="190" spans="1:36" s="5" customFormat="1" ht="24.95" customHeight="1" x14ac:dyDescent="0.2">
      <c r="A190" s="361"/>
      <c r="B190" s="348"/>
      <c r="C190" s="346"/>
      <c r="D190" s="346"/>
      <c r="E190" s="290" t="s">
        <v>1459</v>
      </c>
      <c r="F190" s="17">
        <v>1</v>
      </c>
      <c r="G190" s="18"/>
      <c r="H190" s="175"/>
      <c r="I190" s="225"/>
      <c r="J190" s="74"/>
      <c r="K190" s="61" t="s">
        <v>3321</v>
      </c>
      <c r="L190" s="61">
        <v>42640</v>
      </c>
      <c r="M190" s="17" t="s">
        <v>3330</v>
      </c>
      <c r="N190" s="104">
        <v>42642</v>
      </c>
      <c r="O190" s="290" t="s">
        <v>3334</v>
      </c>
      <c r="P190" s="26">
        <v>42648</v>
      </c>
      <c r="Q190" s="52">
        <v>1</v>
      </c>
      <c r="R190" s="17" t="s">
        <v>3333</v>
      </c>
      <c r="S190" s="18">
        <v>42646</v>
      </c>
      <c r="T190" s="46"/>
      <c r="U190" s="26"/>
      <c r="V190" s="52"/>
      <c r="W190" s="67"/>
      <c r="X190" s="37"/>
      <c r="Y190" s="37"/>
      <c r="Z190" s="38"/>
      <c r="AA190" s="39"/>
      <c r="AB190" s="40"/>
      <c r="AC190" s="41"/>
      <c r="AD190" s="40"/>
      <c r="AE190" s="40"/>
      <c r="AF190" s="40"/>
      <c r="AG190" s="40"/>
      <c r="AH190" s="41"/>
      <c r="AI190" s="40"/>
      <c r="AJ190" s="42"/>
    </row>
    <row r="191" spans="1:36" s="5" customFormat="1" ht="24.95" customHeight="1" x14ac:dyDescent="0.2">
      <c r="A191" s="13">
        <f>A189+1</f>
        <v>99</v>
      </c>
      <c r="B191" s="24" t="s">
        <v>119</v>
      </c>
      <c r="C191" s="15" t="s">
        <v>231</v>
      </c>
      <c r="D191" s="15" t="s">
        <v>348</v>
      </c>
      <c r="E191" s="46" t="s">
        <v>1432</v>
      </c>
      <c r="F191" s="17">
        <v>2</v>
      </c>
      <c r="G191" s="18">
        <v>42234</v>
      </c>
      <c r="H191" s="175"/>
      <c r="I191" s="225">
        <v>42214</v>
      </c>
      <c r="J191" s="74">
        <v>-13</v>
      </c>
      <c r="K191" s="61" t="s">
        <v>2761</v>
      </c>
      <c r="L191" s="16">
        <v>42247</v>
      </c>
      <c r="M191" s="17" t="s">
        <v>2762</v>
      </c>
      <c r="N191" s="18">
        <v>42253</v>
      </c>
      <c r="O191" s="46" t="s">
        <v>2937</v>
      </c>
      <c r="P191" s="26">
        <v>42263</v>
      </c>
      <c r="Q191" s="52">
        <v>1</v>
      </c>
      <c r="R191" s="17" t="s">
        <v>2839</v>
      </c>
      <c r="S191" s="18">
        <v>42254</v>
      </c>
      <c r="T191" s="46" t="s">
        <v>2923</v>
      </c>
      <c r="U191" s="26">
        <v>42261</v>
      </c>
      <c r="V191" s="52" t="s">
        <v>1369</v>
      </c>
      <c r="W191" s="67" t="s">
        <v>1442</v>
      </c>
      <c r="X191" s="37"/>
      <c r="Y191" s="37"/>
      <c r="Z191" s="38"/>
      <c r="AA191" s="39"/>
      <c r="AB191" s="40"/>
      <c r="AC191" s="41"/>
      <c r="AD191" s="40"/>
      <c r="AE191" s="40"/>
      <c r="AF191" s="40"/>
      <c r="AG191" s="40"/>
      <c r="AH191" s="41"/>
      <c r="AI191" s="40"/>
      <c r="AJ191" s="42"/>
    </row>
    <row r="192" spans="1:36" s="5" customFormat="1" ht="24.95" customHeight="1" x14ac:dyDescent="0.2">
      <c r="A192" s="360">
        <f t="shared" si="2"/>
        <v>100</v>
      </c>
      <c r="B192" s="347" t="s">
        <v>120</v>
      </c>
      <c r="C192" s="345" t="s">
        <v>232</v>
      </c>
      <c r="D192" s="345" t="s">
        <v>349</v>
      </c>
      <c r="E192" s="46" t="s">
        <v>1432</v>
      </c>
      <c r="F192" s="17">
        <v>2</v>
      </c>
      <c r="G192" s="18">
        <v>42238</v>
      </c>
      <c r="H192" s="175"/>
      <c r="I192" s="225">
        <v>42221</v>
      </c>
      <c r="J192" s="74">
        <f ca="1">G192-TODAY()</f>
        <v>-1824</v>
      </c>
      <c r="K192" s="61" t="s">
        <v>3252</v>
      </c>
      <c r="L192" s="61">
        <v>42415</v>
      </c>
      <c r="M192" s="17" t="s">
        <v>3253</v>
      </c>
      <c r="N192" s="104">
        <v>42421</v>
      </c>
      <c r="O192" s="290" t="s">
        <v>3285</v>
      </c>
      <c r="P192" s="26">
        <v>42431</v>
      </c>
      <c r="Q192" s="52">
        <v>2</v>
      </c>
      <c r="R192" s="17" t="s">
        <v>3257</v>
      </c>
      <c r="S192" s="18">
        <v>42421</v>
      </c>
      <c r="T192" s="46" t="s">
        <v>3260</v>
      </c>
      <c r="U192" s="26">
        <v>42422</v>
      </c>
      <c r="V192" s="52" t="s">
        <v>1369</v>
      </c>
      <c r="W192" s="67" t="s">
        <v>1442</v>
      </c>
      <c r="X192" s="37"/>
      <c r="Y192" s="37"/>
      <c r="Z192" s="38"/>
      <c r="AA192" s="39"/>
      <c r="AB192" s="40"/>
      <c r="AC192" s="41"/>
      <c r="AD192" s="40"/>
      <c r="AE192" s="40"/>
      <c r="AF192" s="40"/>
      <c r="AG192" s="40"/>
      <c r="AH192" s="41"/>
      <c r="AI192" s="40"/>
      <c r="AJ192" s="42"/>
    </row>
    <row r="193" spans="1:36" s="5" customFormat="1" ht="24.95" customHeight="1" x14ac:dyDescent="0.2">
      <c r="A193" s="361"/>
      <c r="B193" s="348"/>
      <c r="C193" s="346"/>
      <c r="D193" s="346"/>
      <c r="E193" s="290" t="s">
        <v>1459</v>
      </c>
      <c r="F193" s="17">
        <v>1</v>
      </c>
      <c r="G193" s="18"/>
      <c r="H193" s="175"/>
      <c r="I193" s="225"/>
      <c r="J193" s="74"/>
      <c r="K193" s="61" t="s">
        <v>3321</v>
      </c>
      <c r="L193" s="61">
        <v>42640</v>
      </c>
      <c r="M193" s="17" t="s">
        <v>3330</v>
      </c>
      <c r="N193" s="104">
        <v>42642</v>
      </c>
      <c r="O193" s="290" t="s">
        <v>3334</v>
      </c>
      <c r="P193" s="26">
        <v>42648</v>
      </c>
      <c r="Q193" s="52">
        <v>1</v>
      </c>
      <c r="R193" s="17" t="s">
        <v>3333</v>
      </c>
      <c r="S193" s="18">
        <v>42646</v>
      </c>
      <c r="T193" s="46"/>
      <c r="U193" s="26"/>
      <c r="V193" s="52"/>
      <c r="W193" s="67"/>
      <c r="X193" s="37"/>
      <c r="Y193" s="37"/>
      <c r="Z193" s="38"/>
      <c r="AA193" s="39"/>
      <c r="AB193" s="40"/>
      <c r="AC193" s="41"/>
      <c r="AD193" s="40"/>
      <c r="AE193" s="40"/>
      <c r="AF193" s="40"/>
      <c r="AG193" s="40"/>
      <c r="AH193" s="41"/>
      <c r="AI193" s="40"/>
      <c r="AJ193" s="42"/>
    </row>
    <row r="194" spans="1:36" s="5" customFormat="1" ht="24.95" customHeight="1" x14ac:dyDescent="0.2">
      <c r="A194" s="13">
        <f>A192+1</f>
        <v>101</v>
      </c>
      <c r="B194" s="24" t="s">
        <v>121</v>
      </c>
      <c r="C194" s="15" t="s">
        <v>233</v>
      </c>
      <c r="D194" s="15" t="s">
        <v>350</v>
      </c>
      <c r="E194" s="46" t="s">
        <v>1432</v>
      </c>
      <c r="F194" s="17">
        <v>2</v>
      </c>
      <c r="G194" s="18">
        <v>42242</v>
      </c>
      <c r="H194" s="175"/>
      <c r="I194" s="225">
        <v>42228</v>
      </c>
      <c r="J194" s="74">
        <v>-7</v>
      </c>
      <c r="K194" s="61" t="s">
        <v>2778</v>
      </c>
      <c r="L194" s="16">
        <v>42249</v>
      </c>
      <c r="M194" s="17" t="s">
        <v>2779</v>
      </c>
      <c r="N194" s="18">
        <v>42250</v>
      </c>
      <c r="O194" s="46" t="s">
        <v>2936</v>
      </c>
      <c r="P194" s="26">
        <v>42263</v>
      </c>
      <c r="Q194" s="52">
        <v>1</v>
      </c>
      <c r="R194" s="17" t="s">
        <v>2818</v>
      </c>
      <c r="S194" s="18">
        <v>42253</v>
      </c>
      <c r="T194" s="46" t="s">
        <v>2924</v>
      </c>
      <c r="U194" s="26">
        <v>42261</v>
      </c>
      <c r="V194" s="52" t="s">
        <v>1369</v>
      </c>
      <c r="W194" s="67" t="s">
        <v>1442</v>
      </c>
      <c r="X194" s="37"/>
      <c r="Y194" s="37"/>
      <c r="Z194" s="38"/>
      <c r="AA194" s="39"/>
      <c r="AB194" s="40"/>
      <c r="AC194" s="41"/>
      <c r="AD194" s="40"/>
      <c r="AE194" s="40"/>
      <c r="AF194" s="40"/>
      <c r="AG194" s="40"/>
      <c r="AH194" s="41"/>
      <c r="AI194" s="40"/>
      <c r="AJ194" s="42"/>
    </row>
    <row r="195" spans="1:36" s="5" customFormat="1" ht="24.95" customHeight="1" x14ac:dyDescent="0.2">
      <c r="A195" s="360">
        <f t="shared" si="2"/>
        <v>102</v>
      </c>
      <c r="B195" s="347" t="s">
        <v>122</v>
      </c>
      <c r="C195" s="345" t="s">
        <v>234</v>
      </c>
      <c r="D195" s="345" t="s">
        <v>351</v>
      </c>
      <c r="E195" s="46" t="s">
        <v>1432</v>
      </c>
      <c r="F195" s="17">
        <v>2</v>
      </c>
      <c r="G195" s="18">
        <v>42246</v>
      </c>
      <c r="H195" s="175"/>
      <c r="I195" s="225">
        <v>42235</v>
      </c>
      <c r="J195" s="74">
        <f ca="1">G195-TODAY()</f>
        <v>-1816</v>
      </c>
      <c r="K195" s="61" t="s">
        <v>3223</v>
      </c>
      <c r="L195" s="16">
        <v>42408</v>
      </c>
      <c r="M195" s="17" t="s">
        <v>3224</v>
      </c>
      <c r="N195" s="104">
        <v>42411</v>
      </c>
      <c r="O195" s="290" t="s">
        <v>3288</v>
      </c>
      <c r="P195" s="26">
        <v>42434</v>
      </c>
      <c r="Q195" s="52">
        <v>2</v>
      </c>
      <c r="R195" s="114" t="s">
        <v>3242</v>
      </c>
      <c r="S195" s="175">
        <v>42046</v>
      </c>
      <c r="T195" s="290" t="s">
        <v>3262</v>
      </c>
      <c r="U195" s="26">
        <v>42422</v>
      </c>
      <c r="V195" s="52" t="s">
        <v>1369</v>
      </c>
      <c r="W195" s="67" t="s">
        <v>1442</v>
      </c>
      <c r="X195" s="37"/>
      <c r="Y195" s="37"/>
      <c r="Z195" s="38"/>
      <c r="AA195" s="39"/>
      <c r="AB195" s="40"/>
      <c r="AC195" s="41"/>
      <c r="AD195" s="40"/>
      <c r="AE195" s="40"/>
      <c r="AF195" s="40"/>
      <c r="AG195" s="40"/>
      <c r="AH195" s="41"/>
      <c r="AI195" s="40"/>
      <c r="AJ195" s="42"/>
    </row>
    <row r="196" spans="1:36" s="5" customFormat="1" ht="24.95" customHeight="1" x14ac:dyDescent="0.2">
      <c r="A196" s="361"/>
      <c r="B196" s="348"/>
      <c r="C196" s="346"/>
      <c r="D196" s="346"/>
      <c r="E196" s="290" t="s">
        <v>1459</v>
      </c>
      <c r="F196" s="17">
        <v>1</v>
      </c>
      <c r="G196" s="18"/>
      <c r="H196" s="175"/>
      <c r="I196" s="225"/>
      <c r="J196" s="74"/>
      <c r="K196" s="61" t="s">
        <v>3320</v>
      </c>
      <c r="L196" s="61">
        <v>42639</v>
      </c>
      <c r="M196" s="320" t="s">
        <v>3323</v>
      </c>
      <c r="N196" s="18">
        <v>42641</v>
      </c>
      <c r="O196" s="290" t="s">
        <v>3335</v>
      </c>
      <c r="P196" s="26">
        <v>42648</v>
      </c>
      <c r="Q196" s="52">
        <v>1</v>
      </c>
      <c r="R196" s="114" t="s">
        <v>3328</v>
      </c>
      <c r="S196" s="175">
        <v>42641</v>
      </c>
      <c r="T196" s="290"/>
      <c r="U196" s="26"/>
      <c r="V196" s="52"/>
      <c r="W196" s="67"/>
      <c r="X196" s="37"/>
      <c r="Y196" s="37"/>
      <c r="Z196" s="38"/>
      <c r="AA196" s="39"/>
      <c r="AB196" s="40"/>
      <c r="AC196" s="41"/>
      <c r="AD196" s="40"/>
      <c r="AE196" s="40"/>
      <c r="AF196" s="40"/>
      <c r="AG196" s="40"/>
      <c r="AH196" s="41"/>
      <c r="AI196" s="40"/>
      <c r="AJ196" s="42"/>
    </row>
    <row r="197" spans="1:36" s="5" customFormat="1" ht="24.95" customHeight="1" x14ac:dyDescent="0.2">
      <c r="A197" s="13">
        <f>A195+1</f>
        <v>103</v>
      </c>
      <c r="B197" s="24" t="s">
        <v>123</v>
      </c>
      <c r="C197" s="15" t="s">
        <v>235</v>
      </c>
      <c r="D197" s="15" t="s">
        <v>352</v>
      </c>
      <c r="E197" s="46" t="s">
        <v>1432</v>
      </c>
      <c r="F197" s="17">
        <v>2</v>
      </c>
      <c r="G197" s="18">
        <v>42250</v>
      </c>
      <c r="H197" s="175"/>
      <c r="I197" s="225">
        <v>42242</v>
      </c>
      <c r="J197" s="74">
        <v>-46</v>
      </c>
      <c r="K197" s="61" t="s">
        <v>2977</v>
      </c>
      <c r="L197" s="61">
        <v>42275</v>
      </c>
      <c r="M197" s="17" t="s">
        <v>2964</v>
      </c>
      <c r="N197" s="18">
        <v>42277</v>
      </c>
      <c r="O197" s="46" t="s">
        <v>3039</v>
      </c>
      <c r="P197" s="26">
        <v>42281</v>
      </c>
      <c r="Q197" s="52">
        <v>1</v>
      </c>
      <c r="R197" s="17" t="s">
        <v>3032</v>
      </c>
      <c r="S197" s="18">
        <v>42278</v>
      </c>
      <c r="T197" s="290" t="s">
        <v>3050</v>
      </c>
      <c r="U197" s="26">
        <v>42298</v>
      </c>
      <c r="V197" s="52" t="s">
        <v>1369</v>
      </c>
      <c r="W197" s="67" t="s">
        <v>1442</v>
      </c>
      <c r="X197" s="37"/>
      <c r="Y197" s="37"/>
      <c r="Z197" s="38"/>
      <c r="AA197" s="39"/>
      <c r="AB197" s="40"/>
      <c r="AC197" s="41"/>
      <c r="AD197" s="40"/>
      <c r="AE197" s="40"/>
      <c r="AF197" s="40"/>
      <c r="AG197" s="40"/>
      <c r="AH197" s="41"/>
      <c r="AI197" s="40"/>
      <c r="AJ197" s="42"/>
    </row>
    <row r="198" spans="1:36" s="5" customFormat="1" ht="24.95" customHeight="1" x14ac:dyDescent="0.2">
      <c r="A198" s="13">
        <f t="shared" si="2"/>
        <v>104</v>
      </c>
      <c r="B198" s="24" t="s">
        <v>124</v>
      </c>
      <c r="C198" s="15" t="s">
        <v>236</v>
      </c>
      <c r="D198" s="15" t="s">
        <v>353</v>
      </c>
      <c r="E198" s="46" t="s">
        <v>1432</v>
      </c>
      <c r="F198" s="17">
        <v>2</v>
      </c>
      <c r="G198" s="18">
        <v>42254</v>
      </c>
      <c r="H198" s="175"/>
      <c r="I198" s="225">
        <v>42249</v>
      </c>
      <c r="J198" s="74">
        <v>-42</v>
      </c>
      <c r="K198" s="61" t="s">
        <v>2977</v>
      </c>
      <c r="L198" s="61">
        <v>42275</v>
      </c>
      <c r="M198" s="17" t="s">
        <v>2964</v>
      </c>
      <c r="N198" s="18">
        <v>42277</v>
      </c>
      <c r="O198" s="46" t="s">
        <v>3039</v>
      </c>
      <c r="P198" s="26">
        <v>42281</v>
      </c>
      <c r="Q198" s="52">
        <v>1</v>
      </c>
      <c r="R198" s="17" t="s">
        <v>3032</v>
      </c>
      <c r="S198" s="18">
        <v>42278</v>
      </c>
      <c r="T198" s="290" t="s">
        <v>3051</v>
      </c>
      <c r="U198" s="26">
        <v>42298</v>
      </c>
      <c r="V198" s="52" t="s">
        <v>1369</v>
      </c>
      <c r="W198" s="67" t="s">
        <v>1442</v>
      </c>
      <c r="X198" s="37"/>
      <c r="Y198" s="37"/>
      <c r="Z198" s="38"/>
      <c r="AA198" s="39"/>
      <c r="AB198" s="40"/>
      <c r="AC198" s="41"/>
      <c r="AD198" s="40"/>
      <c r="AE198" s="40"/>
      <c r="AF198" s="40"/>
      <c r="AG198" s="40"/>
      <c r="AH198" s="41"/>
      <c r="AI198" s="40"/>
      <c r="AJ198" s="42"/>
    </row>
    <row r="199" spans="1:36" s="5" customFormat="1" ht="24.95" customHeight="1" x14ac:dyDescent="0.2">
      <c r="A199" s="360">
        <f t="shared" si="2"/>
        <v>105</v>
      </c>
      <c r="B199" s="347" t="s">
        <v>125</v>
      </c>
      <c r="C199" s="345" t="s">
        <v>237</v>
      </c>
      <c r="D199" s="345" t="s">
        <v>354</v>
      </c>
      <c r="E199" s="46" t="s">
        <v>1432</v>
      </c>
      <c r="F199" s="17">
        <v>2</v>
      </c>
      <c r="G199" s="18">
        <v>42258</v>
      </c>
      <c r="H199" s="175"/>
      <c r="I199" s="225">
        <v>42256</v>
      </c>
      <c r="J199" s="74">
        <f ca="1">G199-TODAY()</f>
        <v>-1804</v>
      </c>
      <c r="K199" s="61" t="s">
        <v>3231</v>
      </c>
      <c r="L199" s="16">
        <v>42409</v>
      </c>
      <c r="M199" s="17" t="s">
        <v>3232</v>
      </c>
      <c r="N199" s="104">
        <v>42411</v>
      </c>
      <c r="O199" s="290" t="s">
        <v>3286</v>
      </c>
      <c r="P199" s="26">
        <v>42431</v>
      </c>
      <c r="Q199" s="52">
        <v>2</v>
      </c>
      <c r="R199" s="114" t="s">
        <v>3245</v>
      </c>
      <c r="S199" s="175">
        <v>42046</v>
      </c>
      <c r="T199" s="8"/>
      <c r="U199" s="26"/>
      <c r="V199" s="52"/>
      <c r="W199" s="67" t="s">
        <v>1552</v>
      </c>
      <c r="X199" s="37"/>
      <c r="Y199" s="37"/>
      <c r="Z199" s="38"/>
      <c r="AA199" s="39"/>
      <c r="AB199" s="40"/>
      <c r="AC199" s="41"/>
      <c r="AD199" s="40"/>
      <c r="AE199" s="40"/>
      <c r="AF199" s="40"/>
      <c r="AG199" s="40"/>
      <c r="AH199" s="41"/>
      <c r="AI199" s="40"/>
      <c r="AJ199" s="42"/>
    </row>
    <row r="200" spans="1:36" s="5" customFormat="1" ht="24.95" customHeight="1" x14ac:dyDescent="0.2">
      <c r="A200" s="361"/>
      <c r="B200" s="348"/>
      <c r="C200" s="346"/>
      <c r="D200" s="346"/>
      <c r="E200" s="290" t="s">
        <v>1459</v>
      </c>
      <c r="F200" s="17">
        <v>1</v>
      </c>
      <c r="G200" s="18"/>
      <c r="H200" s="175"/>
      <c r="I200" s="225"/>
      <c r="J200" s="74"/>
      <c r="K200" s="61" t="s">
        <v>3320</v>
      </c>
      <c r="L200" s="61">
        <v>42639</v>
      </c>
      <c r="M200" s="320" t="s">
        <v>3323</v>
      </c>
      <c r="N200" s="18">
        <v>42641</v>
      </c>
      <c r="O200" s="290" t="s">
        <v>3335</v>
      </c>
      <c r="P200" s="26">
        <v>42648</v>
      </c>
      <c r="Q200" s="52">
        <v>1</v>
      </c>
      <c r="R200" s="114" t="s">
        <v>3328</v>
      </c>
      <c r="S200" s="175">
        <v>42641</v>
      </c>
      <c r="T200" s="8"/>
      <c r="U200" s="26"/>
      <c r="V200" s="52"/>
      <c r="W200" s="67"/>
      <c r="X200" s="37"/>
      <c r="Y200" s="37"/>
      <c r="Z200" s="38"/>
      <c r="AA200" s="39"/>
      <c r="AB200" s="40"/>
      <c r="AC200" s="41"/>
      <c r="AD200" s="40"/>
      <c r="AE200" s="40"/>
      <c r="AF200" s="40"/>
      <c r="AG200" s="40"/>
      <c r="AH200" s="41"/>
      <c r="AI200" s="40"/>
      <c r="AJ200" s="42"/>
    </row>
    <row r="201" spans="1:36" s="5" customFormat="1" ht="24.95" customHeight="1" x14ac:dyDescent="0.2">
      <c r="A201" s="13">
        <f>A199+1</f>
        <v>106</v>
      </c>
      <c r="B201" s="24" t="s">
        <v>126</v>
      </c>
      <c r="C201" s="15" t="s">
        <v>238</v>
      </c>
      <c r="D201" s="15" t="s">
        <v>355</v>
      </c>
      <c r="E201" s="46" t="s">
        <v>1432</v>
      </c>
      <c r="F201" s="17">
        <v>2</v>
      </c>
      <c r="G201" s="18">
        <v>42262</v>
      </c>
      <c r="H201" s="175"/>
      <c r="I201" s="225">
        <v>42263</v>
      </c>
      <c r="J201" s="74">
        <v>-34</v>
      </c>
      <c r="K201" s="61" t="s">
        <v>2976</v>
      </c>
      <c r="L201" s="61">
        <v>42269</v>
      </c>
      <c r="M201" s="17" t="s">
        <v>2963</v>
      </c>
      <c r="N201" s="18">
        <v>42270</v>
      </c>
      <c r="O201" s="46" t="s">
        <v>3024</v>
      </c>
      <c r="P201" s="26">
        <v>42277</v>
      </c>
      <c r="Q201" s="52">
        <v>1</v>
      </c>
      <c r="R201" s="17" t="s">
        <v>3022</v>
      </c>
      <c r="S201" s="26">
        <v>42269</v>
      </c>
      <c r="T201" s="290" t="s">
        <v>3048</v>
      </c>
      <c r="U201" s="26">
        <v>42298</v>
      </c>
      <c r="V201" s="52" t="s">
        <v>1369</v>
      </c>
      <c r="W201" s="67" t="s">
        <v>1442</v>
      </c>
      <c r="X201" s="37"/>
      <c r="Y201" s="37"/>
      <c r="Z201" s="38"/>
      <c r="AA201" s="39"/>
      <c r="AB201" s="40"/>
      <c r="AC201" s="41"/>
      <c r="AD201" s="40"/>
      <c r="AE201" s="40"/>
      <c r="AF201" s="40"/>
      <c r="AG201" s="40"/>
      <c r="AH201" s="41"/>
      <c r="AI201" s="40"/>
      <c r="AJ201" s="42"/>
    </row>
    <row r="202" spans="1:36" s="5" customFormat="1" ht="24.95" hidden="1" customHeight="1" x14ac:dyDescent="0.2">
      <c r="A202" s="13">
        <f t="shared" si="2"/>
        <v>107</v>
      </c>
      <c r="B202" s="25" t="s">
        <v>1474</v>
      </c>
      <c r="C202" s="15" t="s">
        <v>239</v>
      </c>
      <c r="D202" s="15" t="s">
        <v>356</v>
      </c>
      <c r="E202" s="46" t="s">
        <v>1432</v>
      </c>
      <c r="F202" s="17">
        <v>2</v>
      </c>
      <c r="G202" s="61">
        <v>41794</v>
      </c>
      <c r="H202" s="62"/>
      <c r="I202" s="62"/>
      <c r="J202" s="74"/>
      <c r="K202" s="62" t="s">
        <v>1475</v>
      </c>
      <c r="L202" s="61">
        <v>41795</v>
      </c>
      <c r="M202" s="17" t="s">
        <v>1476</v>
      </c>
      <c r="N202" s="61">
        <v>41798</v>
      </c>
      <c r="O202" s="46" t="s">
        <v>1575</v>
      </c>
      <c r="P202" s="26">
        <v>41822</v>
      </c>
      <c r="Q202" s="52">
        <v>1</v>
      </c>
      <c r="R202" s="17" t="s">
        <v>1486</v>
      </c>
      <c r="S202" s="61">
        <v>41798</v>
      </c>
      <c r="T202" s="46" t="s">
        <v>1533</v>
      </c>
      <c r="U202" s="26">
        <v>41802</v>
      </c>
      <c r="V202" s="63" t="s">
        <v>1465</v>
      </c>
      <c r="W202" s="67" t="s">
        <v>1442</v>
      </c>
      <c r="X202" s="37"/>
      <c r="Y202" s="37"/>
      <c r="Z202" s="38"/>
      <c r="AA202" s="39"/>
      <c r="AB202" s="40"/>
      <c r="AC202" s="41"/>
      <c r="AD202" s="40"/>
      <c r="AE202" s="40"/>
      <c r="AF202" s="40"/>
      <c r="AG202" s="40"/>
      <c r="AH202" s="41"/>
      <c r="AI202" s="40"/>
      <c r="AJ202" s="42"/>
    </row>
    <row r="203" spans="1:36" s="5" customFormat="1" ht="24.95" hidden="1" customHeight="1" x14ac:dyDescent="0.2">
      <c r="A203" s="13">
        <f t="shared" si="2"/>
        <v>108</v>
      </c>
      <c r="B203" s="25" t="s">
        <v>1483</v>
      </c>
      <c r="C203" s="15" t="s">
        <v>240</v>
      </c>
      <c r="D203" s="15" t="s">
        <v>357</v>
      </c>
      <c r="E203" s="46" t="s">
        <v>1432</v>
      </c>
      <c r="F203" s="17">
        <v>2</v>
      </c>
      <c r="G203" s="61">
        <v>41797</v>
      </c>
      <c r="H203" s="62"/>
      <c r="I203" s="62"/>
      <c r="J203" s="74"/>
      <c r="K203" s="62" t="s">
        <v>1484</v>
      </c>
      <c r="L203" s="61">
        <v>41799</v>
      </c>
      <c r="M203" s="17" t="s">
        <v>1485</v>
      </c>
      <c r="N203" s="18">
        <v>41801</v>
      </c>
      <c r="O203" s="46" t="s">
        <v>1731</v>
      </c>
      <c r="P203" s="26">
        <v>41875</v>
      </c>
      <c r="Q203" s="63" t="s">
        <v>1465</v>
      </c>
      <c r="R203" s="17" t="s">
        <v>1534</v>
      </c>
      <c r="S203" s="61">
        <v>41805</v>
      </c>
      <c r="T203" s="46" t="s">
        <v>1542</v>
      </c>
      <c r="U203" s="26">
        <v>41808</v>
      </c>
      <c r="V203" s="63" t="s">
        <v>1465</v>
      </c>
      <c r="W203" s="67" t="s">
        <v>1442</v>
      </c>
      <c r="X203" s="37"/>
      <c r="Y203" s="37"/>
      <c r="Z203" s="38"/>
      <c r="AA203" s="39"/>
      <c r="AB203" s="40"/>
      <c r="AC203" s="41"/>
      <c r="AD203" s="40"/>
      <c r="AE203" s="40"/>
      <c r="AF203" s="40"/>
      <c r="AG203" s="40"/>
      <c r="AH203" s="41"/>
      <c r="AI203" s="40"/>
      <c r="AJ203" s="42"/>
    </row>
    <row r="204" spans="1:36" s="5" customFormat="1" ht="24.95" hidden="1" customHeight="1" x14ac:dyDescent="0.2">
      <c r="A204" s="13">
        <f t="shared" si="2"/>
        <v>109</v>
      </c>
      <c r="B204" s="25" t="s">
        <v>1904</v>
      </c>
      <c r="C204" s="15" t="s">
        <v>241</v>
      </c>
      <c r="D204" s="15" t="s">
        <v>358</v>
      </c>
      <c r="E204" s="46" t="s">
        <v>1432</v>
      </c>
      <c r="F204" s="17">
        <v>2</v>
      </c>
      <c r="G204" s="61">
        <v>41805</v>
      </c>
      <c r="H204" s="62"/>
      <c r="I204" s="62"/>
      <c r="J204" s="74" t="s">
        <v>1903</v>
      </c>
      <c r="K204" s="62" t="s">
        <v>1905</v>
      </c>
      <c r="L204" s="61">
        <v>41905</v>
      </c>
      <c r="M204" s="17" t="s">
        <v>1907</v>
      </c>
      <c r="N204" s="18">
        <v>41907</v>
      </c>
      <c r="O204" s="46" t="s">
        <v>1983</v>
      </c>
      <c r="P204" s="26">
        <v>41913</v>
      </c>
      <c r="Q204" s="63" t="s">
        <v>1465</v>
      </c>
      <c r="R204" s="15" t="s">
        <v>1945</v>
      </c>
      <c r="S204" s="62">
        <v>41909</v>
      </c>
      <c r="T204" s="46" t="s">
        <v>1920</v>
      </c>
      <c r="U204" s="26">
        <v>41906</v>
      </c>
      <c r="V204" s="63" t="s">
        <v>1465</v>
      </c>
      <c r="W204" s="67" t="s">
        <v>1442</v>
      </c>
      <c r="X204" s="37"/>
      <c r="Y204" s="37"/>
      <c r="Z204" s="38"/>
      <c r="AA204" s="39"/>
      <c r="AB204" s="40"/>
      <c r="AC204" s="41"/>
      <c r="AD204" s="40"/>
      <c r="AE204" s="40"/>
      <c r="AF204" s="40"/>
      <c r="AG204" s="40"/>
      <c r="AH204" s="41"/>
      <c r="AI204" s="40"/>
      <c r="AJ204" s="42"/>
    </row>
    <row r="205" spans="1:36" s="5" customFormat="1" ht="24.95" customHeight="1" x14ac:dyDescent="0.2">
      <c r="A205" s="13">
        <f t="shared" si="2"/>
        <v>110</v>
      </c>
      <c r="B205" s="356" t="s">
        <v>127</v>
      </c>
      <c r="C205" s="345" t="s">
        <v>242</v>
      </c>
      <c r="D205" s="345" t="s">
        <v>359</v>
      </c>
      <c r="E205" s="46" t="s">
        <v>1432</v>
      </c>
      <c r="F205" s="17">
        <v>2</v>
      </c>
      <c r="G205" s="18">
        <v>42165</v>
      </c>
      <c r="H205" s="175"/>
      <c r="I205" s="225">
        <v>42095</v>
      </c>
      <c r="J205" s="74">
        <v>-8</v>
      </c>
      <c r="K205" s="61" t="s">
        <v>2423</v>
      </c>
      <c r="L205" s="16">
        <v>42173</v>
      </c>
      <c r="M205" s="17" t="s">
        <v>2424</v>
      </c>
      <c r="N205" s="18">
        <v>42177</v>
      </c>
      <c r="O205" s="46" t="s">
        <v>2479</v>
      </c>
      <c r="P205" s="26">
        <v>42187</v>
      </c>
      <c r="Q205" s="52">
        <v>2</v>
      </c>
      <c r="R205" s="17" t="s">
        <v>2437</v>
      </c>
      <c r="S205" s="26">
        <v>42177</v>
      </c>
      <c r="T205" s="46" t="s">
        <v>2429</v>
      </c>
      <c r="U205" s="26">
        <v>42176</v>
      </c>
      <c r="V205" s="52" t="s">
        <v>1369</v>
      </c>
      <c r="W205" s="67" t="s">
        <v>1442</v>
      </c>
      <c r="X205" s="37"/>
      <c r="Y205" s="37"/>
      <c r="Z205" s="38"/>
      <c r="AA205" s="39"/>
      <c r="AB205" s="40"/>
      <c r="AC205" s="41"/>
      <c r="AD205" s="40"/>
      <c r="AE205" s="40"/>
      <c r="AF205" s="40"/>
      <c r="AG205" s="40"/>
      <c r="AH205" s="41"/>
      <c r="AI205" s="40"/>
      <c r="AJ205" s="42"/>
    </row>
    <row r="206" spans="1:36" s="5" customFormat="1" ht="24.95" customHeight="1" x14ac:dyDescent="0.2">
      <c r="A206" s="13"/>
      <c r="B206" s="358"/>
      <c r="C206" s="346"/>
      <c r="D206" s="346"/>
      <c r="E206" s="46">
        <v>0</v>
      </c>
      <c r="F206" s="17" t="s">
        <v>1442</v>
      </c>
      <c r="G206" s="18" t="s">
        <v>1442</v>
      </c>
      <c r="H206" s="175"/>
      <c r="I206" s="225"/>
      <c r="J206" s="74" t="s">
        <v>1442</v>
      </c>
      <c r="K206" s="61" t="s">
        <v>2496</v>
      </c>
      <c r="L206" s="61">
        <v>42193</v>
      </c>
      <c r="M206" s="17" t="s">
        <v>2497</v>
      </c>
      <c r="N206" s="18">
        <v>42197</v>
      </c>
      <c r="O206" s="46" t="s">
        <v>2540</v>
      </c>
      <c r="P206" s="26">
        <v>42207</v>
      </c>
      <c r="Q206" s="52">
        <v>1</v>
      </c>
      <c r="R206" s="17" t="s">
        <v>2519</v>
      </c>
      <c r="S206" s="163">
        <v>42199</v>
      </c>
      <c r="T206" s="290" t="s">
        <v>3107</v>
      </c>
      <c r="U206" s="26">
        <v>42333</v>
      </c>
      <c r="V206" s="293" t="s">
        <v>1369</v>
      </c>
      <c r="W206" s="67" t="s">
        <v>1442</v>
      </c>
      <c r="X206" s="37"/>
      <c r="Y206" s="37"/>
      <c r="Z206" s="38"/>
      <c r="AA206" s="39"/>
      <c r="AB206" s="40"/>
      <c r="AC206" s="41"/>
      <c r="AD206" s="40"/>
      <c r="AE206" s="40"/>
      <c r="AF206" s="40"/>
      <c r="AG206" s="40"/>
      <c r="AH206" s="41"/>
      <c r="AI206" s="40"/>
      <c r="AJ206" s="42"/>
    </row>
    <row r="207" spans="1:36" s="5" customFormat="1" ht="24.95" customHeight="1" x14ac:dyDescent="0.2">
      <c r="A207" s="13">
        <f>A205+1</f>
        <v>111</v>
      </c>
      <c r="B207" s="356" t="s">
        <v>2439</v>
      </c>
      <c r="C207" s="345" t="s">
        <v>243</v>
      </c>
      <c r="D207" s="345" t="s">
        <v>360</v>
      </c>
      <c r="E207" s="46" t="s">
        <v>1432</v>
      </c>
      <c r="F207" s="17">
        <v>2</v>
      </c>
      <c r="G207" s="18">
        <v>42169</v>
      </c>
      <c r="H207" s="62"/>
      <c r="I207" s="227">
        <v>42102</v>
      </c>
      <c r="J207" s="74">
        <v>-15</v>
      </c>
      <c r="K207" s="61" t="s">
        <v>2448</v>
      </c>
      <c r="L207" s="16">
        <v>42184</v>
      </c>
      <c r="M207" s="17" t="s">
        <v>2449</v>
      </c>
      <c r="N207" s="18">
        <v>42185</v>
      </c>
      <c r="O207" s="46" t="s">
        <v>2489</v>
      </c>
      <c r="P207" s="26">
        <v>42191</v>
      </c>
      <c r="Q207" s="52">
        <v>2</v>
      </c>
      <c r="R207" s="17" t="s">
        <v>2464</v>
      </c>
      <c r="S207" s="62">
        <v>42186</v>
      </c>
      <c r="T207" s="46" t="s">
        <v>2460</v>
      </c>
      <c r="U207" s="26">
        <v>42185</v>
      </c>
      <c r="V207" s="52" t="s">
        <v>1369</v>
      </c>
      <c r="W207" s="67" t="s">
        <v>1442</v>
      </c>
      <c r="X207" s="37"/>
      <c r="Y207" s="37"/>
      <c r="Z207" s="38"/>
      <c r="AA207" s="39"/>
      <c r="AB207" s="40"/>
      <c r="AC207" s="41"/>
      <c r="AD207" s="40"/>
      <c r="AE207" s="40"/>
      <c r="AF207" s="40"/>
      <c r="AG207" s="40"/>
      <c r="AH207" s="41"/>
      <c r="AI207" s="40"/>
      <c r="AJ207" s="42"/>
    </row>
    <row r="208" spans="1:36" s="5" customFormat="1" ht="24.95" customHeight="1" x14ac:dyDescent="0.2">
      <c r="A208" s="13"/>
      <c r="B208" s="358"/>
      <c r="C208" s="346"/>
      <c r="D208" s="346"/>
      <c r="E208" s="46">
        <v>0</v>
      </c>
      <c r="F208" s="17" t="s">
        <v>1442</v>
      </c>
      <c r="G208" s="18" t="s">
        <v>1442</v>
      </c>
      <c r="H208" s="62"/>
      <c r="I208" s="227"/>
      <c r="J208" s="74" t="s">
        <v>1442</v>
      </c>
      <c r="K208" s="61" t="s">
        <v>2494</v>
      </c>
      <c r="L208" s="61">
        <v>42193</v>
      </c>
      <c r="M208" s="17" t="s">
        <v>2495</v>
      </c>
      <c r="N208" s="18">
        <v>42197</v>
      </c>
      <c r="O208" s="46" t="s">
        <v>2541</v>
      </c>
      <c r="P208" s="26">
        <v>42207</v>
      </c>
      <c r="Q208" s="52">
        <v>1</v>
      </c>
      <c r="R208" s="17" t="s">
        <v>2518</v>
      </c>
      <c r="S208" s="163">
        <v>42199</v>
      </c>
      <c r="T208" s="290" t="s">
        <v>3109</v>
      </c>
      <c r="U208" s="26">
        <v>42337</v>
      </c>
      <c r="V208" s="293" t="s">
        <v>1369</v>
      </c>
      <c r="W208" s="67" t="s">
        <v>1442</v>
      </c>
      <c r="X208" s="37"/>
      <c r="Y208" s="37"/>
      <c r="Z208" s="38"/>
      <c r="AA208" s="39"/>
      <c r="AB208" s="40"/>
      <c r="AC208" s="41"/>
      <c r="AD208" s="40"/>
      <c r="AE208" s="40"/>
      <c r="AF208" s="40"/>
      <c r="AG208" s="40"/>
      <c r="AH208" s="41"/>
      <c r="AI208" s="40"/>
      <c r="AJ208" s="42"/>
    </row>
    <row r="209" spans="1:36" s="5" customFormat="1" ht="37.5" customHeight="1" x14ac:dyDescent="0.2">
      <c r="A209" s="13">
        <f>A207+1</f>
        <v>112</v>
      </c>
      <c r="B209" s="356" t="s">
        <v>2598</v>
      </c>
      <c r="C209" s="224" t="s">
        <v>244</v>
      </c>
      <c r="D209" s="224" t="s">
        <v>361</v>
      </c>
      <c r="E209" s="46" t="s">
        <v>1432</v>
      </c>
      <c r="F209" s="17">
        <v>2</v>
      </c>
      <c r="G209" s="18">
        <v>42173</v>
      </c>
      <c r="H209" s="62"/>
      <c r="I209" s="227">
        <v>42109</v>
      </c>
      <c r="J209" s="74">
        <v>23</v>
      </c>
      <c r="K209" s="61" t="s">
        <v>2573</v>
      </c>
      <c r="L209" s="16">
        <v>42221</v>
      </c>
      <c r="M209" s="17" t="s">
        <v>2574</v>
      </c>
      <c r="N209" s="18">
        <v>42222</v>
      </c>
      <c r="O209" s="46" t="s">
        <v>3053</v>
      </c>
      <c r="P209" s="26">
        <v>42298</v>
      </c>
      <c r="Q209" s="52">
        <v>1</v>
      </c>
      <c r="R209" s="17" t="s">
        <v>2576</v>
      </c>
      <c r="S209" s="163">
        <v>42222</v>
      </c>
      <c r="T209" s="46" t="s">
        <v>2597</v>
      </c>
      <c r="U209" s="26">
        <v>42227</v>
      </c>
      <c r="V209" s="52" t="s">
        <v>1369</v>
      </c>
      <c r="W209" s="67" t="s">
        <v>1442</v>
      </c>
      <c r="X209" s="37"/>
      <c r="Y209" s="37"/>
      <c r="Z209" s="38"/>
      <c r="AA209" s="39"/>
      <c r="AB209" s="40"/>
      <c r="AC209" s="41"/>
      <c r="AD209" s="40"/>
      <c r="AE209" s="40"/>
      <c r="AF209" s="40"/>
      <c r="AG209" s="40"/>
      <c r="AH209" s="41"/>
      <c r="AI209" s="40"/>
      <c r="AJ209" s="42"/>
    </row>
    <row r="210" spans="1:36" s="5" customFormat="1" ht="24.95" customHeight="1" x14ac:dyDescent="0.2">
      <c r="A210" s="13">
        <f t="shared" si="2"/>
        <v>113</v>
      </c>
      <c r="B210" s="358" t="s">
        <v>128</v>
      </c>
      <c r="C210" s="251" t="s">
        <v>245</v>
      </c>
      <c r="D210" s="251" t="s">
        <v>362</v>
      </c>
      <c r="E210" s="15"/>
      <c r="F210" s="17">
        <v>2</v>
      </c>
      <c r="G210" s="61">
        <v>41877</v>
      </c>
      <c r="H210" s="62"/>
      <c r="I210" s="62"/>
      <c r="J210" s="74">
        <f ca="1">G210-TODAY()</f>
        <v>-2185</v>
      </c>
      <c r="K210" s="16"/>
      <c r="L210" s="16"/>
      <c r="M210" s="17"/>
      <c r="N210" s="18"/>
      <c r="O210" s="8"/>
      <c r="P210" s="9"/>
      <c r="Q210" s="48"/>
      <c r="R210" s="8"/>
      <c r="S210" s="8"/>
      <c r="T210" s="8"/>
      <c r="U210" s="9"/>
      <c r="V210" s="48"/>
      <c r="W210" s="54"/>
      <c r="X210" s="37"/>
      <c r="Y210" s="37"/>
      <c r="Z210" s="38"/>
      <c r="AA210" s="39"/>
      <c r="AB210" s="40"/>
      <c r="AC210" s="41"/>
      <c r="AD210" s="40"/>
      <c r="AE210" s="40"/>
      <c r="AF210" s="40"/>
      <c r="AG210" s="40"/>
      <c r="AH210" s="41"/>
      <c r="AI210" s="40"/>
      <c r="AJ210" s="42"/>
    </row>
    <row r="211" spans="1:36" s="5" customFormat="1" ht="24.95" hidden="1" customHeight="1" x14ac:dyDescent="0.2">
      <c r="A211" s="13">
        <f t="shared" si="2"/>
        <v>114</v>
      </c>
      <c r="B211" s="25" t="s">
        <v>129</v>
      </c>
      <c r="C211" s="15" t="s">
        <v>246</v>
      </c>
      <c r="D211" s="15" t="s">
        <v>363</v>
      </c>
      <c r="E211" s="15"/>
      <c r="F211" s="17">
        <v>2</v>
      </c>
      <c r="G211" s="61">
        <v>41901</v>
      </c>
      <c r="H211" s="62"/>
      <c r="I211" s="62"/>
      <c r="J211" s="74">
        <f ca="1">G211-TODAY()</f>
        <v>-2161</v>
      </c>
      <c r="K211" s="16"/>
      <c r="L211" s="16"/>
      <c r="M211" s="17"/>
      <c r="N211" s="18"/>
      <c r="O211" s="8"/>
      <c r="P211" s="9"/>
      <c r="Q211" s="48"/>
      <c r="R211" s="8"/>
      <c r="S211" s="8"/>
      <c r="T211" s="8"/>
      <c r="U211" s="9"/>
      <c r="V211" s="48"/>
      <c r="W211" s="54"/>
      <c r="X211" s="37"/>
      <c r="Y211" s="37"/>
      <c r="Z211" s="38"/>
      <c r="AA211" s="39"/>
      <c r="AB211" s="40"/>
      <c r="AC211" s="41"/>
      <c r="AD211" s="40"/>
      <c r="AE211" s="40"/>
      <c r="AF211" s="40"/>
      <c r="AG211" s="40"/>
      <c r="AH211" s="41"/>
      <c r="AI211" s="40"/>
      <c r="AJ211" s="42"/>
    </row>
    <row r="212" spans="1:36" s="5" customFormat="1" ht="24.95" customHeight="1" x14ac:dyDescent="0.2">
      <c r="A212" s="13">
        <f t="shared" si="2"/>
        <v>115</v>
      </c>
      <c r="B212" s="24" t="s">
        <v>130</v>
      </c>
      <c r="C212" s="15" t="s">
        <v>247</v>
      </c>
      <c r="D212" s="15" t="s">
        <v>364</v>
      </c>
      <c r="E212" s="224" t="s">
        <v>3056</v>
      </c>
      <c r="F212" s="17">
        <v>2</v>
      </c>
      <c r="G212" s="61">
        <v>42215</v>
      </c>
      <c r="H212" s="62"/>
      <c r="I212" s="227">
        <v>42256</v>
      </c>
      <c r="J212" s="74">
        <f ca="1">G212-TODAY()</f>
        <v>-1847</v>
      </c>
      <c r="K212" s="16"/>
      <c r="L212" s="16"/>
      <c r="M212" s="17"/>
      <c r="N212" s="18"/>
      <c r="O212" s="8"/>
      <c r="P212" s="9"/>
      <c r="Q212" s="48"/>
      <c r="R212" s="17"/>
      <c r="S212" s="17"/>
      <c r="T212" s="8"/>
      <c r="U212" s="26"/>
      <c r="V212" s="52"/>
      <c r="W212" s="67"/>
      <c r="X212" s="37"/>
      <c r="Y212" s="37"/>
      <c r="Z212" s="38"/>
      <c r="AA212" s="39"/>
      <c r="AB212" s="40"/>
      <c r="AC212" s="41"/>
      <c r="AD212" s="40"/>
      <c r="AE212" s="40"/>
      <c r="AF212" s="40"/>
      <c r="AG212" s="40"/>
      <c r="AH212" s="41"/>
      <c r="AI212" s="40"/>
      <c r="AJ212" s="42"/>
    </row>
    <row r="213" spans="1:36" s="5" customFormat="1" ht="24.95" customHeight="1" x14ac:dyDescent="0.2">
      <c r="A213" s="13">
        <f t="shared" si="2"/>
        <v>116</v>
      </c>
      <c r="B213" s="24" t="s">
        <v>131</v>
      </c>
      <c r="C213" s="15" t="s">
        <v>248</v>
      </c>
      <c r="D213" s="15" t="s">
        <v>365</v>
      </c>
      <c r="E213" s="224" t="s">
        <v>3056</v>
      </c>
      <c r="F213" s="17">
        <v>2</v>
      </c>
      <c r="G213" s="61">
        <v>42219</v>
      </c>
      <c r="H213" s="62"/>
      <c r="I213" s="227">
        <v>42263</v>
      </c>
      <c r="J213" s="74">
        <f ca="1">G213-TODAY()</f>
        <v>-1843</v>
      </c>
      <c r="K213" s="16"/>
      <c r="L213" s="16"/>
      <c r="M213" s="17"/>
      <c r="N213" s="18"/>
      <c r="O213" s="46"/>
      <c r="P213" s="9"/>
      <c r="Q213" s="48"/>
      <c r="R213" s="17"/>
      <c r="S213" s="17"/>
      <c r="T213" s="8"/>
      <c r="U213" s="26"/>
      <c r="V213" s="52"/>
      <c r="W213" s="67"/>
      <c r="X213" s="37"/>
      <c r="Y213" s="37"/>
      <c r="Z213" s="38"/>
      <c r="AA213" s="39"/>
      <c r="AB213" s="40"/>
      <c r="AC213" s="41"/>
      <c r="AD213" s="40"/>
      <c r="AE213" s="40"/>
      <c r="AF213" s="40"/>
      <c r="AG213" s="40"/>
      <c r="AH213" s="41"/>
      <c r="AI213" s="40"/>
      <c r="AJ213" s="42"/>
    </row>
    <row r="214" spans="1:36" s="5" customFormat="1" ht="25.5" customHeight="1" x14ac:dyDescent="0.2">
      <c r="A214" s="13">
        <f t="shared" si="2"/>
        <v>117</v>
      </c>
      <c r="B214" s="24" t="s">
        <v>2891</v>
      </c>
      <c r="C214" s="224" t="s">
        <v>249</v>
      </c>
      <c r="D214" s="224" t="s">
        <v>366</v>
      </c>
      <c r="E214" s="290" t="s">
        <v>1432</v>
      </c>
      <c r="F214" s="17">
        <v>2</v>
      </c>
      <c r="G214" s="61">
        <v>42254</v>
      </c>
      <c r="H214" s="62"/>
      <c r="I214" s="227">
        <f>I213+15</f>
        <v>42278</v>
      </c>
      <c r="J214" s="277" t="s">
        <v>1442</v>
      </c>
      <c r="K214" s="61" t="s">
        <v>2892</v>
      </c>
      <c r="L214" s="61">
        <v>42260</v>
      </c>
      <c r="M214" s="14" t="s">
        <v>2893</v>
      </c>
      <c r="N214" s="18">
        <v>42261</v>
      </c>
      <c r="O214" s="46" t="s">
        <v>3053</v>
      </c>
      <c r="P214" s="26">
        <v>42298</v>
      </c>
      <c r="Q214" s="52">
        <v>1</v>
      </c>
      <c r="R214" s="17" t="s">
        <v>2918</v>
      </c>
      <c r="S214" s="18">
        <v>42262</v>
      </c>
      <c r="T214" s="290" t="s">
        <v>2993</v>
      </c>
      <c r="U214" s="26">
        <v>42267</v>
      </c>
      <c r="V214" s="52" t="s">
        <v>1369</v>
      </c>
      <c r="W214" s="67" t="s">
        <v>1442</v>
      </c>
      <c r="X214" s="37"/>
      <c r="Y214" s="37"/>
      <c r="Z214" s="38"/>
      <c r="AA214" s="39"/>
      <c r="AB214" s="40"/>
      <c r="AC214" s="41"/>
      <c r="AD214" s="40"/>
      <c r="AE214" s="40"/>
      <c r="AF214" s="40"/>
      <c r="AG214" s="40"/>
      <c r="AH214" s="41"/>
      <c r="AI214" s="40"/>
      <c r="AJ214" s="42"/>
    </row>
    <row r="215" spans="1:36" s="5" customFormat="1" ht="23.25" hidden="1" customHeight="1" x14ac:dyDescent="0.2">
      <c r="A215" s="360">
        <f t="shared" si="2"/>
        <v>118</v>
      </c>
      <c r="B215" s="353" t="s">
        <v>132</v>
      </c>
      <c r="C215" s="345" t="s">
        <v>250</v>
      </c>
      <c r="D215" s="345" t="s">
        <v>367</v>
      </c>
      <c r="E215" s="46" t="s">
        <v>1369</v>
      </c>
      <c r="F215" s="17">
        <v>2</v>
      </c>
      <c r="G215" s="61" t="s">
        <v>1442</v>
      </c>
      <c r="H215" s="62"/>
      <c r="I215" s="62"/>
      <c r="J215" s="73"/>
      <c r="K215" s="16" t="s">
        <v>1442</v>
      </c>
      <c r="L215" s="16" t="s">
        <v>1442</v>
      </c>
      <c r="M215" s="16" t="s">
        <v>1442</v>
      </c>
      <c r="N215" s="16" t="s">
        <v>1442</v>
      </c>
      <c r="O215" s="46" t="s">
        <v>1442</v>
      </c>
      <c r="P215" s="16" t="s">
        <v>1442</v>
      </c>
      <c r="Q215" s="49" t="s">
        <v>1442</v>
      </c>
      <c r="R215" s="61" t="s">
        <v>1442</v>
      </c>
      <c r="S215" s="61" t="s">
        <v>1442</v>
      </c>
      <c r="T215" s="15"/>
      <c r="U215" s="61" t="s">
        <v>1442</v>
      </c>
      <c r="V215" s="49" t="s">
        <v>1442</v>
      </c>
      <c r="W215" s="49"/>
      <c r="X215" s="37"/>
      <c r="Y215" s="37"/>
      <c r="Z215" s="43"/>
      <c r="AA215" s="39"/>
      <c r="AB215" s="40"/>
      <c r="AC215" s="41"/>
      <c r="AD215" s="40"/>
      <c r="AE215" s="44"/>
      <c r="AF215" s="44"/>
      <c r="AG215" s="44"/>
      <c r="AH215" s="45"/>
      <c r="AI215" s="40"/>
      <c r="AJ215" s="42"/>
    </row>
    <row r="216" spans="1:36" s="5" customFormat="1" ht="21" hidden="1" customHeight="1" x14ac:dyDescent="0.2">
      <c r="A216" s="361"/>
      <c r="B216" s="354"/>
      <c r="C216" s="346"/>
      <c r="D216" s="346"/>
      <c r="E216" s="46" t="s">
        <v>1432</v>
      </c>
      <c r="F216" s="17">
        <v>2</v>
      </c>
      <c r="G216" s="61" t="s">
        <v>1442</v>
      </c>
      <c r="H216" s="62"/>
      <c r="I216" s="62"/>
      <c r="J216" s="73"/>
      <c r="K216" s="21" t="s">
        <v>1440</v>
      </c>
      <c r="L216" s="18">
        <v>41676</v>
      </c>
      <c r="M216" s="14" t="s">
        <v>1370</v>
      </c>
      <c r="N216" s="18">
        <v>41676</v>
      </c>
      <c r="O216" s="46" t="s">
        <v>2172</v>
      </c>
      <c r="P216" s="18">
        <v>41680</v>
      </c>
      <c r="Q216" s="69">
        <v>2</v>
      </c>
      <c r="R216" s="268" t="s">
        <v>1444</v>
      </c>
      <c r="S216" s="18">
        <v>41676</v>
      </c>
      <c r="T216" s="46" t="s">
        <v>1368</v>
      </c>
      <c r="U216" s="26">
        <v>41679</v>
      </c>
      <c r="V216" s="52" t="s">
        <v>1445</v>
      </c>
      <c r="W216" s="67" t="s">
        <v>1442</v>
      </c>
      <c r="X216" s="37"/>
      <c r="Y216" s="37"/>
      <c r="Z216" s="43"/>
      <c r="AA216" s="39"/>
      <c r="AB216" s="40"/>
      <c r="AC216" s="41"/>
      <c r="AD216" s="40"/>
      <c r="AE216" s="44"/>
      <c r="AF216" s="44"/>
      <c r="AG216" s="44"/>
      <c r="AH216" s="45"/>
      <c r="AI216" s="40"/>
      <c r="AJ216" s="42"/>
    </row>
    <row r="217" spans="1:36" s="5" customFormat="1" ht="21" hidden="1" customHeight="1" x14ac:dyDescent="0.2">
      <c r="A217" s="13">
        <f>A215+1</f>
        <v>119</v>
      </c>
      <c r="B217" s="25" t="s">
        <v>1429</v>
      </c>
      <c r="C217" s="207" t="s">
        <v>1430</v>
      </c>
      <c r="D217" s="207" t="s">
        <v>1431</v>
      </c>
      <c r="E217" s="46" t="s">
        <v>1432</v>
      </c>
      <c r="F217" s="17">
        <v>2</v>
      </c>
      <c r="G217" s="61"/>
      <c r="H217" s="62"/>
      <c r="I217" s="62"/>
      <c r="J217" s="73"/>
      <c r="K217" s="61"/>
      <c r="L217" s="61">
        <v>41724</v>
      </c>
      <c r="M217" s="14"/>
      <c r="N217" s="18"/>
      <c r="O217" s="46"/>
      <c r="P217" s="9"/>
      <c r="Q217" s="48"/>
      <c r="R217" s="224"/>
      <c r="S217" s="224"/>
      <c r="T217" s="207"/>
      <c r="U217" s="26"/>
      <c r="V217" s="52"/>
      <c r="W217" s="67"/>
      <c r="X217" s="37"/>
      <c r="Y217" s="37"/>
      <c r="Z217" s="43"/>
      <c r="AA217" s="39"/>
      <c r="AB217" s="40"/>
      <c r="AC217" s="41"/>
      <c r="AD217" s="40"/>
      <c r="AE217" s="44"/>
      <c r="AF217" s="44"/>
      <c r="AG217" s="44"/>
      <c r="AH217" s="45"/>
      <c r="AI217" s="40"/>
      <c r="AJ217" s="42"/>
    </row>
    <row r="218" spans="1:36" ht="21" hidden="1" customHeight="1" x14ac:dyDescent="0.2">
      <c r="A218" s="13">
        <v>120</v>
      </c>
      <c r="B218" s="25" t="s">
        <v>2240</v>
      </c>
      <c r="C218" s="208" t="s">
        <v>2238</v>
      </c>
      <c r="D218" s="208" t="s">
        <v>2239</v>
      </c>
      <c r="E218" s="46" t="s">
        <v>1432</v>
      </c>
      <c r="F218" s="17">
        <v>2</v>
      </c>
      <c r="G218" s="16" t="s">
        <v>1442</v>
      </c>
      <c r="H218" s="62"/>
      <c r="I218" s="62"/>
      <c r="J218" s="73" t="s">
        <v>1442</v>
      </c>
      <c r="K218" s="62" t="s">
        <v>2241</v>
      </c>
      <c r="L218" s="16">
        <v>42010</v>
      </c>
      <c r="M218" s="14" t="s">
        <v>2242</v>
      </c>
      <c r="N218" s="18">
        <v>42011</v>
      </c>
      <c r="O218" s="46" t="s">
        <v>2247</v>
      </c>
      <c r="P218" s="26">
        <v>42026</v>
      </c>
      <c r="Q218" s="52">
        <v>2</v>
      </c>
      <c r="R218" s="269" t="s">
        <v>2244</v>
      </c>
      <c r="S218" s="18">
        <v>41647</v>
      </c>
      <c r="T218" s="46" t="s">
        <v>2245</v>
      </c>
      <c r="U218" s="26">
        <v>42015</v>
      </c>
      <c r="V218" s="52" t="s">
        <v>1465</v>
      </c>
      <c r="W218" s="67" t="s">
        <v>1621</v>
      </c>
      <c r="X218" s="37"/>
      <c r="Y218" s="37"/>
      <c r="Z218" s="43"/>
      <c r="AA218" s="39"/>
      <c r="AB218" s="40"/>
      <c r="AC218" s="41"/>
      <c r="AD218" s="40"/>
      <c r="AE218" s="44"/>
      <c r="AF218" s="44"/>
      <c r="AG218" s="44"/>
      <c r="AH218" s="45"/>
      <c r="AI218" s="40"/>
      <c r="AJ218" s="42"/>
    </row>
    <row r="219" spans="1:36" ht="33" customHeight="1" x14ac:dyDescent="0.2">
      <c r="A219" s="13">
        <f>A218+1</f>
        <v>121</v>
      </c>
      <c r="B219" s="24" t="s">
        <v>2656</v>
      </c>
      <c r="C219" s="224" t="s">
        <v>2654</v>
      </c>
      <c r="D219" s="224" t="s">
        <v>2655</v>
      </c>
      <c r="E219" s="46" t="s">
        <v>1432</v>
      </c>
      <c r="F219" s="17" t="s">
        <v>1442</v>
      </c>
      <c r="G219" s="61" t="s">
        <v>1442</v>
      </c>
      <c r="H219" s="259"/>
      <c r="I219" s="259"/>
      <c r="J219" s="154" t="s">
        <v>1442</v>
      </c>
      <c r="K219" s="61" t="s">
        <v>2657</v>
      </c>
      <c r="L219" s="61">
        <v>42234</v>
      </c>
      <c r="M219" s="17" t="s">
        <v>2658</v>
      </c>
      <c r="N219" s="18">
        <v>42234</v>
      </c>
      <c r="O219" s="46" t="s">
        <v>2715</v>
      </c>
      <c r="P219" s="26">
        <v>42241</v>
      </c>
      <c r="Q219" s="52">
        <v>3</v>
      </c>
      <c r="R219" s="269" t="s">
        <v>2672</v>
      </c>
      <c r="S219" s="18">
        <v>42234</v>
      </c>
      <c r="T219" s="290" t="s">
        <v>3110</v>
      </c>
      <c r="U219" s="26">
        <v>42337</v>
      </c>
      <c r="V219" s="52" t="s">
        <v>1369</v>
      </c>
      <c r="W219" s="67" t="s">
        <v>1442</v>
      </c>
      <c r="X219" s="260"/>
      <c r="Y219" s="260"/>
      <c r="Z219" s="261"/>
      <c r="AA219" s="262"/>
      <c r="AB219" s="263"/>
      <c r="AC219" s="264"/>
      <c r="AD219" s="263"/>
      <c r="AE219" s="265"/>
      <c r="AF219" s="265"/>
      <c r="AG219" s="265"/>
      <c r="AH219" s="266"/>
      <c r="AI219" s="263"/>
      <c r="AJ219" s="267"/>
    </row>
    <row r="220" spans="1:36" ht="31.5" x14ac:dyDescent="0.2">
      <c r="A220" s="224">
        <v>122</v>
      </c>
      <c r="B220" s="24" t="s">
        <v>2726</v>
      </c>
      <c r="C220" s="224" t="s">
        <v>2727</v>
      </c>
      <c r="D220" s="224" t="s">
        <v>2728</v>
      </c>
      <c r="E220" s="46" t="s">
        <v>1432</v>
      </c>
      <c r="F220" s="17" t="s">
        <v>1442</v>
      </c>
      <c r="G220" s="61" t="s">
        <v>1442</v>
      </c>
      <c r="H220" s="259"/>
      <c r="I220" s="259"/>
      <c r="J220" s="154" t="s">
        <v>1442</v>
      </c>
      <c r="K220" s="61" t="s">
        <v>2747</v>
      </c>
      <c r="L220" s="61">
        <v>42243</v>
      </c>
      <c r="M220" s="17" t="s">
        <v>2748</v>
      </c>
      <c r="N220" s="18">
        <v>42246</v>
      </c>
      <c r="O220" s="46" t="s">
        <v>2799</v>
      </c>
      <c r="P220" s="26">
        <v>42250</v>
      </c>
      <c r="Q220" s="52">
        <v>1</v>
      </c>
      <c r="R220" s="17" t="s">
        <v>2787</v>
      </c>
      <c r="S220" s="62">
        <v>42249</v>
      </c>
      <c r="T220" s="290" t="s">
        <v>3111</v>
      </c>
      <c r="U220" s="26">
        <v>42337</v>
      </c>
      <c r="V220" s="52" t="s">
        <v>1369</v>
      </c>
      <c r="W220" s="67" t="s">
        <v>1442</v>
      </c>
      <c r="X220" s="260"/>
      <c r="Y220" s="260"/>
      <c r="Z220" s="261"/>
      <c r="AA220" s="262"/>
      <c r="AB220" s="263"/>
      <c r="AC220" s="264"/>
      <c r="AD220" s="263"/>
      <c r="AE220" s="265"/>
      <c r="AF220" s="265"/>
      <c r="AG220" s="265"/>
      <c r="AH220" s="266"/>
      <c r="AI220" s="263"/>
      <c r="AJ220" s="267"/>
    </row>
    <row r="221" spans="1:36" ht="30" customHeight="1" x14ac:dyDescent="0.2">
      <c r="A221" s="224">
        <v>123</v>
      </c>
      <c r="B221" s="24" t="s">
        <v>2926</v>
      </c>
      <c r="C221" s="224" t="s">
        <v>2927</v>
      </c>
      <c r="D221" s="224" t="s">
        <v>2928</v>
      </c>
      <c r="E221" s="46" t="s">
        <v>1432</v>
      </c>
      <c r="F221" s="17" t="s">
        <v>1442</v>
      </c>
      <c r="G221" s="61" t="s">
        <v>1442</v>
      </c>
      <c r="H221" s="154"/>
      <c r="I221" s="61"/>
      <c r="J221" s="61"/>
      <c r="K221" s="17" t="s">
        <v>2973</v>
      </c>
      <c r="L221" s="18">
        <v>42268</v>
      </c>
      <c r="M221" s="17" t="s">
        <v>2960</v>
      </c>
      <c r="N221" s="26">
        <v>42269</v>
      </c>
      <c r="O221" s="46" t="s">
        <v>3025</v>
      </c>
      <c r="P221" s="26">
        <v>42277</v>
      </c>
      <c r="Q221" s="52">
        <v>1</v>
      </c>
      <c r="R221" s="17" t="s">
        <v>3019</v>
      </c>
      <c r="S221" s="26">
        <v>42269</v>
      </c>
      <c r="T221" s="52"/>
      <c r="U221" s="67"/>
      <c r="V221" s="52"/>
      <c r="W221" s="67" t="s">
        <v>1552</v>
      </c>
      <c r="X221" s="261"/>
      <c r="Y221" s="262"/>
      <c r="Z221" s="263"/>
      <c r="AA221" s="264"/>
      <c r="AB221" s="263"/>
      <c r="AC221" s="265"/>
      <c r="AD221" s="265"/>
      <c r="AE221" s="265"/>
      <c r="AF221" s="266"/>
      <c r="AG221" s="263"/>
      <c r="AH221" s="267"/>
    </row>
    <row r="222" spans="1:36" ht="30" customHeight="1" x14ac:dyDescent="0.2">
      <c r="A222" s="224">
        <v>124</v>
      </c>
      <c r="B222" s="356" t="s">
        <v>3117</v>
      </c>
      <c r="C222" s="345" t="s">
        <v>3118</v>
      </c>
      <c r="D222" s="345" t="s">
        <v>3119</v>
      </c>
      <c r="E222" s="46" t="s">
        <v>1432</v>
      </c>
      <c r="F222" s="17" t="s">
        <v>1442</v>
      </c>
      <c r="G222" s="61" t="s">
        <v>1442</v>
      </c>
      <c r="H222" s="154"/>
      <c r="I222" s="61"/>
      <c r="J222" s="61"/>
      <c r="K222" s="17" t="s">
        <v>3120</v>
      </c>
      <c r="L222" s="18">
        <v>42339</v>
      </c>
      <c r="M222" s="17" t="s">
        <v>3121</v>
      </c>
      <c r="N222" s="26">
        <v>42344</v>
      </c>
      <c r="O222" s="46" t="s">
        <v>3128</v>
      </c>
      <c r="P222" s="26">
        <v>42348</v>
      </c>
      <c r="Q222" s="52">
        <v>2</v>
      </c>
      <c r="R222" s="17" t="s">
        <v>3122</v>
      </c>
      <c r="S222" s="26">
        <v>42344</v>
      </c>
      <c r="T222" s="298" t="s">
        <v>3173</v>
      </c>
      <c r="U222" s="26">
        <v>42372</v>
      </c>
      <c r="V222" s="52" t="s">
        <v>1369</v>
      </c>
      <c r="W222" s="67" t="s">
        <v>1442</v>
      </c>
      <c r="X222" s="261"/>
      <c r="Y222" s="262"/>
      <c r="Z222" s="263"/>
      <c r="AA222" s="264"/>
      <c r="AB222" s="263"/>
      <c r="AC222" s="265"/>
      <c r="AD222" s="265"/>
      <c r="AE222" s="265"/>
      <c r="AF222" s="266"/>
      <c r="AG222" s="263"/>
      <c r="AH222" s="267"/>
    </row>
    <row r="223" spans="1:36" ht="30" customHeight="1" x14ac:dyDescent="0.2">
      <c r="A223" s="224"/>
      <c r="B223" s="358"/>
      <c r="C223" s="346"/>
      <c r="D223" s="346"/>
      <c r="E223" s="46">
        <v>0</v>
      </c>
      <c r="F223" s="17" t="s">
        <v>1442</v>
      </c>
      <c r="G223" s="61" t="s">
        <v>1442</v>
      </c>
      <c r="H223" s="154"/>
      <c r="I223" s="61"/>
      <c r="J223" s="61"/>
      <c r="K223" s="17" t="s">
        <v>3137</v>
      </c>
      <c r="L223" s="18">
        <v>42352</v>
      </c>
      <c r="M223" s="17" t="s">
        <v>3138</v>
      </c>
      <c r="N223" s="26">
        <v>42354</v>
      </c>
      <c r="O223" s="46" t="s">
        <v>3156</v>
      </c>
      <c r="P223" s="26">
        <v>42359</v>
      </c>
      <c r="Q223" s="52">
        <v>1</v>
      </c>
      <c r="R223" s="17" t="s">
        <v>3150</v>
      </c>
      <c r="S223" s="26">
        <v>42354</v>
      </c>
      <c r="T223" s="298" t="s">
        <v>3173</v>
      </c>
      <c r="U223" s="26">
        <v>42372</v>
      </c>
      <c r="V223" s="52" t="s">
        <v>1369</v>
      </c>
      <c r="W223" s="67" t="s">
        <v>1442</v>
      </c>
      <c r="X223" s="261"/>
      <c r="Y223" s="262"/>
      <c r="Z223" s="263"/>
      <c r="AA223" s="264"/>
      <c r="AB223" s="263"/>
      <c r="AC223" s="265"/>
      <c r="AD223" s="265"/>
      <c r="AE223" s="265"/>
      <c r="AF223" s="266"/>
      <c r="AG223" s="263"/>
      <c r="AH223" s="267"/>
    </row>
    <row r="224" spans="1:36" ht="30" customHeight="1" x14ac:dyDescent="0.2">
      <c r="A224" s="224">
        <v>125</v>
      </c>
      <c r="B224" s="356" t="s">
        <v>3151</v>
      </c>
      <c r="C224" s="345" t="s">
        <v>3148</v>
      </c>
      <c r="D224" s="345" t="s">
        <v>3149</v>
      </c>
      <c r="E224" s="46" t="s">
        <v>1432</v>
      </c>
      <c r="F224" s="17" t="s">
        <v>1442</v>
      </c>
      <c r="G224" s="61" t="s">
        <v>1442</v>
      </c>
      <c r="H224" s="154"/>
      <c r="I224" s="61"/>
      <c r="J224" s="61"/>
      <c r="K224" s="17" t="s">
        <v>3152</v>
      </c>
      <c r="L224" s="18">
        <v>42355</v>
      </c>
      <c r="M224" s="17" t="s">
        <v>3153</v>
      </c>
      <c r="N224" s="26">
        <v>42365</v>
      </c>
      <c r="O224" s="46" t="s">
        <v>3167</v>
      </c>
      <c r="P224" s="26">
        <v>42369</v>
      </c>
      <c r="Q224" s="52">
        <v>2</v>
      </c>
      <c r="R224" s="17" t="s">
        <v>1442</v>
      </c>
      <c r="S224" s="26" t="s">
        <v>1442</v>
      </c>
      <c r="T224" s="298" t="s">
        <v>3168</v>
      </c>
      <c r="U224" s="26">
        <v>42372</v>
      </c>
      <c r="V224" s="52" t="s">
        <v>1369</v>
      </c>
      <c r="W224" s="67" t="s">
        <v>3169</v>
      </c>
      <c r="X224" s="261"/>
      <c r="Y224" s="262"/>
      <c r="Z224" s="263"/>
      <c r="AA224" s="264"/>
      <c r="AB224" s="263"/>
      <c r="AC224" s="265"/>
      <c r="AD224" s="265"/>
      <c r="AE224" s="265"/>
      <c r="AF224" s="266"/>
      <c r="AG224" s="263"/>
      <c r="AH224" s="267"/>
    </row>
    <row r="225" spans="1:34" ht="30" customHeight="1" x14ac:dyDescent="0.2">
      <c r="A225" s="224"/>
      <c r="B225" s="357"/>
      <c r="C225" s="355"/>
      <c r="D225" s="355"/>
      <c r="E225" s="46">
        <v>0</v>
      </c>
      <c r="F225" s="17" t="s">
        <v>1442</v>
      </c>
      <c r="G225" s="61" t="s">
        <v>1442</v>
      </c>
      <c r="H225" s="154"/>
      <c r="I225" s="61"/>
      <c r="J225" s="61"/>
      <c r="K225" s="17" t="s">
        <v>3177</v>
      </c>
      <c r="L225" s="18">
        <v>42008</v>
      </c>
      <c r="M225" s="17" t="s">
        <v>3178</v>
      </c>
      <c r="N225" s="18">
        <v>42008</v>
      </c>
      <c r="O225" s="46" t="s">
        <v>3187</v>
      </c>
      <c r="P225" s="26">
        <v>42376</v>
      </c>
      <c r="Q225" s="52">
        <v>1</v>
      </c>
      <c r="R225" s="17" t="s">
        <v>3185</v>
      </c>
      <c r="S225" s="26">
        <v>42376</v>
      </c>
      <c r="T225" s="303" t="s">
        <v>3188</v>
      </c>
      <c r="U225" s="302">
        <v>42380</v>
      </c>
      <c r="V225" s="52" t="s">
        <v>1529</v>
      </c>
      <c r="W225" s="67" t="s">
        <v>1442</v>
      </c>
      <c r="X225" s="261"/>
      <c r="Y225" s="262"/>
      <c r="Z225" s="263"/>
      <c r="AA225" s="264"/>
      <c r="AB225" s="263"/>
      <c r="AC225" s="265"/>
      <c r="AD225" s="265"/>
      <c r="AE225" s="265"/>
      <c r="AF225" s="266"/>
      <c r="AG225" s="263"/>
      <c r="AH225" s="267"/>
    </row>
    <row r="226" spans="1:34" ht="30" customHeight="1" x14ac:dyDescent="0.2">
      <c r="A226" s="224"/>
      <c r="B226" s="357"/>
      <c r="C226" s="355"/>
      <c r="D226" s="355"/>
      <c r="E226" s="290">
        <v>1</v>
      </c>
      <c r="F226" s="17" t="s">
        <v>1442</v>
      </c>
      <c r="G226" s="61" t="s">
        <v>1442</v>
      </c>
      <c r="H226" s="154"/>
      <c r="I226" s="61"/>
      <c r="J226" s="61"/>
      <c r="K226" s="17" t="s">
        <v>3190</v>
      </c>
      <c r="L226" s="18">
        <v>42381</v>
      </c>
      <c r="M226" s="17" t="s">
        <v>3191</v>
      </c>
      <c r="N226" s="18">
        <v>42382</v>
      </c>
      <c r="O226" s="46" t="s">
        <v>3298</v>
      </c>
      <c r="P226" s="26">
        <v>42458</v>
      </c>
      <c r="Q226" s="52">
        <v>1</v>
      </c>
      <c r="R226" s="17" t="s">
        <v>3192</v>
      </c>
      <c r="S226" s="26">
        <v>42382</v>
      </c>
      <c r="T226" s="298" t="s">
        <v>3198</v>
      </c>
      <c r="U226" s="302">
        <v>42388</v>
      </c>
      <c r="V226" s="52" t="s">
        <v>1529</v>
      </c>
      <c r="W226" s="67" t="s">
        <v>1442</v>
      </c>
      <c r="X226" s="261"/>
      <c r="Y226" s="262"/>
      <c r="Z226" s="263"/>
      <c r="AA226" s="264"/>
      <c r="AB226" s="263"/>
      <c r="AC226" s="265"/>
      <c r="AD226" s="265"/>
      <c r="AE226" s="265"/>
      <c r="AF226" s="266"/>
      <c r="AG226" s="263"/>
      <c r="AH226" s="267"/>
    </row>
    <row r="227" spans="1:34" ht="30" customHeight="1" x14ac:dyDescent="0.2">
      <c r="A227" s="224"/>
      <c r="B227" s="358"/>
      <c r="C227" s="346"/>
      <c r="D227" s="346"/>
      <c r="E227" s="290" t="s">
        <v>3202</v>
      </c>
      <c r="F227" s="17"/>
      <c r="G227" s="61"/>
      <c r="H227" s="154"/>
      <c r="I227" s="61"/>
      <c r="J227" s="61"/>
      <c r="K227" s="17"/>
      <c r="L227" s="18"/>
      <c r="M227" s="17"/>
      <c r="N227" s="26"/>
      <c r="O227" s="298"/>
      <c r="P227" s="26"/>
      <c r="Q227" s="52"/>
      <c r="R227" s="17" t="s">
        <v>3201</v>
      </c>
      <c r="S227" s="26">
        <v>42404</v>
      </c>
      <c r="T227" s="298" t="s">
        <v>3218</v>
      </c>
      <c r="U227" s="302">
        <v>42404</v>
      </c>
      <c r="V227" s="52" t="s">
        <v>1369</v>
      </c>
      <c r="W227" s="67"/>
      <c r="X227" s="261"/>
      <c r="Y227" s="262"/>
      <c r="Z227" s="263"/>
      <c r="AA227" s="264"/>
      <c r="AB227" s="263"/>
      <c r="AC227" s="265"/>
      <c r="AD227" s="265"/>
      <c r="AE227" s="265"/>
      <c r="AF227" s="266"/>
      <c r="AG227" s="263"/>
      <c r="AH227" s="267"/>
    </row>
    <row r="228" spans="1:34" ht="30" customHeight="1" x14ac:dyDescent="0.2">
      <c r="A228" s="345">
        <v>126</v>
      </c>
      <c r="B228" s="347" t="s">
        <v>3300</v>
      </c>
      <c r="C228" s="345" t="s">
        <v>3299</v>
      </c>
      <c r="D228" s="345" t="s">
        <v>3301</v>
      </c>
      <c r="E228" s="290" t="s">
        <v>1432</v>
      </c>
      <c r="F228" s="17">
        <v>2</v>
      </c>
      <c r="G228" s="61"/>
      <c r="H228" s="154"/>
      <c r="I228" s="61"/>
      <c r="J228" s="61"/>
      <c r="K228" s="17" t="s">
        <v>3302</v>
      </c>
      <c r="L228" s="18">
        <v>42484</v>
      </c>
      <c r="M228" s="17" t="s">
        <v>3304</v>
      </c>
      <c r="N228" s="18">
        <v>42485</v>
      </c>
      <c r="O228" s="46" t="s">
        <v>3307</v>
      </c>
      <c r="P228" s="26">
        <v>42488</v>
      </c>
      <c r="Q228" s="52">
        <v>2</v>
      </c>
      <c r="R228" s="17" t="s">
        <v>3303</v>
      </c>
      <c r="S228" s="26">
        <v>42485</v>
      </c>
      <c r="T228" s="52"/>
      <c r="U228" s="178"/>
      <c r="V228" s="52"/>
      <c r="W228" s="178"/>
      <c r="X228" s="261"/>
      <c r="Y228" s="262"/>
      <c r="Z228" s="263"/>
      <c r="AA228" s="264"/>
      <c r="AB228" s="263"/>
      <c r="AC228" s="265"/>
      <c r="AD228" s="265"/>
      <c r="AE228" s="265"/>
      <c r="AF228" s="266"/>
      <c r="AG228" s="263"/>
      <c r="AH228" s="267"/>
    </row>
    <row r="229" spans="1:34" ht="30" customHeight="1" x14ac:dyDescent="0.2">
      <c r="A229" s="346"/>
      <c r="B229" s="348"/>
      <c r="C229" s="346"/>
      <c r="D229" s="346"/>
      <c r="E229" s="311">
        <v>0</v>
      </c>
      <c r="F229" s="312">
        <v>1</v>
      </c>
      <c r="G229" s="62"/>
      <c r="H229" s="73"/>
      <c r="I229" s="62"/>
      <c r="J229" s="62"/>
      <c r="K229" s="17" t="s">
        <v>3305</v>
      </c>
      <c r="L229" s="175">
        <v>42499</v>
      </c>
      <c r="M229" s="17" t="s">
        <v>3306</v>
      </c>
      <c r="N229" s="18">
        <v>42500</v>
      </c>
      <c r="O229" s="46" t="s">
        <v>3308</v>
      </c>
      <c r="P229" s="163">
        <v>42507</v>
      </c>
      <c r="Q229" s="69">
        <v>1</v>
      </c>
      <c r="R229" s="312"/>
      <c r="S229" s="163"/>
      <c r="T229" s="69"/>
      <c r="U229" s="313"/>
      <c r="V229" s="69"/>
      <c r="W229" s="313"/>
      <c r="X229" s="261"/>
      <c r="Y229" s="262"/>
      <c r="Z229" s="263"/>
      <c r="AA229" s="264"/>
      <c r="AB229" s="263"/>
      <c r="AC229" s="265"/>
      <c r="AD229" s="265"/>
      <c r="AE229" s="265"/>
      <c r="AF229" s="266"/>
      <c r="AG229" s="263"/>
      <c r="AH229" s="267"/>
    </row>
    <row r="230" spans="1:34" ht="30" customHeight="1" x14ac:dyDescent="0.2">
      <c r="A230" s="345">
        <v>127</v>
      </c>
      <c r="B230" s="347" t="s">
        <v>3316</v>
      </c>
      <c r="C230" s="345" t="s">
        <v>3317</v>
      </c>
      <c r="D230" s="345" t="s">
        <v>3315</v>
      </c>
      <c r="E230" s="290" t="s">
        <v>1432</v>
      </c>
      <c r="F230" s="17">
        <v>2</v>
      </c>
      <c r="G230" s="61"/>
      <c r="H230" s="154"/>
      <c r="I230" s="61"/>
      <c r="J230" s="61"/>
      <c r="K230" s="17" t="s">
        <v>3318</v>
      </c>
      <c r="L230" s="18">
        <v>42638</v>
      </c>
      <c r="M230" s="17" t="s">
        <v>3325</v>
      </c>
      <c r="N230" s="18">
        <v>42641</v>
      </c>
      <c r="O230" s="46" t="s">
        <v>3337</v>
      </c>
      <c r="P230" s="26">
        <v>42653</v>
      </c>
      <c r="Q230" s="52">
        <v>2</v>
      </c>
      <c r="R230" s="17" t="s">
        <v>3327</v>
      </c>
      <c r="S230" s="26">
        <v>42641</v>
      </c>
      <c r="T230" s="298" t="s">
        <v>3353</v>
      </c>
      <c r="U230" s="178">
        <v>42657</v>
      </c>
      <c r="V230" s="48" t="s">
        <v>1432</v>
      </c>
      <c r="W230" s="178"/>
      <c r="X230" s="261"/>
      <c r="Y230" s="262"/>
      <c r="Z230" s="263"/>
      <c r="AA230" s="264"/>
      <c r="AB230" s="263"/>
      <c r="AC230" s="265"/>
      <c r="AD230" s="265"/>
      <c r="AE230" s="265"/>
      <c r="AF230" s="266"/>
      <c r="AG230" s="263"/>
      <c r="AH230" s="267"/>
    </row>
    <row r="231" spans="1:34" ht="30" customHeight="1" x14ac:dyDescent="0.2">
      <c r="A231" s="346"/>
      <c r="B231" s="348"/>
      <c r="C231" s="346"/>
      <c r="D231" s="346"/>
      <c r="E231" s="311">
        <v>0</v>
      </c>
      <c r="F231" s="319">
        <v>1</v>
      </c>
      <c r="G231" s="62"/>
      <c r="H231" s="73"/>
      <c r="I231" s="62"/>
      <c r="J231" s="62"/>
      <c r="K231" s="17" t="s">
        <v>3339</v>
      </c>
      <c r="L231" s="175">
        <v>42656</v>
      </c>
      <c r="M231" s="17" t="s">
        <v>3351</v>
      </c>
      <c r="N231" s="18">
        <v>42660</v>
      </c>
      <c r="O231" s="290" t="s">
        <v>3387</v>
      </c>
      <c r="P231" s="26">
        <v>42677</v>
      </c>
      <c r="Q231" s="69">
        <v>1</v>
      </c>
      <c r="R231" s="17" t="s">
        <v>3352</v>
      </c>
      <c r="S231" s="26">
        <v>42660</v>
      </c>
      <c r="T231" s="69"/>
      <c r="U231" s="313"/>
      <c r="V231" s="69"/>
      <c r="W231" s="313"/>
      <c r="X231" s="261"/>
      <c r="Y231" s="262"/>
      <c r="Z231" s="263"/>
      <c r="AA231" s="264"/>
      <c r="AB231" s="263"/>
      <c r="AC231" s="265"/>
      <c r="AD231" s="265"/>
      <c r="AE231" s="265"/>
      <c r="AF231" s="266"/>
      <c r="AG231" s="263"/>
      <c r="AH231" s="267"/>
    </row>
    <row r="232" spans="1:34" ht="30" customHeight="1" x14ac:dyDescent="0.2">
      <c r="A232" s="345">
        <v>128</v>
      </c>
      <c r="B232" s="356" t="s">
        <v>3374</v>
      </c>
      <c r="C232" s="345" t="s">
        <v>3375</v>
      </c>
      <c r="D232" s="345" t="s">
        <v>3376</v>
      </c>
      <c r="E232" s="290" t="s">
        <v>1432</v>
      </c>
      <c r="F232" s="17">
        <v>2</v>
      </c>
      <c r="G232" s="61"/>
      <c r="H232" s="154"/>
      <c r="I232" s="61"/>
      <c r="J232" s="61"/>
      <c r="K232" s="17" t="s">
        <v>3384</v>
      </c>
      <c r="L232" s="18">
        <v>42675</v>
      </c>
      <c r="M232" s="326" t="s">
        <v>3385</v>
      </c>
      <c r="N232" s="18">
        <v>42677</v>
      </c>
      <c r="O232" s="290" t="s">
        <v>3401</v>
      </c>
      <c r="P232" s="26">
        <v>42731</v>
      </c>
      <c r="Q232" s="52">
        <v>1</v>
      </c>
      <c r="R232" s="328" t="s">
        <v>3386</v>
      </c>
      <c r="S232" s="26">
        <v>42677</v>
      </c>
      <c r="T232" s="298"/>
      <c r="U232" s="178"/>
      <c r="V232" s="48"/>
      <c r="W232" s="178"/>
      <c r="X232" s="261"/>
      <c r="Y232" s="262"/>
      <c r="Z232" s="263"/>
      <c r="AA232" s="264"/>
      <c r="AB232" s="263"/>
      <c r="AC232" s="265"/>
      <c r="AD232" s="265"/>
      <c r="AE232" s="265"/>
      <c r="AF232" s="266"/>
      <c r="AG232" s="263"/>
      <c r="AH232" s="267"/>
    </row>
    <row r="233" spans="1:34" ht="30" customHeight="1" x14ac:dyDescent="0.2">
      <c r="A233" s="346"/>
      <c r="B233" s="358"/>
      <c r="C233" s="346"/>
      <c r="D233" s="346"/>
      <c r="E233" s="311"/>
      <c r="F233" s="324"/>
      <c r="G233" s="62"/>
      <c r="H233" s="73"/>
      <c r="I233" s="62"/>
      <c r="J233" s="62"/>
      <c r="K233" s="17"/>
      <c r="L233" s="175"/>
      <c r="M233" s="17"/>
      <c r="N233" s="18"/>
      <c r="O233" s="46"/>
      <c r="P233" s="163"/>
      <c r="Q233" s="69"/>
      <c r="R233" s="17"/>
      <c r="S233" s="26"/>
      <c r="T233" s="69"/>
      <c r="U233" s="313"/>
      <c r="V233" s="69"/>
      <c r="W233" s="313"/>
      <c r="X233" s="261"/>
      <c r="Y233" s="262"/>
      <c r="Z233" s="263"/>
      <c r="AA233" s="264"/>
      <c r="AB233" s="263"/>
      <c r="AC233" s="265"/>
      <c r="AD233" s="265"/>
      <c r="AE233" s="265"/>
      <c r="AF233" s="266"/>
      <c r="AG233" s="263"/>
      <c r="AH233" s="267"/>
    </row>
  </sheetData>
  <autoFilter ref="W1:W222"/>
  <mergeCells count="298">
    <mergeCell ref="A232:A233"/>
    <mergeCell ref="B232:B233"/>
    <mergeCell ref="C232:C233"/>
    <mergeCell ref="D232:D233"/>
    <mergeCell ref="A163:A164"/>
    <mergeCell ref="B163:B164"/>
    <mergeCell ref="C163:C164"/>
    <mergeCell ref="D163:D164"/>
    <mergeCell ref="A195:A196"/>
    <mergeCell ref="B195:B196"/>
    <mergeCell ref="C195:C196"/>
    <mergeCell ref="D195:D196"/>
    <mergeCell ref="A199:A200"/>
    <mergeCell ref="B199:B200"/>
    <mergeCell ref="C199:C200"/>
    <mergeCell ref="D199:D200"/>
    <mergeCell ref="A187:A188"/>
    <mergeCell ref="B187:B188"/>
    <mergeCell ref="C187:C188"/>
    <mergeCell ref="D187:D188"/>
    <mergeCell ref="A189:A190"/>
    <mergeCell ref="A192:A193"/>
    <mergeCell ref="D230:D231"/>
    <mergeCell ref="B230:B231"/>
    <mergeCell ref="A230:A231"/>
    <mergeCell ref="C230:C231"/>
    <mergeCell ref="B121:B123"/>
    <mergeCell ref="C121:C123"/>
    <mergeCell ref="D121:D123"/>
    <mergeCell ref="B222:B223"/>
    <mergeCell ref="C222:C223"/>
    <mergeCell ref="D222:D223"/>
    <mergeCell ref="B177:B178"/>
    <mergeCell ref="C177:C178"/>
    <mergeCell ref="D177:D178"/>
    <mergeCell ref="B146:B147"/>
    <mergeCell ref="C146:C147"/>
    <mergeCell ref="D137:D138"/>
    <mergeCell ref="B137:B138"/>
    <mergeCell ref="C137:C138"/>
    <mergeCell ref="B128:B130"/>
    <mergeCell ref="C128:C130"/>
    <mergeCell ref="D128:D130"/>
    <mergeCell ref="D152:D153"/>
    <mergeCell ref="D149:D150"/>
    <mergeCell ref="D146:D147"/>
    <mergeCell ref="B131:B132"/>
    <mergeCell ref="C131:C132"/>
    <mergeCell ref="D131:D132"/>
    <mergeCell ref="B124:B127"/>
    <mergeCell ref="B224:B227"/>
    <mergeCell ref="C224:C227"/>
    <mergeCell ref="D224:D227"/>
    <mergeCell ref="B175:B176"/>
    <mergeCell ref="C175:C176"/>
    <mergeCell ref="D175:D176"/>
    <mergeCell ref="B183:B184"/>
    <mergeCell ref="C183:C184"/>
    <mergeCell ref="D183:D184"/>
    <mergeCell ref="C124:C127"/>
    <mergeCell ref="D124:D127"/>
    <mergeCell ref="B189:B190"/>
    <mergeCell ref="C189:C190"/>
    <mergeCell ref="D189:D190"/>
    <mergeCell ref="B192:B193"/>
    <mergeCell ref="C192:C193"/>
    <mergeCell ref="D192:D193"/>
    <mergeCell ref="B63:B65"/>
    <mergeCell ref="C63:C65"/>
    <mergeCell ref="D63:D65"/>
    <mergeCell ref="B169:B170"/>
    <mergeCell ref="B98:B99"/>
    <mergeCell ref="C98:C99"/>
    <mergeCell ref="D98:D99"/>
    <mergeCell ref="B109:B110"/>
    <mergeCell ref="C109:C110"/>
    <mergeCell ref="D109:D110"/>
    <mergeCell ref="B111:B112"/>
    <mergeCell ref="C111:C112"/>
    <mergeCell ref="D111:D112"/>
    <mergeCell ref="B88:B89"/>
    <mergeCell ref="C88:C89"/>
    <mergeCell ref="D88:D89"/>
    <mergeCell ref="B90:B91"/>
    <mergeCell ref="C90:C91"/>
    <mergeCell ref="B106:B108"/>
    <mergeCell ref="B167:B168"/>
    <mergeCell ref="C167:C168"/>
    <mergeCell ref="D167:D168"/>
    <mergeCell ref="B149:B150"/>
    <mergeCell ref="C149:C150"/>
    <mergeCell ref="B61:B62"/>
    <mergeCell ref="C61:C62"/>
    <mergeCell ref="B43:B44"/>
    <mergeCell ref="C43:C44"/>
    <mergeCell ref="D43:D44"/>
    <mergeCell ref="D61:D62"/>
    <mergeCell ref="B58:B60"/>
    <mergeCell ref="B47:B48"/>
    <mergeCell ref="C47:C48"/>
    <mergeCell ref="D47:D48"/>
    <mergeCell ref="C58:C60"/>
    <mergeCell ref="B56:B57"/>
    <mergeCell ref="C56:C57"/>
    <mergeCell ref="D58:D60"/>
    <mergeCell ref="D56:D57"/>
    <mergeCell ref="D49:D50"/>
    <mergeCell ref="M7:N7"/>
    <mergeCell ref="O7:Q7"/>
    <mergeCell ref="K5:N5"/>
    <mergeCell ref="B26:B27"/>
    <mergeCell ref="C26:C27"/>
    <mergeCell ref="D26:D27"/>
    <mergeCell ref="B22:B23"/>
    <mergeCell ref="C22:C23"/>
    <mergeCell ref="D22:D23"/>
    <mergeCell ref="B15:B16"/>
    <mergeCell ref="C15:C16"/>
    <mergeCell ref="D15:D16"/>
    <mergeCell ref="B11:B13"/>
    <mergeCell ref="C11:C13"/>
    <mergeCell ref="D11:D13"/>
    <mergeCell ref="O6:Q6"/>
    <mergeCell ref="H5:H8"/>
    <mergeCell ref="AE1:AH1"/>
    <mergeCell ref="AI1:AJ1"/>
    <mergeCell ref="AE2:AH2"/>
    <mergeCell ref="AI2:AJ2"/>
    <mergeCell ref="AE3:AH3"/>
    <mergeCell ref="AI3:AJ3"/>
    <mergeCell ref="AJ5:AJ8"/>
    <mergeCell ref="X6:AA6"/>
    <mergeCell ref="AB6:AD6"/>
    <mergeCell ref="AE6:AF6"/>
    <mergeCell ref="AG6:AI6"/>
    <mergeCell ref="AE4:AH4"/>
    <mergeCell ref="AG7:AI7"/>
    <mergeCell ref="AI4:AJ4"/>
    <mergeCell ref="Z7:AA7"/>
    <mergeCell ref="AB7:AD7"/>
    <mergeCell ref="AE7:AF7"/>
    <mergeCell ref="Z5:AA5"/>
    <mergeCell ref="V1:W1"/>
    <mergeCell ref="C2:Q2"/>
    <mergeCell ref="R2:U2"/>
    <mergeCell ref="R1:U1"/>
    <mergeCell ref="AB5:AD5"/>
    <mergeCell ref="AE5:AI5"/>
    <mergeCell ref="X7:Y7"/>
    <mergeCell ref="R7:S7"/>
    <mergeCell ref="K6:N6"/>
    <mergeCell ref="T6:V6"/>
    <mergeCell ref="R6:S6"/>
    <mergeCell ref="V2:W2"/>
    <mergeCell ref="C1:Q1"/>
    <mergeCell ref="C3:Q3"/>
    <mergeCell ref="V4:W4"/>
    <mergeCell ref="O5:Q5"/>
    <mergeCell ref="R3:U3"/>
    <mergeCell ref="V3:W3"/>
    <mergeCell ref="C4:Q4"/>
    <mergeCell ref="R4:U4"/>
    <mergeCell ref="F5:F8"/>
    <mergeCell ref="G5:G8"/>
    <mergeCell ref="R5:V5"/>
    <mergeCell ref="W5:W8"/>
    <mergeCell ref="T7:V7"/>
    <mergeCell ref="K7:L7"/>
    <mergeCell ref="C77:C78"/>
    <mergeCell ref="D77:D78"/>
    <mergeCell ref="B92:B93"/>
    <mergeCell ref="C92:C93"/>
    <mergeCell ref="B80:B81"/>
    <mergeCell ref="C80:C81"/>
    <mergeCell ref="D80:D81"/>
    <mergeCell ref="B82:B83"/>
    <mergeCell ref="C82:C83"/>
    <mergeCell ref="D82:D83"/>
    <mergeCell ref="B84:B85"/>
    <mergeCell ref="C84:C85"/>
    <mergeCell ref="D84:D85"/>
    <mergeCell ref="B39:B40"/>
    <mergeCell ref="C39:C40"/>
    <mergeCell ref="D39:D40"/>
    <mergeCell ref="B45:B46"/>
    <mergeCell ref="C45:C46"/>
    <mergeCell ref="D45:D46"/>
    <mergeCell ref="B54:B55"/>
    <mergeCell ref="C54:C55"/>
    <mergeCell ref="D54:D55"/>
    <mergeCell ref="A5:A8"/>
    <mergeCell ref="B5:B8"/>
    <mergeCell ref="C5:C8"/>
    <mergeCell ref="D5:D8"/>
    <mergeCell ref="E5:E8"/>
    <mergeCell ref="J5:J8"/>
    <mergeCell ref="B24:B25"/>
    <mergeCell ref="C24:C25"/>
    <mergeCell ref="D24:D25"/>
    <mergeCell ref="B19:B21"/>
    <mergeCell ref="C19:C21"/>
    <mergeCell ref="D19:D21"/>
    <mergeCell ref="B9:B10"/>
    <mergeCell ref="C9:C10"/>
    <mergeCell ref="D9:D10"/>
    <mergeCell ref="B17:B18"/>
    <mergeCell ref="C17:C18"/>
    <mergeCell ref="D17:D18"/>
    <mergeCell ref="I5:I8"/>
    <mergeCell ref="A215:A216"/>
    <mergeCell ref="B215:B216"/>
    <mergeCell ref="C215:C216"/>
    <mergeCell ref="D215:D216"/>
    <mergeCell ref="B28:B29"/>
    <mergeCell ref="C28:C29"/>
    <mergeCell ref="D28:D29"/>
    <mergeCell ref="B34:B35"/>
    <mergeCell ref="C34:C35"/>
    <mergeCell ref="D34:D35"/>
    <mergeCell ref="B30:B31"/>
    <mergeCell ref="C30:C31"/>
    <mergeCell ref="D30:D31"/>
    <mergeCell ref="B37:B38"/>
    <mergeCell ref="C37:C38"/>
    <mergeCell ref="D37:D38"/>
    <mergeCell ref="B32:B33"/>
    <mergeCell ref="C32:C33"/>
    <mergeCell ref="D32:D33"/>
    <mergeCell ref="B152:B153"/>
    <mergeCell ref="C152:C153"/>
    <mergeCell ref="D92:D93"/>
    <mergeCell ref="B49:B50"/>
    <mergeCell ref="C49:C50"/>
    <mergeCell ref="B41:B42"/>
    <mergeCell ref="C41:C42"/>
    <mergeCell ref="D41:D42"/>
    <mergeCell ref="B52:B53"/>
    <mergeCell ref="C52:C53"/>
    <mergeCell ref="D52:D53"/>
    <mergeCell ref="B209:B210"/>
    <mergeCell ref="B173:B174"/>
    <mergeCell ref="C173:C174"/>
    <mergeCell ref="D173:D174"/>
    <mergeCell ref="B179:B180"/>
    <mergeCell ref="C179:C180"/>
    <mergeCell ref="D179:D180"/>
    <mergeCell ref="B171:B172"/>
    <mergeCell ref="C171:C172"/>
    <mergeCell ref="D171:D172"/>
    <mergeCell ref="B207:B208"/>
    <mergeCell ref="C207:C208"/>
    <mergeCell ref="D207:D208"/>
    <mergeCell ref="B205:B206"/>
    <mergeCell ref="C205:C206"/>
    <mergeCell ref="D205:D206"/>
    <mergeCell ref="C169:C170"/>
    <mergeCell ref="D169:D170"/>
    <mergeCell ref="D113:D116"/>
    <mergeCell ref="B117:B120"/>
    <mergeCell ref="D72:D74"/>
    <mergeCell ref="B100:B102"/>
    <mergeCell ref="C100:C102"/>
    <mergeCell ref="D100:D102"/>
    <mergeCell ref="D90:D91"/>
    <mergeCell ref="B94:B97"/>
    <mergeCell ref="C94:C97"/>
    <mergeCell ref="D94:D97"/>
    <mergeCell ref="B103:B105"/>
    <mergeCell ref="C103:C105"/>
    <mergeCell ref="D103:D105"/>
    <mergeCell ref="C117:C120"/>
    <mergeCell ref="D117:D120"/>
    <mergeCell ref="D106:D108"/>
    <mergeCell ref="B72:B74"/>
    <mergeCell ref="A228:A229"/>
    <mergeCell ref="B228:B229"/>
    <mergeCell ref="C228:C229"/>
    <mergeCell ref="D228:D229"/>
    <mergeCell ref="B66:B67"/>
    <mergeCell ref="C66:C67"/>
    <mergeCell ref="D66:D67"/>
    <mergeCell ref="B68:B69"/>
    <mergeCell ref="C68:C69"/>
    <mergeCell ref="B70:B71"/>
    <mergeCell ref="C70:C71"/>
    <mergeCell ref="D70:D71"/>
    <mergeCell ref="B86:B87"/>
    <mergeCell ref="C86:C87"/>
    <mergeCell ref="D75:D76"/>
    <mergeCell ref="D86:D87"/>
    <mergeCell ref="C72:C74"/>
    <mergeCell ref="B75:B76"/>
    <mergeCell ref="C75:C76"/>
    <mergeCell ref="B77:B78"/>
    <mergeCell ref="D68:D69"/>
    <mergeCell ref="C106:C108"/>
    <mergeCell ref="B113:B116"/>
    <mergeCell ref="C113:C116"/>
  </mergeCells>
  <conditionalFormatting sqref="J149 J163:J164 J146 J210:J213 J187:J190 J192:J193 J195:J196 J199:J200">
    <cfRule type="cellIs" dxfId="4" priority="1" operator="lessThan">
      <formula>1</formula>
    </cfRule>
  </conditionalFormatting>
  <hyperlinks>
    <hyperlink ref="E215" r:id="rId1"/>
    <hyperlink ref="E216" r:id="rId2"/>
    <hyperlink ref="E19" r:id="rId3"/>
    <hyperlink ref="O216" r:id="rId4" display="TR/UFFDP1/13/01684"/>
    <hyperlink ref="T216" r:id="rId5"/>
    <hyperlink ref="E17" r:id="rId6"/>
    <hyperlink ref="E26" r:id="rId7"/>
    <hyperlink ref="O19" r:id="rId8"/>
    <hyperlink ref="E28" r:id="rId9"/>
    <hyperlink ref="T17" r:id="rId10"/>
    <hyperlink ref="T202" r:id="rId11"/>
    <hyperlink ref="E202" r:id="rId12"/>
    <hyperlink ref="E203" r:id="rId13"/>
    <hyperlink ref="T203" r:id="rId14"/>
    <hyperlink ref="T19" r:id="rId15"/>
    <hyperlink ref="T28" r:id="rId16"/>
    <hyperlink ref="T26" r:id="rId17"/>
    <hyperlink ref="O17" r:id="rId18"/>
    <hyperlink ref="O26" r:id="rId19"/>
    <hyperlink ref="O28" r:id="rId20"/>
    <hyperlink ref="O202" r:id="rId21"/>
    <hyperlink ref="E18" r:id="rId22"/>
    <hyperlink ref="E27" r:id="rId23"/>
    <hyperlink ref="E30" r:id="rId24"/>
    <hyperlink ref="T18" r:id="rId25"/>
    <hyperlink ref="O18" r:id="rId26"/>
    <hyperlink ref="T27" r:id="rId27"/>
    <hyperlink ref="E29" r:id="rId28"/>
    <hyperlink ref="E34" r:id="rId29"/>
    <hyperlink ref="T29" r:id="rId30"/>
    <hyperlink ref="E137" r:id="rId31"/>
    <hyperlink ref="E32" r:id="rId32" display="A"/>
    <hyperlink ref="T30" r:id="rId33"/>
    <hyperlink ref="E10" r:id="rId34"/>
    <hyperlink ref="O34" r:id="rId35"/>
    <hyperlink ref="E35" r:id="rId36" display="\\npcc.local\fs\Departments\Offshore\Offshore Technical\ConstructionEngineering\ConstructionEnggProjects\PROJECTS\2207\DOCUMENTS\PIPELINE &amp; CABLE\PIPELAY ANALYSIS\WHT-5 TO ULRP\2207-NN-RP-012 10inch\REPORT\Rev 0"/>
    <hyperlink ref="E37" r:id="rId37"/>
    <hyperlink ref="T34" r:id="rId38"/>
    <hyperlink ref="O10" r:id="rId39"/>
    <hyperlink ref="E36" r:id="rId40"/>
    <hyperlink ref="O30" r:id="rId41"/>
    <hyperlink ref="O32" r:id="rId42"/>
    <hyperlink ref="E31" r:id="rId43" display="\\npcc.local\fs\Departments\Offshore\Offshore Technical\ConstructionEngineering\ConstructionEnggProjects\PROJECTS\2207\DOCUMENTS\PIPELINE &amp; CABLE\PIPELAY ANALYSIS\WHT-3 TO ULRP\2207-NN-RP-010 6INCH\REPORT\Rev 0"/>
    <hyperlink ref="E15" r:id="rId44"/>
    <hyperlink ref="O35" r:id="rId45"/>
    <hyperlink ref="E33" r:id="rId46" display="\\npcc.local\fs\Departments\Offshore\Offshore Technical\ConstructionEngineering\ConstructionEnggProjects\PROJECTS\2207\DOCUMENTS\PIPELINE &amp; CABLE\PIPELAY ANALYSIS\WHT-5 TO ULRP\2207-NN-RP-011 6inch\REPORT\Rev 0"/>
    <hyperlink ref="O137" r:id="rId47"/>
    <hyperlink ref="O36" r:id="rId48"/>
    <hyperlink ref="O31" r:id="rId49"/>
    <hyperlink ref="E24" r:id="rId50"/>
    <hyperlink ref="E22" r:id="rId51"/>
    <hyperlink ref="T31" r:id="rId52"/>
    <hyperlink ref="O33" r:id="rId53"/>
    <hyperlink ref="T35" r:id="rId54"/>
    <hyperlink ref="T10" r:id="rId55"/>
    <hyperlink ref="T33" r:id="rId56"/>
    <hyperlink ref="T37" r:id="rId57"/>
    <hyperlink ref="T15" r:id="rId58"/>
    <hyperlink ref="O15" r:id="rId59"/>
    <hyperlink ref="T36" r:id="rId60"/>
    <hyperlink ref="T22" r:id="rId61"/>
    <hyperlink ref="O203" r:id="rId62"/>
    <hyperlink ref="O37" r:id="rId63"/>
    <hyperlink ref="T24" r:id="rId64"/>
    <hyperlink ref="O22" r:id="rId65"/>
    <hyperlink ref="O24" r:id="rId66"/>
    <hyperlink ref="E38" r:id="rId67" display="\\npcc.local\fs\Departments\Offshore\Offshore Technical\ConstructionEngineering\ConstructionEnggProjects\PROJECTS\2207\DOCUMENTS\PIPELINE &amp; CABLE\PIPELAY ANALYSIS\WHT-2 TO WHT-5\2207-NN-RP-014 6 INCH\REPORT\Rev 0"/>
    <hyperlink ref="E23" r:id="rId68" display="\\npcc.local\fs\Departments\Offshore\Offshore Technical\ConstructionEngineering\ConstructionEnggProjects\PROJECTS\2207\DOCUMENTS\PIPELINE &amp; CABLE\PIPELAY ANALYSIS\WHT-1 TO WHT-3\2207-NN-RP-006 10INCH\REPORT\Rev 0"/>
    <hyperlink ref="E138" r:id="rId69" display="\\npcc.local\fs\Departments\Offshore\Offshore Technical\ConstructionEngineering\ConstructionEnggProjects\PROJECTS\2207\DOCUMENTS\PIPELINE &amp; CABLE\RISER LIFT ANALYSIS REPORTS\2207-NN-RP-032 16 INCH WHT-3 TO ULRP (@WHT-3)\Rev 0"/>
    <hyperlink ref="T38" r:id="rId70"/>
    <hyperlink ref="O38" r:id="rId71"/>
    <hyperlink ref="O23" r:id="rId72"/>
    <hyperlink ref="E16" r:id="rId73" display="\\npcc.local\fs\Departments\Offshore\Offshore Technical\ConstructionEngineering\ConstructionEnggProjects\PROJECTS\2207\DOCUMENTS\PIPELINE &amp; CABLE\PIPELAY ANALYSIS\WHT-2 TO WHT-5\2207-NN-RP-003 16INCH\REPORT\Rev.0"/>
    <hyperlink ref="E20" r:id="rId74" display="\\npcc.local\fs\Departments\Offshore\Offshore Technical\ConstructionEngineering\ConstructionEnggProjects\PROJECTS\2207\DOCUMENTS\PIPELINE &amp; CABLE\PIPELAY ANALYSIS\WHT-1 TO WHT-3\2207-NN-RP-005 16INCH\REPORT\Rev 0"/>
    <hyperlink ref="T23" r:id="rId75"/>
    <hyperlink ref="E72" r:id="rId76"/>
    <hyperlink ref="E149" r:id="rId77"/>
    <hyperlink ref="T138" r:id="rId78"/>
    <hyperlink ref="E25" r:id="rId79" display="\\npcc.local\fs\Departments\Offshore\Offshore Technical\ConstructionEngineering\ConstructionEnggProjects\PROJECTS\2207\DOCUMENTS\PIPELINE &amp; CABLE\PIPELAY ANALYSIS\WHT-1 TO WHT-3\2207-NN-RP-007 6INCH\REPORT\REV 0"/>
    <hyperlink ref="E146" r:id="rId80"/>
    <hyperlink ref="E152" r:id="rId81"/>
    <hyperlink ref="E143" r:id="rId82"/>
    <hyperlink ref="O138" r:id="rId83"/>
    <hyperlink ref="O27" r:id="rId84"/>
    <hyperlink ref="O20" r:id="rId85"/>
    <hyperlink ref="O16" r:id="rId86"/>
    <hyperlink ref="T16" r:id="rId87"/>
    <hyperlink ref="T20" r:id="rId88"/>
    <hyperlink ref="E21" r:id="rId89" display="\\npcc.local\fs\Departments\Offshore\Offshore Technical\ConstructionEngineering\ConstructionEnggProjects\PROJECTS\2207\DOCUMENTS\PIPELINE &amp; CABLE\PIPELAY ANALYSIS\WHT-1 TO WHT-3\2207-NN-RP-005 16INCH\REPORT\Rev 1"/>
    <hyperlink ref="E145" r:id="rId90"/>
    <hyperlink ref="E141" r:id="rId91"/>
    <hyperlink ref="T72" r:id="rId92"/>
    <hyperlink ref="T25" r:id="rId93"/>
    <hyperlink ref="O149" r:id="rId94"/>
    <hyperlink ref="O29" r:id="rId95"/>
    <hyperlink ref="O72" r:id="rId96"/>
    <hyperlink ref="O146" r:id="rId97"/>
    <hyperlink ref="O25" r:id="rId98"/>
    <hyperlink ref="O21" r:id="rId99"/>
    <hyperlink ref="E82" r:id="rId100"/>
    <hyperlink ref="E80" r:id="rId101"/>
    <hyperlink ref="E84" r:id="rId102"/>
    <hyperlink ref="E73" r:id="rId103" display="\\npcc.local\fs\Departments\Offshore\Offshore Technical\ConstructionEngineering\ConstructionEnggProjects\PROJECTS\2207\DOCUMENTS\PIPELINE &amp; CABLE\DAVIT LIFT ANALYSIS\WHT3-ULRP\2207-NN-RP-017 (16 inch)\Rev 0\REPORT"/>
    <hyperlink ref="E147" r:id="rId104" display="\\npcc.local\fs\Departments\Offshore\Offshore Technical\ConstructionEngineering\ConstructionEnggProjects\PROJECTS\2207\DOCUMENTS\PIPELINE &amp; CABLE\RISER LIFT ANALYSIS REPORTS\2207-NN-RP-040 8 INCH WHT-3 TO ULRP (@WHT-3)\Rev 0"/>
    <hyperlink ref="E158" r:id="rId105"/>
    <hyperlink ref="E68" r:id="rId106"/>
    <hyperlink ref="E86" r:id="rId107"/>
    <hyperlink ref="E88" r:id="rId108"/>
    <hyperlink ref="E150" r:id="rId109" display="\\npcc.local\fs\Departments\Offshore\Offshore Technical\ConstructionEngineering\ConstructionEnggProjects\PROJECTS\2207\DOCUMENTS\PIPELINE &amp; CABLE\RISER LIFT ANALYSIS REPORTS\2207-NN-RP-042 10 INCH WHT-3 TO ULRP (@WHT-3)\Rev 0"/>
    <hyperlink ref="T21" r:id="rId110"/>
    <hyperlink ref="E204" r:id="rId111"/>
    <hyperlink ref="E70" r:id="rId112"/>
    <hyperlink ref="E90" r:id="rId113"/>
    <hyperlink ref="E92" r:id="rId114"/>
    <hyperlink ref="E77" r:id="rId115"/>
    <hyperlink ref="T204" r:id="rId116"/>
    <hyperlink ref="E79" r:id="rId117"/>
    <hyperlink ref="E134" r:id="rId118"/>
    <hyperlink ref="O152" r:id="rId119"/>
    <hyperlink ref="T152" r:id="rId120"/>
    <hyperlink ref="T84" r:id="rId121"/>
    <hyperlink ref="E156" r:id="rId122"/>
    <hyperlink ref="T150" r:id="rId123"/>
    <hyperlink ref="T147" r:id="rId124"/>
    <hyperlink ref="T80" r:id="rId125"/>
    <hyperlink ref="T82" r:id="rId126"/>
    <hyperlink ref="T73" r:id="rId127"/>
    <hyperlink ref="E75" r:id="rId128"/>
    <hyperlink ref="E161" r:id="rId129"/>
    <hyperlink ref="T143" r:id="rId130"/>
    <hyperlink ref="T158" r:id="rId131"/>
    <hyperlink ref="E135" r:id="rId132"/>
    <hyperlink ref="T141" r:id="rId133"/>
    <hyperlink ref="O145" r:id="rId134"/>
    <hyperlink ref="O150" r:id="rId135" display="TR-UFFDP1-13-03923"/>
    <hyperlink ref="O73" r:id="rId136"/>
    <hyperlink ref="O147" r:id="rId137"/>
    <hyperlink ref="O82" r:id="rId138"/>
    <hyperlink ref="O80" r:id="rId139"/>
    <hyperlink ref="O84" r:id="rId140"/>
    <hyperlink ref="E139" r:id="rId141"/>
    <hyperlink ref="O204" r:id="rId142"/>
    <hyperlink ref="O68" r:id="rId143"/>
    <hyperlink ref="O86" r:id="rId144"/>
    <hyperlink ref="O88" r:id="rId145"/>
    <hyperlink ref="E159" r:id="rId146"/>
    <hyperlink ref="E74" r:id="rId147" display="\\npcc.local\fs\Departments\Offshore\Offshore Technical\ConstructionEngineering\ConstructionEnggProjects\PROJECTS\2207\DOCUMENTS\PIPELINE &amp; CABLE\DAVIT LIFT ANALYSIS\WHT3-ULRP\2207-NN-RP-017 (16 inch)\Rev 1\REPORT"/>
    <hyperlink ref="E81" r:id="rId148" display="\\npcc.local\fs\Departments\Offshore\Offshore Technical\ConstructionEngineering\ConstructionEnggProjects\PROJECTS\2207\DOCUMENTS\PIPELINE &amp; CABLE\DAVIT LIFT ANALYSIS\WHT3-ULRP\2207-NN-RP-021 (8 inch)\Rev 0\REPORT"/>
    <hyperlink ref="E83" r:id="rId149" display="\\npcc.local\fs\Departments\Offshore\Offshore Technical\ConstructionEngineering\ConstructionEnggProjects\PROJECTS\2207\DOCUMENTS\PIPELINE &amp; CABLE\DAVIT LIFT ANALYSIS\WHT3-ULRP\2207-NN-RP-022 (10 inch)\Rev 0\REPORT"/>
    <hyperlink ref="E85" r:id="rId150" display="\\npcc.local\fs\Departments\Offshore\Offshore Technical\ConstructionEngineering\ConstructionEnggProjects\PROJECTS\2207\DOCUMENTS\PIPELINE &amp; CABLE\DAVIT LIFT ANALYSIS\WHT3-ULRP\2207-NN-RP-023 (6 inch)\Rev 0\REPORT"/>
    <hyperlink ref="E133" r:id="rId151"/>
    <hyperlink ref="E157" r:id="rId152"/>
    <hyperlink ref="E153" r:id="rId153" display="\\npcc.local\fs\Departments\Offshore\Offshore Technical\ConstructionEngineering\ConstructionEnggProjects\PROJECTS\2207\DOCUMENTS\PIPELINE &amp; CABLE\RISER LIFT ANALYSIS REPORTS\2207-NN-RP-044 6INCH WHT-3 TO ULRP (@WHT-3)\Rev 0"/>
    <hyperlink ref="E148" r:id="rId154"/>
    <hyperlink ref="E151" r:id="rId155"/>
    <hyperlink ref="E154" r:id="rId156"/>
    <hyperlink ref="E71" r:id="rId157" display="\\npcc.local\fs\Departments\Offshore\Offshore Technical\ConstructionEngineering\ConstructionEnggProjects\PROJECTS\2207\DOCUMENTS\PIPELINE &amp; CABLE\DAVIT LIFT ANALYSIS\WHT2-WHT5\2207-NN-RP-016 16 inch\Rev 0\REPORT"/>
    <hyperlink ref="E69" r:id="rId158" display="\\npcc.local\fs\Departments\Offshore\Offshore Technical\ConstructionEngineering\ConstructionEnggProjects\PROJECTS\2207\DOCUMENTS\PIPELINE &amp; CABLE\DAVIT LIFT ANALYSIS\WHT5-ULRP\2207-NN-RP-015 16 inch\Rev 0\REPORT"/>
    <hyperlink ref="E87" r:id="rId159" display="\\npcc.local\fs\Departments\Offshore\Offshore Technical\ConstructionEngineering\ConstructionEnggProjects\PROJECTS\2207\DOCUMENTS\PIPELINE &amp; CABLE\DAVIT LIFT ANALYSIS\WHT5-ULRP\2207-NN-RP-024 6 inch\REV 0\REPORT"/>
    <hyperlink ref="E93" r:id="rId160" display="\\npcc.local\fs\Departments\Offshore\Offshore Technical\ConstructionEngineering\ConstructionEnggProjects\PROJECTS\2207\DOCUMENTS\PIPELINE &amp; CABLE\DAVIT LIFT ANALYSIS\WHT2-WHT5\2207-NN-RP-027 6 inch\Rev 0\REPORT"/>
    <hyperlink ref="E91" r:id="rId161" display="\\npcc.local\fs\Departments\Offshore\Offshore Technical\ConstructionEngineering\ConstructionEnggProjects\PROJECTS\2207\DOCUMENTS\PIPELINE &amp; CABLE\DAVIT LIFT ANALYSIS\WHT2-WHT5\2207-NN-RP-026 10 inch\Rev 0\REPORT"/>
    <hyperlink ref="E89" r:id="rId162" display="\\npcc.local\fs\Departments\Offshore\Offshore Technical\ConstructionEngineering\ConstructionEnggProjects\PROJECTS\2207\DOCUMENTS\PIPELINE &amp; CABLE\DAVIT LIFT ANALYSIS\WHT5-ULRP\2207-NN-RP-025 10 inch\Rev 0\REPORT"/>
    <hyperlink ref="O141" r:id="rId163"/>
    <hyperlink ref="O158" r:id="rId164"/>
    <hyperlink ref="O156" r:id="rId165"/>
    <hyperlink ref="O77" r:id="rId166"/>
    <hyperlink ref="O70" r:id="rId167"/>
    <hyperlink ref="O90" r:id="rId168"/>
    <hyperlink ref="O92" r:id="rId169"/>
    <hyperlink ref="O75" r:id="rId170"/>
    <hyperlink ref="O161" r:id="rId171"/>
    <hyperlink ref="O135" r:id="rId172"/>
    <hyperlink ref="O74" r:id="rId173"/>
    <hyperlink ref="O81" r:id="rId174"/>
    <hyperlink ref="O83" r:id="rId175"/>
    <hyperlink ref="O85" r:id="rId176"/>
    <hyperlink ref="O159" r:id="rId177"/>
    <hyperlink ref="O139" r:id="rId178"/>
    <hyperlink ref="O148" r:id="rId179"/>
    <hyperlink ref="O153" r:id="rId180"/>
    <hyperlink ref="O151" r:id="rId181"/>
    <hyperlink ref="O154" r:id="rId182"/>
    <hyperlink ref="O87" r:id="rId183"/>
    <hyperlink ref="O93" r:id="rId184"/>
    <hyperlink ref="O71" r:id="rId185"/>
    <hyperlink ref="O69" r:id="rId186"/>
    <hyperlink ref="O89" r:id="rId187"/>
    <hyperlink ref="O91" r:id="rId188"/>
    <hyperlink ref="T145" r:id="rId189"/>
    <hyperlink ref="T156" r:id="rId190"/>
    <hyperlink ref="T161" r:id="rId191"/>
    <hyperlink ref="T159" r:id="rId192"/>
    <hyperlink ref="T153" r:id="rId193"/>
    <hyperlink ref="T134" r:id="rId194"/>
    <hyperlink ref="T135" r:id="rId195"/>
    <hyperlink ref="T139" r:id="rId196"/>
    <hyperlink ref="T148" r:id="rId197"/>
    <hyperlink ref="T151" r:id="rId198"/>
    <hyperlink ref="T70" r:id="rId199"/>
    <hyperlink ref="T77" r:id="rId200"/>
    <hyperlink ref="T90" r:id="rId201"/>
    <hyperlink ref="T92" r:id="rId202"/>
    <hyperlink ref="T79" r:id="rId203"/>
    <hyperlink ref="T75" r:id="rId204"/>
    <hyperlink ref="T74" r:id="rId205"/>
    <hyperlink ref="T81" r:id="rId206"/>
    <hyperlink ref="T83" r:id="rId207"/>
    <hyperlink ref="T85" r:id="rId208"/>
    <hyperlink ref="T71" r:id="rId209"/>
    <hyperlink ref="T93" r:id="rId210"/>
    <hyperlink ref="T91" r:id="rId211"/>
    <hyperlink ref="T87" r:id="rId212"/>
    <hyperlink ref="T89" r:id="rId213"/>
    <hyperlink ref="T69" r:id="rId214"/>
    <hyperlink ref="T154" r:id="rId215"/>
    <hyperlink ref="T133" r:id="rId216"/>
    <hyperlink ref="T157" r:id="rId217"/>
    <hyperlink ref="E155" r:id="rId218"/>
    <hyperlink ref="O155" r:id="rId219"/>
    <hyperlink ref="E140" r:id="rId220"/>
    <hyperlink ref="E162" r:id="rId221"/>
    <hyperlink ref="T155" r:id="rId222"/>
    <hyperlink ref="E142" r:id="rId223"/>
    <hyperlink ref="T140" r:id="rId224"/>
    <hyperlink ref="O79" r:id="rId225"/>
    <hyperlink ref="O134" r:id="rId226"/>
    <hyperlink ref="O140" r:id="rId227"/>
    <hyperlink ref="O133" r:id="rId228"/>
    <hyperlink ref="O157" r:id="rId229"/>
    <hyperlink ref="E144" r:id="rId230"/>
    <hyperlink ref="O143" r:id="rId231"/>
    <hyperlink ref="E76" r:id="rId232" display="\\npcc.local\fs\Departments\Offshore\Offshore Technical\ConstructionEngineering\ConstructionEnggProjects\PROJECTS\2207\DOCUMENTS\PIPELINE &amp; CABLE\DAVIT LIFT ANALYSIS\WHT1-WHT3\2207-NN-RP-018 16 inch\Rev 0\REPORT"/>
    <hyperlink ref="E78" r:id="rId233" display="\\npcc.local\fs\Departments\Offshore\Offshore Technical\ConstructionEngineering\ConstructionEnggProjects\PROJECTS\2207\DOCUMENTS\PIPELINE &amp; CABLE\DAVIT LIFT ANALYSIS\WHT1-WHT3\2207-NN-RP-019 10 inch\Rev 0\REPORT"/>
    <hyperlink ref="E136" r:id="rId234"/>
    <hyperlink ref="O142" r:id="rId235"/>
    <hyperlink ref="O162" r:id="rId236"/>
    <hyperlink ref="E160" r:id="rId237"/>
    <hyperlink ref="O144" r:id="rId238"/>
    <hyperlink ref="O76" r:id="rId239"/>
    <hyperlink ref="O78" r:id="rId240"/>
    <hyperlink ref="O136" r:id="rId241"/>
    <hyperlink ref="T76" r:id="rId242"/>
    <hyperlink ref="T78" r:id="rId243"/>
    <hyperlink ref="O160" r:id="rId244"/>
    <hyperlink ref="T144" r:id="rId245"/>
    <hyperlink ref="T142" r:id="rId246"/>
    <hyperlink ref="T162" r:id="rId247"/>
    <hyperlink ref="T160" r:id="rId248"/>
    <hyperlink ref="T136" r:id="rId249"/>
    <hyperlink ref="E217" r:id="rId250"/>
    <hyperlink ref="E218" r:id="rId251"/>
    <hyperlink ref="T218" r:id="rId252"/>
    <hyperlink ref="O218" r:id="rId253"/>
    <hyperlink ref="T9" r:id="rId254"/>
    <hyperlink ref="O9" r:id="rId255" display="TR-UFFDPI-13-02476"/>
    <hyperlink ref="E9" r:id="rId256"/>
    <hyperlink ref="E58" r:id="rId257"/>
    <hyperlink ref="E11" r:id="rId258"/>
    <hyperlink ref="T11" r:id="rId259"/>
    <hyperlink ref="T58" r:id="rId260"/>
    <hyperlink ref="E41" r:id="rId261"/>
    <hyperlink ref="O11" r:id="rId262"/>
    <hyperlink ref="E171" r:id="rId263"/>
    <hyperlink ref="E169" r:id="rId264"/>
    <hyperlink ref="E167" r:id="rId265"/>
    <hyperlink ref="E179" r:id="rId266"/>
    <hyperlink ref="T41" r:id="rId267"/>
    <hyperlink ref="E173" r:id="rId268"/>
    <hyperlink ref="O41" r:id="rId269"/>
    <hyperlink ref="O169" r:id="rId270"/>
    <hyperlink ref="O171" r:id="rId271"/>
    <hyperlink ref="T173" r:id="rId272"/>
    <hyperlink ref="E59" r:id="rId273" display="\\npcc.local\fs\Departments\Offshore\Offshore Technical\ConstructionEngineering\ConstructionEnggProjects\PROJECTS\2207CAMPAING II\DOCUMENTS\PIPELINE AND CABLE\PIPELAY ANALYSIS\WHT-4 TO WHT-6\2207-NN-RP-111 10INCH\REPORT\Rev 0"/>
    <hyperlink ref="E61" r:id="rId274"/>
    <hyperlink ref="T167" r:id="rId275"/>
    <hyperlink ref="T169" r:id="rId276"/>
    <hyperlink ref="T171" r:id="rId277"/>
    <hyperlink ref="T179" r:id="rId278"/>
    <hyperlink ref="O167" r:id="rId279"/>
    <hyperlink ref="O179" r:id="rId280"/>
    <hyperlink ref="O173" r:id="rId281"/>
    <hyperlink ref="E42" r:id="rId282" display="\\npcc.local\fs\Departments\Offshore\Offshore Technical\ConstructionEngineering\ConstructionEnggProjects\PROJECTS\2207CAMPAING II\DOCUMENTS\PIPELINE AND CABLE\PIPELAY ANALYSIS\ULRP-WHT-7\2207-NN-RP-102 16INCH\Rev 0\REPORT"/>
    <hyperlink ref="O59" r:id="rId283"/>
    <hyperlink ref="O61" r:id="rId284"/>
    <hyperlink ref="O58" r:id="rId285"/>
    <hyperlink ref="O42" r:id="rId286"/>
    <hyperlink ref="E39" r:id="rId287"/>
    <hyperlink ref="E62" r:id="rId288" display="\\npcc.local\fs\Departments\Offshore\Offshore Technical\ConstructionEngineering\ConstructionEnggProjects\PROJECTS\2207CAMPAING II\DOCUMENTS\PIPELINE AND CABLE\PIPELAY ANALYSIS\WHT-4 TO WHT-6\2207-NN-RP-112 6INCH\REPORT\Rev 0"/>
    <hyperlink ref="E166" r:id="rId289"/>
    <hyperlink ref="E60" r:id="rId290" display="\\npcc.local\fs\Departments\Offshore\Offshore Technical\ConstructionEngineering\ConstructionEnggProjects\PROJECTS\2207CAMPAING II\DOCUMENTS\PIPELINE AND CABLE\PIPELAY ANALYSIS\WHT-4 TO WHT-6\2207-NN-RP-111 10INCH\REPORT\Rev 1"/>
    <hyperlink ref="E56" r:id="rId291"/>
    <hyperlink ref="O60" r:id="rId292"/>
    <hyperlink ref="E49" r:id="rId293"/>
    <hyperlink ref="O62" r:id="rId294"/>
    <hyperlink ref="O166" r:id="rId295"/>
    <hyperlink ref="T42" r:id="rId296"/>
    <hyperlink ref="E205" r:id="rId297"/>
    <hyperlink ref="T39" r:id="rId298"/>
    <hyperlink ref="T205" r:id="rId299"/>
    <hyperlink ref="O39" r:id="rId300"/>
    <hyperlink ref="E51" r:id="rId301"/>
    <hyperlink ref="O56" r:id="rId302"/>
    <hyperlink ref="O49" r:id="rId303"/>
    <hyperlink ref="E207" r:id="rId304"/>
    <hyperlink ref="E47" r:id="rId305"/>
    <hyperlink ref="E43" r:id="rId306"/>
    <hyperlink ref="O51" r:id="rId307"/>
    <hyperlink ref="E50" r:id="rId308" display="\\npcc.local\fs\Departments\Offshore\Offshore Technical\ConstructionEngineering\ConstructionEnggProjects\PROJECTS\2207CAMPAING II\DOCUMENTS\PIPELINE AND CABLE\PIPELAY ANALYSIS\ULRP-WHT-7\2207-NN-RP-106 6INCH\REPORT\Rev 0"/>
    <hyperlink ref="T207" r:id="rId309"/>
    <hyperlink ref="E45" r:id="rId310"/>
    <hyperlink ref="E52" r:id="rId311"/>
    <hyperlink ref="T62" r:id="rId312"/>
    <hyperlink ref="O47" r:id="rId313"/>
    <hyperlink ref="O205" r:id="rId314"/>
    <hyperlink ref="O50" r:id="rId315"/>
    <hyperlink ref="T43" r:id="rId316"/>
    <hyperlink ref="E48" r:id="rId317" display="\\npcc.local\fs\Departments\Offshore\Offshore Technical\ConstructionEngineering\ConstructionEnggProjects\PROJECTS\2207CAMPAING II\DOCUMENTS\PIPELINE AND CABLE\PIPELAY ANALYSIS\WHT7-WHT8\2207-NN-RP-105 6INCH\REPORT\Rev 0"/>
    <hyperlink ref="T51" r:id="rId318"/>
    <hyperlink ref="T50" r:id="rId319"/>
    <hyperlink ref="O43" r:id="rId320"/>
    <hyperlink ref="O207" r:id="rId321"/>
    <hyperlink ref="T47" r:id="rId322"/>
    <hyperlink ref="T56" r:id="rId323"/>
    <hyperlink ref="E54" r:id="rId324"/>
    <hyperlink ref="E208" r:id="rId325" display="\\npcc.local\fs\Departments\Offshore\Offshore Technical\ConstructionEngineering\ConstructionEnggProjects\PROJECTS\2207CAMPAING II\DOCUMENTS\PIPELINE AND CABLE\SEAFASTENING DESIGN REPORTS\2207-NN-RP-154 CC PIPES GOGAS-250\Rev 0"/>
    <hyperlink ref="E206" r:id="rId326" display="\\npcc.local\fs\Departments\Offshore\Offshore Technical\ConstructionEngineering\ConstructionEnggProjects\PROJECTS\2207CAMPAING II\DOCUMENTS\PIPELINE AND CABLE\SEAFASTENING DESIGN REPORTS\2207-NN-RP-153 CC PIPES ON AWALCO-1\Rev 0"/>
    <hyperlink ref="E44" r:id="rId327" display="\\npcc.local\fs\Departments\Offshore\Offshore Technical\ConstructionEngineering\ConstructionEnggProjects\PROJECTS\2207CAMPAING II\DOCUMENTS\PIPELINE AND CABLE\PIPELAY ANALYSIS\WHT7-WHT8\2207-NN-RP-103 16INCH\REPORT\Rev 0"/>
    <hyperlink ref="T52" r:id="rId328"/>
    <hyperlink ref="T45" r:id="rId329"/>
    <hyperlink ref="O45" r:id="rId330"/>
    <hyperlink ref="O52" r:id="rId331"/>
    <hyperlink ref="O48" r:id="rId332"/>
    <hyperlink ref="O54" r:id="rId333"/>
    <hyperlink ref="E40" r:id="rId334" display="\\npcc.local\fs\Departments\Offshore\Offshore Technical\ConstructionEngineering\ConstructionEnggProjects\PROJECTS\2207CAMPAING II\DOCUMENTS\PIPELINE AND CABLE\PIPELAY ANALYSIS\WHT6-ULRP\2207-NN-RP-101 18INCH\REPORT\Rev 0"/>
    <hyperlink ref="E46" r:id="rId335" display="\\npcc.local\fs\Departments\Offshore\Offshore Technical\ConstructionEngineering\ConstructionEnggProjects\PROJECTS\2207CAMPAING II\DOCUMENTS\PIPELINE AND CABLE\PIPELAY ANALYSIS\WHT7-WHT8\2207-NN-RP-104 10 INCH\REPORT\REV 0"/>
    <hyperlink ref="O44" r:id="rId336"/>
    <hyperlink ref="E55" r:id="rId337" display="\\npcc.local\fs\Departments\Offshore\Offshore Technical\ConstructionEngineering\ConstructionEnggProjects\PROJECTS\2207CAMPAING II\DOCUMENTS\PIPELINE AND CABLE\PIPELAY ANALYSIS\WHT6-ULRP\2207-NN-RP-109 8INCH\REPORT\Rev 0"/>
    <hyperlink ref="E57" r:id="rId338" display="\\npcc.local\fs\Departments\Offshore\Offshore Technical\ConstructionEngineering\ConstructionEnggProjects\PROJECTS\2207CAMPAING II\DOCUMENTS\PIPELINE AND CABLE\PIPELAY ANALYSIS\WHT6-ULRP\2207-NN-RP-110 6INCH\REPORT\Rev 0"/>
    <hyperlink ref="O206" r:id="rId339"/>
    <hyperlink ref="O208" r:id="rId340"/>
    <hyperlink ref="O46" r:id="rId341"/>
    <hyperlink ref="O40" r:id="rId342"/>
    <hyperlink ref="E53" r:id="rId343" display="\\npcc.local\fs\Departments\Offshore\Offshore Technical\ConstructionEngineering\ConstructionEnggProjects\PROJECTS\2207CAMPAING II\DOCUMENTS\PIPELINE AND CABLE\PIPELAY ANALYSIS\WHT6-ULRP\2207-NN-RP-108 10 INCH\01 REPORT\Rev 0"/>
    <hyperlink ref="O55" r:id="rId344"/>
    <hyperlink ref="O53" r:id="rId345"/>
    <hyperlink ref="O57" r:id="rId346"/>
    <hyperlink ref="E209" r:id="rId347"/>
    <hyperlink ref="E106" r:id="rId348"/>
    <hyperlink ref="E100" r:id="rId349"/>
    <hyperlink ref="E103" r:id="rId350"/>
    <hyperlink ref="E63" r:id="rId351"/>
    <hyperlink ref="E174" r:id="rId352"/>
    <hyperlink ref="E180" r:id="rId353"/>
    <hyperlink ref="T209" r:id="rId354"/>
    <hyperlink ref="E172" r:id="rId355"/>
    <hyperlink ref="E107" r:id="rId356" display="\\npcc.local\fs\Departments\Offshore\Offshore Technical\ConstructionEngineering\ConstructionEnggProjects\PROJECTS\2207CAMPAING II\DOCUMENTS\PIPELINE AND CABLE\DAVIT LIFT ANALYSIS\WHT7 to WHT8\2207-NN-RP-119 6in davit lift\Rev 0\01 Report"/>
    <hyperlink ref="E104" r:id="rId357" display="\\npcc.local\fs\Departments\Offshore\Offshore Technical\ConstructionEngineering\ConstructionEnggProjects\PROJECTS\2207CAMPAING II\DOCUMENTS\PIPELINE AND CABLE\DAVIT LIFT ANALYSIS\WHT7 to WHT8\2207-NN-RP-118 10 inch\Rev 0\01 Report"/>
    <hyperlink ref="E101" r:id="rId358" display="\\npcc.local\fs\Departments\Offshore\Offshore Technical\ConstructionEngineering\ConstructionEnggProjects\PROJECTS\2207CAMPAING II\DOCUMENTS\PIPELINE AND CABLE\DAVIT LIFT ANALYSIS\WHT7 to WHT8\2207-NN-RP-117 16 inch\Rev 0\01 Report"/>
    <hyperlink ref="E170" r:id="rId359"/>
    <hyperlink ref="T100" r:id="rId360"/>
    <hyperlink ref="T103" r:id="rId361"/>
    <hyperlink ref="T106" r:id="rId362"/>
    <hyperlink ref="E64" r:id="rId363" display="\\npcc.local\fs\Departments\Offshore\Offshore Technical\ConstructionEngineering\ConstructionEnggProjects\PROJECTS\2207CAMPAING II\DOCUMENTS\PIPELINE AND CABLE\PIPELAY ANALYSIS\2207-NN-RP-113 20 inch MOL\Rev 0\REPORT"/>
    <hyperlink ref="O63" r:id="rId364"/>
    <hyperlink ref="E168" r:id="rId365"/>
    <hyperlink ref="O100" r:id="rId366"/>
    <hyperlink ref="O103" r:id="rId367"/>
    <hyperlink ref="O106" r:id="rId368"/>
    <hyperlink ref="O174" r:id="rId369"/>
    <hyperlink ref="O180" r:id="rId370"/>
    <hyperlink ref="E98" r:id="rId371"/>
    <hyperlink ref="E111" r:id="rId372"/>
    <hyperlink ref="E109" r:id="rId373"/>
    <hyperlink ref="E182" r:id="rId374"/>
    <hyperlink ref="E219" r:id="rId375"/>
    <hyperlink ref="O172" r:id="rId376"/>
    <hyperlink ref="O101" r:id="rId377"/>
    <hyperlink ref="O104" r:id="rId378"/>
    <hyperlink ref="O107" r:id="rId379"/>
    <hyperlink ref="O170" r:id="rId380"/>
    <hyperlink ref="T64" r:id="rId381" display="GM-60295-0744"/>
    <hyperlink ref="E177" r:id="rId382"/>
    <hyperlink ref="E183" r:id="rId383"/>
    <hyperlink ref="O64" r:id="rId384"/>
    <hyperlink ref="O168" r:id="rId385"/>
    <hyperlink ref="O182" r:id="rId386"/>
    <hyperlink ref="O98" r:id="rId387"/>
    <hyperlink ref="O109" r:id="rId388"/>
    <hyperlink ref="O111" r:id="rId389"/>
    <hyperlink ref="E112" r:id="rId390" display="\\npcc.local\fs\Departments\Offshore\Offshore Technical\ConstructionEngineering\ConstructionEnggProjects\PROJECTS\2207CAMPAING II\DOCUMENTS\PIPELINE AND CABLE\DAVIT LIFT ANALYSIS\ULRP to WHT7\2207-NN-RP-121 10 inch\Rev 0\01 Report"/>
    <hyperlink ref="E110" r:id="rId391" display="\\npcc.local\fs\Departments\Offshore\Offshore Technical\ConstructionEngineering\ConstructionEnggProjects\PROJECTS\2207CAMPAING II\DOCUMENTS\PIPELINE AND CABLE\DAVIT LIFT ANALYSIS\ULRP to WHT7\2207-NN-RP-120 6 inch\Rev 0\01 Report"/>
    <hyperlink ref="E99" r:id="rId392" display="\\npcc.local\fs\Departments\Offshore\Offshore Technical\ConstructionEngineering\ConstructionEnggProjects\PROJECTS\2207CAMPAING II\DOCUMENTS\PIPELINE AND CABLE\DAVIT LIFT ANALYSIS\ULRP to WHT7\2207-NN-RP-116 16 inch\Rev 0\01 Report"/>
    <hyperlink ref="E94" r:id="rId393"/>
    <hyperlink ref="E113" r:id="rId394"/>
    <hyperlink ref="E117" r:id="rId395"/>
    <hyperlink ref="E121" r:id="rId396"/>
    <hyperlink ref="O219" r:id="rId397"/>
    <hyperlink ref="E128" r:id="rId398"/>
    <hyperlink ref="E124" r:id="rId399"/>
    <hyperlink ref="E185" r:id="rId400"/>
    <hyperlink ref="O183" r:id="rId401"/>
    <hyperlink ref="E181" r:id="rId402"/>
    <hyperlink ref="E175" r:id="rId403"/>
    <hyperlink ref="E220" r:id="rId404"/>
    <hyperlink ref="E65" r:id="rId405" display="\\npcc.local\fs\Departments\Offshore\Offshore Technical\ConstructionEngineering\ConstructionEnggProjects\PROJECTS\2207CAMPAING II\DOCUMENTS\PIPELINE AND CABLE\PIPELAY ANALYSIS\2207-NN-RP-113 20 inch MOL\Rev 1\REPORT"/>
    <hyperlink ref="O177" r:id="rId406"/>
    <hyperlink ref="E191" r:id="rId407"/>
    <hyperlink ref="E165" r:id="rId408"/>
    <hyperlink ref="O99" r:id="rId409"/>
    <hyperlink ref="O110" r:id="rId410"/>
    <hyperlink ref="O112" r:id="rId411"/>
    <hyperlink ref="E194" r:id="rId412"/>
    <hyperlink ref="E186" r:id="rId413"/>
    <hyperlink ref="O220" r:id="rId414"/>
    <hyperlink ref="O175" r:id="rId415"/>
    <hyperlink ref="T165" r:id="rId416"/>
    <hyperlink ref="T166" r:id="rId417"/>
    <hyperlink ref="T168" r:id="rId418"/>
    <hyperlink ref="T170" r:id="rId419"/>
    <hyperlink ref="T172" r:id="rId420"/>
    <hyperlink ref="T174" r:id="rId421"/>
    <hyperlink ref="T175" r:id="rId422"/>
    <hyperlink ref="T177" r:id="rId423"/>
    <hyperlink ref="T180" r:id="rId424"/>
    <hyperlink ref="T181" r:id="rId425"/>
    <hyperlink ref="T182" r:id="rId426"/>
    <hyperlink ref="T183" r:id="rId427"/>
    <hyperlink ref="T185" r:id="rId428"/>
    <hyperlink ref="T65" r:id="rId429"/>
    <hyperlink ref="T94" r:id="rId430"/>
    <hyperlink ref="T99" r:id="rId431"/>
    <hyperlink ref="T101" r:id="rId432"/>
    <hyperlink ref="T104" r:id="rId433"/>
    <hyperlink ref="T107" r:id="rId434"/>
    <hyperlink ref="T110" r:id="rId435"/>
    <hyperlink ref="T128" r:id="rId436"/>
    <hyperlink ref="T124" r:id="rId437"/>
    <hyperlink ref="T121" r:id="rId438"/>
    <hyperlink ref="T117" r:id="rId439"/>
    <hyperlink ref="T113" r:id="rId440"/>
    <hyperlink ref="O185" r:id="rId441"/>
    <hyperlink ref="O181" r:id="rId442"/>
    <hyperlink ref="O94" r:id="rId443"/>
    <hyperlink ref="O113" r:id="rId444"/>
    <hyperlink ref="O117" r:id="rId445"/>
    <hyperlink ref="O121" r:id="rId446"/>
    <hyperlink ref="E95" r:id="rId447" display="\\npcc.local\fs\Departments\Offshore\Offshore Technical\ConstructionEngineering\ConstructionEnggProjects\PROJECTS\2207CAMPAING II\DOCUMENTS\PIPELINE AND CABLE\DAVIT LIFT ANALYSIS\WHT-6 to ULRP\2207-NN-RP-115 18 inch\Rev 0\01 Report"/>
    <hyperlink ref="E114" r:id="rId448" display="\\npcc.local\fs\Departments\Offshore\Offshore Technical\ConstructionEngineering\ConstructionEnggProjects\PROJECTS\2207CAMPAING II\DOCUMENTS\PIPELINE AND CABLE\DAVIT LIFT ANALYSIS\WHT-6 to ULRP\2207-NN-RP-122 10 inch\Rev 0\01 Report"/>
    <hyperlink ref="E118" r:id="rId449" display="\\npcc.local\fs\Departments\Offshore\Offshore Technical\ConstructionEngineering\ConstructionEnggProjects\PROJECTS\2207CAMPAING II\DOCUMENTS\PIPELINE AND CABLE\DAVIT LIFT ANALYSIS\WHT-6 to ULRP\2207-NN-RP-123 8 inch\Rev 0\Report"/>
    <hyperlink ref="E122" r:id="rId450" display="\\npcc.local\fs\Departments\Offshore\Offshore Technical\ConstructionEngineering\ConstructionEnggProjects\PROJECTS\2207CAMPAING II\DOCUMENTS\PIPELINE AND CABLE\DAVIT LIFT ANALYSIS\WHT-6 to ULRP\2207-NN-RP-124 6 inch\Rev 0\01 Report"/>
    <hyperlink ref="E214" r:id="rId451"/>
    <hyperlink ref="E102" r:id="rId452" display="\\npcc.local\fs\Departments\Offshore\Offshore Technical\ConstructionEngineering\ConstructionEnggProjects\PROJECTS\2207CAMPAING II\DOCUMENTS\PIPELINE AND CABLE\DAVIT LIFT ANALYSIS\WHT7 to WHT8\2207-NN-RP-117 16 inch\Rev 1\01 Report"/>
    <hyperlink ref="E105" r:id="rId453" display="\\npcc.local\fs\Departments\Offshore\Offshore Technical\ConstructionEngineering\ConstructionEnggProjects\PROJECTS\2207CAMPAING II\DOCUMENTS\PIPELINE AND CABLE\DAVIT LIFT ANALYSIS\WHT7 to WHT8\2207-NN-RP-118 10 inch\Rev 1\01 Report"/>
    <hyperlink ref="E108" r:id="rId454" display="\\npcc.local\fs\Departments\Offshore\Offshore Technical\ConstructionEngineering\ConstructionEnggProjects\PROJECTS\2207CAMPAING II\DOCUMENTS\PIPELINE AND CABLE\DAVIT LIFT ANALYSIS\WHT7 to WHT8\2207-NN-RP-119 6in\Rev 1\01 Report"/>
    <hyperlink ref="E131" r:id="rId455"/>
    <hyperlink ref="T186" r:id="rId456"/>
    <hyperlink ref="T191" r:id="rId457"/>
    <hyperlink ref="T194" r:id="rId458"/>
    <hyperlink ref="O128" r:id="rId459"/>
    <hyperlink ref="O124" r:id="rId460"/>
    <hyperlink ref="O194" r:id="rId461"/>
    <hyperlink ref="O191" r:id="rId462"/>
    <hyperlink ref="O186" r:id="rId463"/>
    <hyperlink ref="O165" r:id="rId464"/>
    <hyperlink ref="O65" r:id="rId465"/>
    <hyperlink ref="O102" r:id="rId466" display="Approved as per email from Yahia"/>
    <hyperlink ref="O105" r:id="rId467" display="Approved as per email from Yahia"/>
    <hyperlink ref="O108" r:id="rId468" display="Approved as per email from Yahia"/>
    <hyperlink ref="E132" r:id="rId469" display="\\npcc.local\fs\Departments\Offshore\Offshore Technical\ConstructionEngineering\ConstructionEnggProjects\PROJECTS\2207CAMPAING II\DOCUMENTS\PIPELINE AND CABLE\DAVIT LIFT ANALYSIS\20 Inch MOL\2207-NN-RP-127\REV 0\Report"/>
    <hyperlink ref="E201" r:id="rId470"/>
    <hyperlink ref="E198" r:id="rId471"/>
    <hyperlink ref="E197" r:id="rId472"/>
    <hyperlink ref="E221" r:id="rId473"/>
    <hyperlink ref="T112" r:id="rId474"/>
    <hyperlink ref="T214" r:id="rId475"/>
    <hyperlink ref="O95" r:id="rId476"/>
    <hyperlink ref="O114" r:id="rId477"/>
    <hyperlink ref="O118" r:id="rId478"/>
    <hyperlink ref="O122" r:id="rId479"/>
    <hyperlink ref="O201" r:id="rId480"/>
    <hyperlink ref="O221" r:id="rId481"/>
    <hyperlink ref="O131" r:id="rId482"/>
    <hyperlink ref="O197" r:id="rId483"/>
    <hyperlink ref="O198" r:id="rId484"/>
    <hyperlink ref="O132" r:id="rId485"/>
    <hyperlink ref="T201" r:id="rId486"/>
    <hyperlink ref="T132" r:id="rId487"/>
    <hyperlink ref="T197" r:id="rId488"/>
    <hyperlink ref="T198" r:id="rId489"/>
    <hyperlink ref="O209" r:id="rId490"/>
    <hyperlink ref="O214" r:id="rId491"/>
    <hyperlink ref="E66" r:id="rId492"/>
    <hyperlink ref="T66" r:id="rId493"/>
    <hyperlink ref="O66" r:id="rId494"/>
    <hyperlink ref="E125" r:id="rId495" display="\\npcc.local\fs\Departments\Offshore\Offshore Technical\ConstructionEngineering\ConstructionEnggProjects\PROJECTS\2207CAMPAING II\DOCUMENTS\PIPELINE AND CABLE\DAVIT LIFT ANALYSIS\WHT-6 to WHT-4\2207-NN-RP-125 10 inch\Rev 0\01 Report"/>
    <hyperlink ref="E67" r:id="rId496" display="\\npcc.local\fs\Departments\Offshore\Offshore Technical\ConstructionEngineering\ConstructionEnggProjects\PROJECTS\2207CAMPAING II\DOCUMENTS\PIPELINE AND CABLE\PIPELAY ANALYSIS\2207-NN-RP-114 NEW 20 inch MOL\REPORT\Rev 0"/>
    <hyperlink ref="T118" r:id="rId497"/>
    <hyperlink ref="T122" r:id="rId498"/>
    <hyperlink ref="T95" r:id="rId499"/>
    <hyperlink ref="T102" r:id="rId500"/>
    <hyperlink ref="T105" r:id="rId501"/>
    <hyperlink ref="T108" r:id="rId502"/>
    <hyperlink ref="T114" r:id="rId503"/>
    <hyperlink ref="T46" r:id="rId504"/>
    <hyperlink ref="T44" r:id="rId505"/>
    <hyperlink ref="T40" r:id="rId506"/>
    <hyperlink ref="T55" r:id="rId507"/>
    <hyperlink ref="T53" r:id="rId508"/>
    <hyperlink ref="T48" r:id="rId509"/>
    <hyperlink ref="T206" r:id="rId510"/>
    <hyperlink ref="T208" r:id="rId511"/>
    <hyperlink ref="T219" r:id="rId512"/>
    <hyperlink ref="T220" r:id="rId513"/>
    <hyperlink ref="T57" r:id="rId514"/>
    <hyperlink ref="T60" r:id="rId515"/>
    <hyperlink ref="E222" r:id="rId516"/>
    <hyperlink ref="O222" r:id="rId517"/>
    <hyperlink ref="E12" r:id="rId518" display="\\npcc.local\fs\Departments\Offshore\Offshore Technical\ConstructionEngineering\ConstructionEnggProjects\PROJECTS\2207CAMPAING II\DOCUMENTS\PIPELINE AND CABLE\2207-NN-RP-100 PIPE STACKING CAMPAIGN-2\REPORT\Rev 0"/>
    <hyperlink ref="T125" r:id="rId519"/>
    <hyperlink ref="E223" r:id="rId520" display="\\npcc.local\fs\Departments\Offshore\Offshore Technical\ConstructionEngineering\ConstructionEnggProjects\PROJECTS\2207CAMPAING II\DOCUMENTS\PIPELINE AND CABLE\LIFTING WITH AIRBAGS\2207-NN-RP-162\Rev-0"/>
    <hyperlink ref="E224" r:id="rId521"/>
    <hyperlink ref="O223" r:id="rId522"/>
    <hyperlink ref="O12" r:id="rId523"/>
    <hyperlink ref="O224" r:id="rId524"/>
    <hyperlink ref="T224" r:id="rId525"/>
    <hyperlink ref="T12" r:id="rId526"/>
    <hyperlink ref="T223" r:id="rId527"/>
    <hyperlink ref="T222" r:id="rId528"/>
    <hyperlink ref="E225" r:id="rId529" display="\\npcc.local\fs\Departments\Offshore\Offshore Technical\ConstructionEngineering\ConstructionEnggProjects\PROJECTS\2207CAMPAING II\DOCUMENTS\PIPELINE AND CABLE\LIFTING WITH AIRBAGS\2207-NN-RP-163\Rev 0"/>
    <hyperlink ref="O176" r:id="rId530" display="TR-UFFDP1-13-06116"/>
    <hyperlink ref="O178" r:id="rId531" display="TR-UFFDP1-13-06045"/>
    <hyperlink ref="O184" r:id="rId532" display="TR-UFFDP1-13-06034"/>
    <hyperlink ref="O125" r:id="rId533"/>
    <hyperlink ref="O67" r:id="rId534"/>
    <hyperlink ref="O225" r:id="rId535"/>
    <hyperlink ref="T225" r:id="rId536"/>
    <hyperlink ref="E226" r:id="rId537" display="\\npcc.local\fs\Departments\Offshore\Offshore Technical\ConstructionEngineering\ConstructionEnggProjects\PROJECTS\2207CAMPAING II\DOCUMENTS\PIPELINE AND CABLE\LIFTING WITH AIRBAGS\2207-NN-RP-163\Rev 1\Report"/>
    <hyperlink ref="T226" r:id="rId538"/>
    <hyperlink ref="E129" r:id="rId539" display="\\npcc.local\fs\Departments\Offshore\Offshore Technical\ConstructionEngineering\ConstructionEnggProjects\PROJECTS\2207CAMPAING II\DOCUMENTS\PIPELINE AND CABLE\DAVIT LIFT ANALYSIS\WHT-6 to WHT-4\2207-NN-RP-126 6 inch\Rev 0\01 Report"/>
    <hyperlink ref="E126" r:id="rId540" display="\\npcc.local\fs\Departments\Offshore\Offshore Technical\ConstructionEngineering\ConstructionEnggProjects\PROJECTS\2207CAMPAING II\DOCUMENTS\PIPELINE AND CABLE\DAVIT LIFT ANALYSIS\WHT-6 to WHT-4\2207-NN-RP-125 10 inch\Rev 1\Report"/>
    <hyperlink ref="E163" r:id="rId541"/>
    <hyperlink ref="T227" r:id="rId542" display="GM-60295-0934"/>
    <hyperlink ref="E195" r:id="rId543"/>
    <hyperlink ref="E96" r:id="rId544" display="\\npcc.local\fs\Departments\Offshore\Offshore Technical\ConstructionEngineering\ConstructionEnggProjects\PROJECTS\2207CAMPAING II\DOCUMENTS\PIPELINE AND CABLE\DAVIT LIFT ANALYSIS\WHT-6 to ULRP\2207-NN-RP-115 18 inch\Rev 1\01 Report"/>
    <hyperlink ref="E119" r:id="rId545" display="\\npcc.local\fs\Departments\Offshore\Offshore Technical\ConstructionEngineering\ConstructionEnggProjects\PROJECTS\2207CAMPAING II\DOCUMENTS\PIPELINE AND CABLE\DAVIT LIFT ANALYSIS\WHT-6 to ULRP\2207-NN-RP-123 8 inch\Rev 1\Report"/>
    <hyperlink ref="E123" r:id="rId546" display="\\npcc.local\fs\Departments\Offshore\Offshore Technical\ConstructionEngineering\ConstructionEnggProjects\PROJECTS\2207CAMPAING II\DOCUMENTS\PIPELINE AND CABLE\DAVIT LIFT ANALYSIS\WHT-6 to ULRP\2207-NN-RP-124 6 inch\Rev 1\Report"/>
    <hyperlink ref="E115" r:id="rId547" display="\\npcc.local\fs\Departments\Offshore\Offshore Technical\ConstructionEngineering\ConstructionEnggProjects\PROJECTS\2207CAMPAING II\DOCUMENTS\PIPELINE AND CABLE\DAVIT LIFT ANALYSIS\WHT-6 to ULRP\2207-NN-RP-122 10 inch\Rev 1\Report"/>
    <hyperlink ref="E199" r:id="rId548"/>
    <hyperlink ref="E189" r:id="rId549"/>
    <hyperlink ref="E187" r:id="rId550"/>
    <hyperlink ref="E192" r:id="rId551"/>
    <hyperlink ref="O96" r:id="rId552"/>
    <hyperlink ref="O119" r:id="rId553"/>
    <hyperlink ref="T189" r:id="rId554"/>
    <hyperlink ref="T187" r:id="rId555"/>
    <hyperlink ref="T192" r:id="rId556"/>
    <hyperlink ref="T163" r:id="rId557"/>
    <hyperlink ref="T195" r:id="rId558"/>
    <hyperlink ref="T123" r:id="rId559"/>
    <hyperlink ref="T126" r:id="rId560"/>
    <hyperlink ref="T129" r:id="rId561"/>
    <hyperlink ref="T115" r:id="rId562"/>
    <hyperlink ref="T96" r:id="rId563"/>
    <hyperlink ref="T119" r:id="rId564"/>
    <hyperlink ref="O115" r:id="rId565"/>
    <hyperlink ref="O126" r:id="rId566"/>
    <hyperlink ref="O129" r:id="rId567"/>
    <hyperlink ref="E97" r:id="rId568" display="\\npcc.local\fs\Departments\Offshore\Offshore Technical\ConstructionEngineering\ConstructionEnggProjects\PROJECTS\2207CAMPAING II\DOCUMENTS\PIPELINE AND CABLE\DAVIT LIFT ANALYSIS\WHT-6 to ULRP\2207-NN-RP-115 18 inch\Rev 2\Report"/>
    <hyperlink ref="E116" r:id="rId569" display="\\npcc.local\fs\Departments\Offshore\Offshore Technical\ConstructionEngineering\ConstructionEnggProjects\PROJECTS\2207CAMPAING II\DOCUMENTS\PIPELINE AND CABLE\DAVIT LIFT ANALYSIS\WHT-6 to ULRP\2207-NN-RP-122 10 inch\Rev 2\Report"/>
    <hyperlink ref="E120" r:id="rId570" display="\\npcc.local\fs\Departments\Offshore\Offshore Technical\ConstructionEngineering\ConstructionEnggProjects\PROJECTS\2207CAMPAING II\DOCUMENTS\PIPELINE AND CABLE\DAVIT LIFT ANALYSIS\WHT-6 to ULRP\2207-NN-RP-123 8 inch\Rev 2\Report"/>
    <hyperlink ref="E127" r:id="rId571" display="\\npcc.local\fs\Departments\Offshore\Offshore Technical\ConstructionEngineering\ConstructionEnggProjects\PROJECTS\2207CAMPAING II\DOCUMENTS\PIPELINE AND CABLE\DAVIT LIFT ANALYSIS\WHT-6 to WHT-4\2207-NN-RP-125 10 inch\Rev 2\Report"/>
    <hyperlink ref="E130" r:id="rId572" display="\\npcc.local\fs\Departments\Offshore\Offshore Technical\ConstructionEngineering\ConstructionEnggProjects\PROJECTS\2207CAMPAING II\DOCUMENTS\PIPELINE AND CABLE\DAVIT LIFT ANALYSIS\WHT-6 to WHT-4\2207-NN-RP-126 6 inch\Rev 1\Report"/>
    <hyperlink ref="O163" r:id="rId573"/>
    <hyperlink ref="O127" r:id="rId574"/>
    <hyperlink ref="O130" r:id="rId575"/>
    <hyperlink ref="O187" r:id="rId576"/>
    <hyperlink ref="O189" r:id="rId577"/>
    <hyperlink ref="O192" r:id="rId578"/>
    <hyperlink ref="O199" r:id="rId579"/>
    <hyperlink ref="O195" r:id="rId580"/>
    <hyperlink ref="O97" r:id="rId581"/>
    <hyperlink ref="O116" r:id="rId582"/>
    <hyperlink ref="O120" r:id="rId583"/>
    <hyperlink ref="O123" r:id="rId584" display="TR-UFFDP1-13-07042"/>
    <hyperlink ref="O226" r:id="rId585"/>
    <hyperlink ref="E228" r:id="rId586"/>
    <hyperlink ref="E229" r:id="rId587" display="..\DOCUMENTS\PIPELINE AND CABLE\CABLE REPAIR\REV-0"/>
    <hyperlink ref="O228" r:id="rId588"/>
    <hyperlink ref="O229" r:id="rId589"/>
    <hyperlink ref="E164" r:id="rId590"/>
    <hyperlink ref="E196" r:id="rId591"/>
    <hyperlink ref="E200" r:id="rId592"/>
    <hyperlink ref="E188" r:id="rId593"/>
    <hyperlink ref="E190" r:id="rId594"/>
    <hyperlink ref="E193" r:id="rId595"/>
    <hyperlink ref="O193" r:id="rId596"/>
    <hyperlink ref="O190" r:id="rId597"/>
    <hyperlink ref="O164" r:id="rId598"/>
    <hyperlink ref="O188" r:id="rId599"/>
    <hyperlink ref="O196" r:id="rId600"/>
    <hyperlink ref="O200" r:id="rId601"/>
    <hyperlink ref="O230" r:id="rId602"/>
    <hyperlink ref="E231" r:id="rId603" display="..\DOCUMENTS\PIPELINE AND CABLE\DAVIT LIFT ANALYSIS\All WHT-6 risers\Rev 0\Report"/>
    <hyperlink ref="T230" r:id="rId604"/>
    <hyperlink ref="E232" r:id="rId605"/>
    <hyperlink ref="O231" r:id="rId606"/>
    <hyperlink ref="O232" r:id="rId607"/>
  </hyperlinks>
  <printOptions horizontalCentered="1"/>
  <pageMargins left="0.25" right="0.25" top="0.5" bottom="0.5" header="0.25" footer="0.25"/>
  <pageSetup paperSize="8" scale="70" orientation="landscape" r:id="rId608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60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I163"/>
  <sheetViews>
    <sheetView zoomScaleNormal="100" workbookViewId="0">
      <pane xSplit="7" ySplit="8" topLeftCell="M110" activePane="bottomRight" state="frozen"/>
      <selection pane="topRight" activeCell="I1" sqref="I1"/>
      <selection pane="bottomLeft" activeCell="A9" sqref="A9"/>
      <selection pane="bottomRight" activeCell="N33" sqref="N33"/>
    </sheetView>
  </sheetViews>
  <sheetFormatPr defaultColWidth="10.6640625" defaultRowHeight="12.75" x14ac:dyDescent="0.2"/>
  <cols>
    <col min="1" max="1" width="6.83203125" style="2" customWidth="1"/>
    <col min="2" max="2" width="47.33203125" style="2" customWidth="1"/>
    <col min="3" max="3" width="20.83203125" style="1" customWidth="1"/>
    <col min="4" max="4" width="22.83203125" style="1" customWidth="1"/>
    <col min="5" max="5" width="11" style="1" bestFit="1" customWidth="1"/>
    <col min="6" max="6" width="6.83203125" style="1" customWidth="1"/>
    <col min="7" max="7" width="12.83203125" style="1" customWidth="1"/>
    <col min="8" max="8" width="12.83203125" style="1" hidden="1" customWidth="1"/>
    <col min="9" max="9" width="17.6640625" style="1" bestFit="1" customWidth="1"/>
    <col min="10" max="10" width="15.83203125" style="1" bestFit="1" customWidth="1"/>
    <col min="11" max="11" width="9.83203125" style="1" bestFit="1" customWidth="1"/>
    <col min="12" max="12" width="21.1640625" style="2" bestFit="1" customWidth="1"/>
    <col min="13" max="13" width="12.33203125" style="6" customWidth="1"/>
    <col min="14" max="14" width="21.6640625" style="2" bestFit="1" customWidth="1"/>
    <col min="15" max="15" width="12.1640625" style="6" bestFit="1" customWidth="1"/>
    <col min="16" max="16" width="10.5" style="2" bestFit="1" customWidth="1"/>
    <col min="17" max="17" width="22.83203125" style="2" bestFit="1" customWidth="1"/>
    <col min="18" max="18" width="10.5" style="2" bestFit="1" customWidth="1"/>
    <col min="19" max="19" width="14.1640625" style="2" bestFit="1" customWidth="1"/>
    <col min="20" max="20" width="10.83203125" style="6" customWidth="1"/>
    <col min="21" max="21" width="11.6640625" style="2" customWidth="1"/>
    <col min="22" max="22" width="22.83203125" style="2" customWidth="1"/>
    <col min="23" max="23" width="23.6640625" style="1" bestFit="1" customWidth="1"/>
    <col min="24" max="24" width="11.1640625" style="1" customWidth="1"/>
    <col min="25" max="25" width="21.1640625" style="2" bestFit="1" customWidth="1"/>
    <col min="26" max="26" width="10.83203125" style="6" customWidth="1"/>
    <col min="27" max="27" width="8.83203125" style="2" customWidth="1"/>
    <col min="28" max="28" width="10.83203125" style="6" customWidth="1"/>
    <col min="29" max="29" width="8.83203125" style="2" customWidth="1"/>
    <col min="30" max="32" width="12.5" style="2" customWidth="1"/>
    <col min="33" max="33" width="9.83203125" style="6" customWidth="1"/>
    <col min="34" max="34" width="8.83203125" style="2" customWidth="1"/>
    <col min="35" max="35" width="22.83203125" style="2" customWidth="1"/>
    <col min="36" max="16384" width="10.6640625" style="2"/>
  </cols>
  <sheetData>
    <row r="1" spans="1:35" s="7" customFormat="1" ht="20.100000000000001" customHeight="1" x14ac:dyDescent="0.2">
      <c r="A1" s="55"/>
      <c r="B1" s="56"/>
      <c r="C1" s="477" t="s">
        <v>10</v>
      </c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  <c r="P1" s="478"/>
      <c r="Q1" s="471" t="s">
        <v>7</v>
      </c>
      <c r="R1" s="471"/>
      <c r="S1" s="471"/>
      <c r="T1" s="471"/>
      <c r="U1" s="472" t="s">
        <v>1430</v>
      </c>
      <c r="V1" s="473"/>
      <c r="AD1" s="471"/>
      <c r="AE1" s="471"/>
      <c r="AF1" s="471"/>
      <c r="AG1" s="471"/>
      <c r="AH1" s="472"/>
      <c r="AI1" s="473"/>
    </row>
    <row r="2" spans="1:35" s="7" customFormat="1" ht="20.100000000000001" customHeight="1" x14ac:dyDescent="0.2">
      <c r="A2" s="57"/>
      <c r="B2" s="58"/>
      <c r="C2" s="479" t="s">
        <v>23</v>
      </c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68" t="s">
        <v>16</v>
      </c>
      <c r="R2" s="468"/>
      <c r="S2" s="468"/>
      <c r="T2" s="468"/>
      <c r="U2" s="469" t="s">
        <v>1431</v>
      </c>
      <c r="V2" s="470"/>
      <c r="AD2" s="468"/>
      <c r="AE2" s="468"/>
      <c r="AF2" s="468"/>
      <c r="AG2" s="468"/>
      <c r="AH2" s="469"/>
      <c r="AI2" s="470"/>
    </row>
    <row r="3" spans="1:35" s="7" customFormat="1" ht="20.100000000000001" customHeight="1" x14ac:dyDescent="0.2">
      <c r="A3" s="57"/>
      <c r="B3" s="58"/>
      <c r="C3" s="474" t="s">
        <v>24</v>
      </c>
      <c r="D3" s="383"/>
      <c r="E3" s="383"/>
      <c r="F3" s="383"/>
      <c r="G3" s="383"/>
      <c r="H3" s="383"/>
      <c r="I3" s="383"/>
      <c r="J3" s="383"/>
      <c r="K3" s="383"/>
      <c r="L3" s="383"/>
      <c r="M3" s="383"/>
      <c r="N3" s="383"/>
      <c r="O3" s="383"/>
      <c r="P3" s="475"/>
      <c r="Q3" s="465" t="s">
        <v>9</v>
      </c>
      <c r="R3" s="465"/>
      <c r="S3" s="465"/>
      <c r="T3" s="465"/>
      <c r="U3" s="427" t="s">
        <v>1432</v>
      </c>
      <c r="V3" s="428"/>
      <c r="AD3" s="429"/>
      <c r="AE3" s="430"/>
      <c r="AF3" s="430"/>
      <c r="AG3" s="431"/>
      <c r="AH3" s="427"/>
      <c r="AI3" s="428"/>
    </row>
    <row r="4" spans="1:35" s="7" customFormat="1" ht="20.100000000000001" customHeight="1" thickBot="1" x14ac:dyDescent="0.25">
      <c r="A4" s="57"/>
      <c r="B4" s="58"/>
      <c r="C4" s="476" t="s">
        <v>21</v>
      </c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65" t="s">
        <v>8</v>
      </c>
      <c r="R4" s="465"/>
      <c r="S4" s="465"/>
      <c r="T4" s="465"/>
      <c r="U4" s="466">
        <v>41723</v>
      </c>
      <c r="V4" s="467"/>
      <c r="AD4" s="465"/>
      <c r="AE4" s="465"/>
      <c r="AF4" s="465"/>
      <c r="AG4" s="465"/>
      <c r="AH4" s="466"/>
      <c r="AI4" s="467"/>
    </row>
    <row r="5" spans="1:35" s="12" customFormat="1" ht="15" customHeight="1" x14ac:dyDescent="0.2">
      <c r="A5" s="487" t="s">
        <v>0</v>
      </c>
      <c r="B5" s="491" t="s">
        <v>1</v>
      </c>
      <c r="C5" s="405" t="s">
        <v>17</v>
      </c>
      <c r="D5" s="405" t="s">
        <v>18</v>
      </c>
      <c r="E5" s="405" t="s">
        <v>15</v>
      </c>
      <c r="F5" s="368" t="s">
        <v>22</v>
      </c>
      <c r="G5" s="405" t="s">
        <v>12</v>
      </c>
      <c r="H5" s="368" t="s">
        <v>2372</v>
      </c>
      <c r="I5" s="368" t="s">
        <v>1540</v>
      </c>
      <c r="J5" s="447" t="s">
        <v>13</v>
      </c>
      <c r="K5" s="448"/>
      <c r="L5" s="448"/>
      <c r="M5" s="449"/>
      <c r="N5" s="405" t="s">
        <v>14</v>
      </c>
      <c r="O5" s="405"/>
      <c r="P5" s="405"/>
      <c r="Q5" s="405" t="s">
        <v>1371</v>
      </c>
      <c r="R5" s="405"/>
      <c r="S5" s="405"/>
      <c r="T5" s="405"/>
      <c r="U5" s="405"/>
      <c r="V5" s="481" t="s">
        <v>2</v>
      </c>
      <c r="W5" s="28"/>
      <c r="X5" s="28"/>
      <c r="Y5" s="391" t="s">
        <v>13</v>
      </c>
      <c r="Z5" s="391"/>
      <c r="AA5" s="391" t="s">
        <v>14</v>
      </c>
      <c r="AB5" s="391"/>
      <c r="AC5" s="391"/>
      <c r="AD5" s="391" t="s">
        <v>1371</v>
      </c>
      <c r="AE5" s="391"/>
      <c r="AF5" s="391"/>
      <c r="AG5" s="391"/>
      <c r="AH5" s="391"/>
      <c r="AI5" s="432" t="s">
        <v>2</v>
      </c>
    </row>
    <row r="6" spans="1:35" s="12" customFormat="1" ht="24.95" customHeight="1" x14ac:dyDescent="0.2">
      <c r="A6" s="488"/>
      <c r="B6" s="492"/>
      <c r="C6" s="495"/>
      <c r="D6" s="495"/>
      <c r="E6" s="376"/>
      <c r="F6" s="369"/>
      <c r="G6" s="495"/>
      <c r="H6" s="369"/>
      <c r="I6" s="369"/>
      <c r="J6" s="377" t="s">
        <v>4</v>
      </c>
      <c r="K6" s="394"/>
      <c r="L6" s="394"/>
      <c r="M6" s="378"/>
      <c r="N6" s="376" t="s">
        <v>5</v>
      </c>
      <c r="O6" s="376"/>
      <c r="P6" s="376"/>
      <c r="Q6" s="376" t="s">
        <v>5</v>
      </c>
      <c r="R6" s="376"/>
      <c r="S6" s="376"/>
      <c r="T6" s="376"/>
      <c r="U6" s="376"/>
      <c r="V6" s="482"/>
      <c r="W6" s="392" t="s">
        <v>4</v>
      </c>
      <c r="X6" s="435"/>
      <c r="Y6" s="435"/>
      <c r="Z6" s="393"/>
      <c r="AA6" s="436" t="s">
        <v>5</v>
      </c>
      <c r="AB6" s="436"/>
      <c r="AC6" s="436"/>
      <c r="AD6" s="437" t="s">
        <v>4</v>
      </c>
      <c r="AE6" s="437"/>
      <c r="AF6" s="438" t="s">
        <v>5</v>
      </c>
      <c r="AG6" s="438"/>
      <c r="AH6" s="439"/>
      <c r="AI6" s="433"/>
    </row>
    <row r="7" spans="1:35" s="12" customFormat="1" ht="24.95" customHeight="1" x14ac:dyDescent="0.2">
      <c r="A7" s="489"/>
      <c r="B7" s="493"/>
      <c r="C7" s="496"/>
      <c r="D7" s="496"/>
      <c r="E7" s="498"/>
      <c r="F7" s="369"/>
      <c r="G7" s="496"/>
      <c r="H7" s="369"/>
      <c r="I7" s="369"/>
      <c r="J7" s="377" t="s">
        <v>1433</v>
      </c>
      <c r="K7" s="378"/>
      <c r="L7" s="394" t="s">
        <v>1434</v>
      </c>
      <c r="M7" s="378"/>
      <c r="N7" s="446" t="s">
        <v>1435</v>
      </c>
      <c r="O7" s="395"/>
      <c r="P7" s="396"/>
      <c r="Q7" s="376" t="s">
        <v>1437</v>
      </c>
      <c r="R7" s="376"/>
      <c r="S7" s="376" t="s">
        <v>1438</v>
      </c>
      <c r="T7" s="376"/>
      <c r="U7" s="376"/>
      <c r="V7" s="483"/>
      <c r="W7" s="392" t="s">
        <v>1433</v>
      </c>
      <c r="X7" s="393"/>
      <c r="Y7" s="435" t="s">
        <v>1434</v>
      </c>
      <c r="Z7" s="393"/>
      <c r="AA7" s="445" t="s">
        <v>1435</v>
      </c>
      <c r="AB7" s="438"/>
      <c r="AC7" s="439"/>
      <c r="AD7" s="437" t="s">
        <v>1437</v>
      </c>
      <c r="AE7" s="437"/>
      <c r="AF7" s="437" t="s">
        <v>1438</v>
      </c>
      <c r="AG7" s="437"/>
      <c r="AH7" s="437"/>
      <c r="AI7" s="433"/>
    </row>
    <row r="8" spans="1:35" s="12" customFormat="1" ht="15" customHeight="1" thickBot="1" x14ac:dyDescent="0.25">
      <c r="A8" s="490"/>
      <c r="B8" s="494"/>
      <c r="C8" s="497"/>
      <c r="D8" s="497"/>
      <c r="E8" s="499"/>
      <c r="F8" s="370"/>
      <c r="G8" s="497"/>
      <c r="H8" s="370"/>
      <c r="I8" s="370"/>
      <c r="J8" s="3" t="s">
        <v>6</v>
      </c>
      <c r="K8" s="4" t="s">
        <v>3</v>
      </c>
      <c r="L8" s="3" t="s">
        <v>6</v>
      </c>
      <c r="M8" s="4" t="s">
        <v>3</v>
      </c>
      <c r="N8" s="3" t="s">
        <v>6</v>
      </c>
      <c r="O8" s="4" t="s">
        <v>3</v>
      </c>
      <c r="P8" s="3" t="s">
        <v>11</v>
      </c>
      <c r="Q8" s="27" t="s">
        <v>6</v>
      </c>
      <c r="R8" s="4" t="s">
        <v>3</v>
      </c>
      <c r="S8" s="27" t="s">
        <v>6</v>
      </c>
      <c r="T8" s="4" t="s">
        <v>3</v>
      </c>
      <c r="U8" s="3" t="s">
        <v>11</v>
      </c>
      <c r="V8" s="484"/>
      <c r="W8" s="29" t="s">
        <v>6</v>
      </c>
      <c r="X8" s="30" t="s">
        <v>3</v>
      </c>
      <c r="Y8" s="29" t="s">
        <v>6</v>
      </c>
      <c r="Z8" s="30" t="s">
        <v>3</v>
      </c>
      <c r="AA8" s="29" t="s">
        <v>6</v>
      </c>
      <c r="AB8" s="30" t="s">
        <v>3</v>
      </c>
      <c r="AC8" s="29" t="s">
        <v>11</v>
      </c>
      <c r="AD8" s="31" t="s">
        <v>6</v>
      </c>
      <c r="AE8" s="30" t="s">
        <v>3</v>
      </c>
      <c r="AF8" s="31" t="s">
        <v>6</v>
      </c>
      <c r="AG8" s="30" t="s">
        <v>3</v>
      </c>
      <c r="AH8" s="29" t="s">
        <v>11</v>
      </c>
      <c r="AI8" s="434"/>
    </row>
    <row r="9" spans="1:35" s="5" customFormat="1" ht="33" hidden="1" customHeight="1" x14ac:dyDescent="0.2">
      <c r="A9" s="13">
        <v>1</v>
      </c>
      <c r="B9" s="463" t="s">
        <v>1562</v>
      </c>
      <c r="C9" s="464" t="s">
        <v>423</v>
      </c>
      <c r="D9" s="464" t="s">
        <v>501</v>
      </c>
      <c r="E9" s="46" t="s">
        <v>1432</v>
      </c>
      <c r="F9" s="22">
        <v>2</v>
      </c>
      <c r="G9" s="61">
        <v>41810</v>
      </c>
      <c r="H9" s="62"/>
      <c r="I9" s="177" t="s">
        <v>1546</v>
      </c>
      <c r="J9" s="176" t="s">
        <v>1564</v>
      </c>
      <c r="K9" s="62">
        <v>41821</v>
      </c>
      <c r="L9" s="157" t="s">
        <v>1563</v>
      </c>
      <c r="M9" s="62">
        <v>41822</v>
      </c>
      <c r="N9" s="46" t="s">
        <v>1696</v>
      </c>
      <c r="O9" s="26">
        <v>41861</v>
      </c>
      <c r="P9" s="66" t="s">
        <v>1481</v>
      </c>
      <c r="Q9" s="158" t="s">
        <v>1582</v>
      </c>
      <c r="R9" s="62">
        <v>41827</v>
      </c>
      <c r="S9" s="46" t="s">
        <v>1591</v>
      </c>
      <c r="T9" s="62">
        <v>41829</v>
      </c>
      <c r="U9" s="52" t="s">
        <v>1592</v>
      </c>
      <c r="V9" s="54" t="s">
        <v>1593</v>
      </c>
      <c r="W9" s="32"/>
      <c r="X9" s="32"/>
      <c r="Y9" s="33"/>
      <c r="Z9" s="32"/>
      <c r="AA9" s="34"/>
      <c r="AB9" s="35"/>
      <c r="AC9" s="34"/>
      <c r="AD9" s="34"/>
      <c r="AE9" s="34"/>
      <c r="AF9" s="34"/>
      <c r="AG9" s="35"/>
      <c r="AH9" s="34"/>
      <c r="AI9" s="36"/>
    </row>
    <row r="10" spans="1:35" s="5" customFormat="1" ht="33" hidden="1" customHeight="1" x14ac:dyDescent="0.2">
      <c r="A10" s="13"/>
      <c r="B10" s="462"/>
      <c r="C10" s="348"/>
      <c r="D10" s="348"/>
      <c r="E10" s="46" t="s">
        <v>1459</v>
      </c>
      <c r="F10" s="164"/>
      <c r="G10" s="61"/>
      <c r="H10" s="229"/>
      <c r="I10" s="162"/>
      <c r="J10" s="99" t="s">
        <v>1600</v>
      </c>
      <c r="K10" s="99">
        <v>41833</v>
      </c>
      <c r="L10" s="164" t="s">
        <v>1603</v>
      </c>
      <c r="M10" s="62">
        <v>41835</v>
      </c>
      <c r="N10" s="46" t="s">
        <v>1619</v>
      </c>
      <c r="O10" s="26">
        <v>41837</v>
      </c>
      <c r="P10" s="52" t="s">
        <v>1454</v>
      </c>
      <c r="Q10" s="164" t="s">
        <v>1613</v>
      </c>
      <c r="R10" s="62">
        <v>41835</v>
      </c>
      <c r="S10" s="174" t="s">
        <v>1640</v>
      </c>
      <c r="T10" s="62">
        <v>41842</v>
      </c>
      <c r="U10" s="63" t="s">
        <v>1465</v>
      </c>
      <c r="V10" s="106"/>
      <c r="W10" s="32"/>
      <c r="X10" s="32"/>
      <c r="Y10" s="167"/>
      <c r="Z10" s="32"/>
      <c r="AA10" s="168"/>
      <c r="AB10" s="169"/>
      <c r="AC10" s="168"/>
      <c r="AD10" s="168"/>
      <c r="AE10" s="168"/>
      <c r="AF10" s="168"/>
      <c r="AG10" s="169"/>
      <c r="AH10" s="168"/>
      <c r="AI10" s="170"/>
    </row>
    <row r="11" spans="1:35" s="5" customFormat="1" ht="33" hidden="1" customHeight="1" x14ac:dyDescent="0.2">
      <c r="A11" s="13">
        <f>A9+1</f>
        <v>2</v>
      </c>
      <c r="B11" s="25" t="s">
        <v>1637</v>
      </c>
      <c r="C11" s="14" t="s">
        <v>424</v>
      </c>
      <c r="D11" s="14" t="s">
        <v>502</v>
      </c>
      <c r="E11" s="46" t="s">
        <v>1432</v>
      </c>
      <c r="F11" s="22">
        <v>2</v>
      </c>
      <c r="G11" s="61">
        <v>41849</v>
      </c>
      <c r="H11" s="61"/>
      <c r="I11" s="178" t="s">
        <v>1546</v>
      </c>
      <c r="J11" s="117" t="s">
        <v>1638</v>
      </c>
      <c r="K11" s="16">
        <v>41842</v>
      </c>
      <c r="L11" s="166" t="s">
        <v>1639</v>
      </c>
      <c r="M11" s="18">
        <v>41850</v>
      </c>
      <c r="N11" s="46" t="s">
        <v>1671</v>
      </c>
      <c r="O11" s="26">
        <v>41855</v>
      </c>
      <c r="P11" s="66" t="s">
        <v>1481</v>
      </c>
      <c r="Q11" s="173" t="s">
        <v>1660</v>
      </c>
      <c r="R11" s="62">
        <v>41851</v>
      </c>
      <c r="S11" s="174" t="s">
        <v>1720</v>
      </c>
      <c r="T11" s="26">
        <v>41869</v>
      </c>
      <c r="U11" s="63" t="s">
        <v>1465</v>
      </c>
      <c r="V11" s="54" t="s">
        <v>1721</v>
      </c>
      <c r="W11" s="37"/>
      <c r="X11" s="37"/>
      <c r="Y11" s="38"/>
      <c r="Z11" s="39"/>
      <c r="AA11" s="40"/>
      <c r="AB11" s="41"/>
      <c r="AC11" s="40"/>
      <c r="AD11" s="40"/>
      <c r="AE11" s="40"/>
      <c r="AF11" s="40"/>
      <c r="AG11" s="41"/>
      <c r="AH11" s="40"/>
      <c r="AI11" s="42"/>
    </row>
    <row r="12" spans="1:35" s="5" customFormat="1" ht="33" hidden="1" customHeight="1" x14ac:dyDescent="0.2">
      <c r="A12" s="13">
        <f t="shared" ref="A12:A105" si="0">A11+1</f>
        <v>3</v>
      </c>
      <c r="B12" s="461" t="s">
        <v>1547</v>
      </c>
      <c r="C12" s="347" t="s">
        <v>425</v>
      </c>
      <c r="D12" s="347" t="s">
        <v>503</v>
      </c>
      <c r="E12" s="46" t="s">
        <v>1432</v>
      </c>
      <c r="F12" s="22">
        <v>2</v>
      </c>
      <c r="G12" s="61">
        <v>41787</v>
      </c>
      <c r="H12" s="61"/>
      <c r="I12" s="178" t="s">
        <v>1546</v>
      </c>
      <c r="J12" s="176" t="s">
        <v>1548</v>
      </c>
      <c r="K12" s="62">
        <v>41815</v>
      </c>
      <c r="L12" s="153" t="s">
        <v>1549</v>
      </c>
      <c r="M12" s="62">
        <v>41816</v>
      </c>
      <c r="N12" s="46" t="s">
        <v>1597</v>
      </c>
      <c r="O12" s="26">
        <v>41830</v>
      </c>
      <c r="P12" s="52" t="s">
        <v>1454</v>
      </c>
      <c r="Q12" s="157" t="s">
        <v>1560</v>
      </c>
      <c r="R12" s="62">
        <v>41820</v>
      </c>
      <c r="S12" s="174" t="s">
        <v>1620</v>
      </c>
      <c r="T12" s="62">
        <v>41821</v>
      </c>
      <c r="U12" s="52" t="s">
        <v>1454</v>
      </c>
      <c r="V12" s="54" t="s">
        <v>1681</v>
      </c>
      <c r="W12" s="37"/>
      <c r="X12" s="37"/>
      <c r="Y12" s="38"/>
      <c r="Z12" s="39"/>
      <c r="AA12" s="40"/>
      <c r="AB12" s="41"/>
      <c r="AC12" s="40"/>
      <c r="AD12" s="40"/>
      <c r="AE12" s="40"/>
      <c r="AF12" s="40"/>
      <c r="AG12" s="41"/>
      <c r="AH12" s="40"/>
      <c r="AI12" s="42"/>
    </row>
    <row r="13" spans="1:35" s="5" customFormat="1" ht="33" hidden="1" customHeight="1" x14ac:dyDescent="0.2">
      <c r="A13" s="13"/>
      <c r="B13" s="462"/>
      <c r="C13" s="348"/>
      <c r="D13" s="348"/>
      <c r="E13" s="46" t="s">
        <v>1459</v>
      </c>
      <c r="F13" s="161">
        <v>1</v>
      </c>
      <c r="G13" s="61" t="s">
        <v>1442</v>
      </c>
      <c r="H13" s="229"/>
      <c r="I13" s="162"/>
      <c r="J13" s="61" t="s">
        <v>1589</v>
      </c>
      <c r="K13" s="62">
        <v>41830</v>
      </c>
      <c r="L13" s="161" t="s">
        <v>1590</v>
      </c>
      <c r="M13" s="62">
        <v>41833</v>
      </c>
      <c r="N13" s="46" t="s">
        <v>1695</v>
      </c>
      <c r="O13" s="26">
        <v>41861</v>
      </c>
      <c r="P13" s="66" t="s">
        <v>1481</v>
      </c>
      <c r="Q13" s="164" t="s">
        <v>1612</v>
      </c>
      <c r="R13" s="62">
        <v>41835</v>
      </c>
      <c r="S13" s="174" t="s">
        <v>1623</v>
      </c>
      <c r="T13" s="62">
        <v>41837</v>
      </c>
      <c r="U13" s="63" t="s">
        <v>1465</v>
      </c>
      <c r="V13" s="67" t="s">
        <v>1621</v>
      </c>
      <c r="W13" s="37"/>
      <c r="X13" s="37"/>
      <c r="Y13" s="38"/>
      <c r="Z13" s="39"/>
      <c r="AA13" s="40"/>
      <c r="AB13" s="41"/>
      <c r="AC13" s="40"/>
      <c r="AD13" s="40"/>
      <c r="AE13" s="40"/>
      <c r="AF13" s="40"/>
      <c r="AG13" s="41"/>
      <c r="AH13" s="40"/>
      <c r="AI13" s="42"/>
    </row>
    <row r="14" spans="1:35" s="5" customFormat="1" ht="33" hidden="1" customHeight="1" x14ac:dyDescent="0.2">
      <c r="A14" s="13">
        <f>A12+1</f>
        <v>4</v>
      </c>
      <c r="B14" s="25" t="s">
        <v>1678</v>
      </c>
      <c r="C14" s="14" t="s">
        <v>426</v>
      </c>
      <c r="D14" s="14" t="s">
        <v>504</v>
      </c>
      <c r="E14" s="46" t="s">
        <v>1432</v>
      </c>
      <c r="F14" s="22">
        <v>2</v>
      </c>
      <c r="G14" s="61">
        <v>41815</v>
      </c>
      <c r="H14" s="61"/>
      <c r="I14" s="178" t="s">
        <v>1546</v>
      </c>
      <c r="J14" s="117" t="s">
        <v>1682</v>
      </c>
      <c r="K14" s="16">
        <v>41857</v>
      </c>
      <c r="L14" s="179" t="s">
        <v>1683</v>
      </c>
      <c r="M14" s="18">
        <v>41858</v>
      </c>
      <c r="N14" s="46" t="s">
        <v>1707</v>
      </c>
      <c r="O14" s="26">
        <v>41863</v>
      </c>
      <c r="P14" s="66" t="s">
        <v>1481</v>
      </c>
      <c r="Q14" s="15" t="s">
        <v>1691</v>
      </c>
      <c r="R14" s="62">
        <v>41859</v>
      </c>
      <c r="S14" s="174" t="s">
        <v>1718</v>
      </c>
      <c r="T14" s="26">
        <v>41869</v>
      </c>
      <c r="U14" s="63" t="s">
        <v>1465</v>
      </c>
      <c r="V14" s="54" t="s">
        <v>1719</v>
      </c>
      <c r="W14" s="37"/>
      <c r="X14" s="37"/>
      <c r="Y14" s="38"/>
      <c r="Z14" s="39"/>
      <c r="AA14" s="40"/>
      <c r="AB14" s="41"/>
      <c r="AC14" s="40"/>
      <c r="AD14" s="40"/>
      <c r="AE14" s="40"/>
      <c r="AF14" s="40"/>
      <c r="AG14" s="41"/>
      <c r="AH14" s="40"/>
      <c r="AI14" s="42"/>
    </row>
    <row r="15" spans="1:35" s="5" customFormat="1" ht="33" hidden="1" customHeight="1" x14ac:dyDescent="0.2">
      <c r="A15" s="13">
        <f t="shared" si="0"/>
        <v>5</v>
      </c>
      <c r="B15" s="155" t="s">
        <v>368</v>
      </c>
      <c r="C15" s="156" t="s">
        <v>427</v>
      </c>
      <c r="D15" s="156" t="s">
        <v>505</v>
      </c>
      <c r="E15" s="14" t="s">
        <v>1679</v>
      </c>
      <c r="F15" s="22">
        <v>2</v>
      </c>
      <c r="G15" s="61">
        <v>41821</v>
      </c>
      <c r="H15" s="61"/>
      <c r="I15" s="178" t="s">
        <v>1546</v>
      </c>
      <c r="J15" s="16"/>
      <c r="K15" s="16"/>
      <c r="L15" s="17"/>
      <c r="M15" s="18"/>
      <c r="N15" s="8"/>
      <c r="O15" s="9"/>
      <c r="P15" s="8"/>
      <c r="Q15" s="8"/>
      <c r="R15" s="8"/>
      <c r="S15" s="8"/>
      <c r="T15" s="9"/>
      <c r="U15" s="8"/>
      <c r="V15" s="67" t="s">
        <v>1680</v>
      </c>
      <c r="W15" s="37"/>
      <c r="X15" s="37"/>
      <c r="Y15" s="38"/>
      <c r="Z15" s="39"/>
      <c r="AA15" s="40"/>
      <c r="AB15" s="41"/>
      <c r="AC15" s="40"/>
      <c r="AD15" s="40"/>
      <c r="AE15" s="40"/>
      <c r="AF15" s="40"/>
      <c r="AG15" s="41"/>
      <c r="AH15" s="40"/>
      <c r="AI15" s="42"/>
    </row>
    <row r="16" spans="1:35" s="5" customFormat="1" ht="33" hidden="1" customHeight="1" x14ac:dyDescent="0.2">
      <c r="A16" s="13">
        <f t="shared" si="0"/>
        <v>6</v>
      </c>
      <c r="B16" s="155" t="s">
        <v>369</v>
      </c>
      <c r="C16" s="156" t="s">
        <v>428</v>
      </c>
      <c r="D16" s="156" t="s">
        <v>506</v>
      </c>
      <c r="E16" s="14" t="s">
        <v>1679</v>
      </c>
      <c r="F16" s="22">
        <v>2</v>
      </c>
      <c r="G16" s="61">
        <v>41827</v>
      </c>
      <c r="H16" s="61"/>
      <c r="I16" s="178" t="s">
        <v>1546</v>
      </c>
      <c r="J16" s="16"/>
      <c r="K16" s="16"/>
      <c r="L16" s="17"/>
      <c r="M16" s="18"/>
      <c r="N16" s="8"/>
      <c r="O16" s="9"/>
      <c r="P16" s="8"/>
      <c r="Q16" s="8"/>
      <c r="R16" s="8"/>
      <c r="S16" s="8"/>
      <c r="T16" s="9"/>
      <c r="U16" s="8"/>
      <c r="V16" s="67" t="s">
        <v>1680</v>
      </c>
      <c r="W16" s="37"/>
      <c r="X16" s="37"/>
      <c r="Y16" s="38"/>
      <c r="Z16" s="39"/>
      <c r="AA16" s="40"/>
      <c r="AB16" s="41"/>
      <c r="AC16" s="40"/>
      <c r="AD16" s="40"/>
      <c r="AE16" s="40"/>
      <c r="AF16" s="40"/>
      <c r="AG16" s="41"/>
      <c r="AH16" s="40"/>
      <c r="AI16" s="42"/>
    </row>
    <row r="17" spans="1:35" s="5" customFormat="1" ht="33" hidden="1" customHeight="1" x14ac:dyDescent="0.2">
      <c r="A17" s="13">
        <f t="shared" si="0"/>
        <v>7</v>
      </c>
      <c r="B17" s="155" t="s">
        <v>370</v>
      </c>
      <c r="C17" s="156" t="s">
        <v>429</v>
      </c>
      <c r="D17" s="156" t="s">
        <v>507</v>
      </c>
      <c r="E17" s="14" t="s">
        <v>1551</v>
      </c>
      <c r="F17" s="153">
        <v>2</v>
      </c>
      <c r="G17" s="61">
        <v>41793</v>
      </c>
      <c r="H17" s="61"/>
      <c r="I17" s="178" t="s">
        <v>1546</v>
      </c>
      <c r="J17" s="176"/>
      <c r="K17" s="16"/>
      <c r="L17" s="17"/>
      <c r="M17" s="18"/>
      <c r="N17" s="8"/>
      <c r="O17" s="9"/>
      <c r="P17" s="8"/>
      <c r="Q17" s="8"/>
      <c r="R17" s="8"/>
      <c r="S17" s="8"/>
      <c r="T17" s="9"/>
      <c r="U17" s="8"/>
      <c r="V17" s="67" t="s">
        <v>1550</v>
      </c>
      <c r="W17" s="37"/>
      <c r="X17" s="37"/>
      <c r="Y17" s="38"/>
      <c r="Z17" s="39"/>
      <c r="AA17" s="40"/>
      <c r="AB17" s="41"/>
      <c r="AC17" s="40"/>
      <c r="AD17" s="40"/>
      <c r="AE17" s="40"/>
      <c r="AF17" s="40"/>
      <c r="AG17" s="41"/>
      <c r="AH17" s="40"/>
      <c r="AI17" s="42"/>
    </row>
    <row r="18" spans="1:35" s="5" customFormat="1" ht="33" hidden="1" customHeight="1" x14ac:dyDescent="0.2">
      <c r="A18" s="13">
        <f t="shared" si="0"/>
        <v>8</v>
      </c>
      <c r="B18" s="155" t="s">
        <v>371</v>
      </c>
      <c r="C18" s="156" t="s">
        <v>430</v>
      </c>
      <c r="D18" s="156" t="s">
        <v>508</v>
      </c>
      <c r="E18" s="14" t="s">
        <v>1551</v>
      </c>
      <c r="F18" s="153">
        <v>2</v>
      </c>
      <c r="G18" s="61">
        <v>41800</v>
      </c>
      <c r="H18" s="61"/>
      <c r="I18" s="178" t="s">
        <v>1546</v>
      </c>
      <c r="J18" s="176"/>
      <c r="K18" s="16"/>
      <c r="L18" s="17"/>
      <c r="M18" s="18"/>
      <c r="N18" s="8"/>
      <c r="O18" s="9"/>
      <c r="P18" s="8"/>
      <c r="Q18" s="8"/>
      <c r="R18" s="8"/>
      <c r="S18" s="8"/>
      <c r="T18" s="9"/>
      <c r="U18" s="8"/>
      <c r="V18" s="67" t="s">
        <v>1550</v>
      </c>
      <c r="W18" s="37"/>
      <c r="X18" s="37"/>
      <c r="Y18" s="38"/>
      <c r="Z18" s="39"/>
      <c r="AA18" s="40"/>
      <c r="AB18" s="41"/>
      <c r="AC18" s="40"/>
      <c r="AD18" s="40"/>
      <c r="AE18" s="40"/>
      <c r="AF18" s="40"/>
      <c r="AG18" s="41"/>
      <c r="AH18" s="40"/>
      <c r="AI18" s="42"/>
    </row>
    <row r="19" spans="1:35" s="5" customFormat="1" ht="33" hidden="1" customHeight="1" x14ac:dyDescent="0.2">
      <c r="A19" s="13">
        <f t="shared" si="0"/>
        <v>9</v>
      </c>
      <c r="B19" s="155" t="s">
        <v>372</v>
      </c>
      <c r="C19" s="156" t="s">
        <v>431</v>
      </c>
      <c r="D19" s="156" t="s">
        <v>509</v>
      </c>
      <c r="E19" s="14" t="s">
        <v>1551</v>
      </c>
      <c r="F19" s="153">
        <v>2</v>
      </c>
      <c r="G19" s="61">
        <v>41795</v>
      </c>
      <c r="H19" s="61"/>
      <c r="I19" s="178" t="s">
        <v>1546</v>
      </c>
      <c r="J19" s="176"/>
      <c r="K19" s="16"/>
      <c r="L19" s="17"/>
      <c r="M19" s="18"/>
      <c r="N19" s="8"/>
      <c r="O19" s="9"/>
      <c r="P19" s="8"/>
      <c r="Q19" s="8"/>
      <c r="R19" s="8"/>
      <c r="S19" s="8"/>
      <c r="T19" s="9"/>
      <c r="U19" s="8"/>
      <c r="V19" s="67" t="s">
        <v>1550</v>
      </c>
      <c r="W19" s="37"/>
      <c r="X19" s="37"/>
      <c r="Y19" s="38"/>
      <c r="Z19" s="39"/>
      <c r="AA19" s="40"/>
      <c r="AB19" s="41"/>
      <c r="AC19" s="40"/>
      <c r="AD19" s="40"/>
      <c r="AE19" s="40"/>
      <c r="AF19" s="40"/>
      <c r="AG19" s="41"/>
      <c r="AH19" s="40"/>
      <c r="AI19" s="42"/>
    </row>
    <row r="20" spans="1:35" s="5" customFormat="1" ht="33" hidden="1" customHeight="1" x14ac:dyDescent="0.2">
      <c r="A20" s="13">
        <f t="shared" si="0"/>
        <v>10</v>
      </c>
      <c r="B20" s="155" t="s">
        <v>373</v>
      </c>
      <c r="C20" s="156" t="s">
        <v>432</v>
      </c>
      <c r="D20" s="156" t="s">
        <v>510</v>
      </c>
      <c r="E20" s="14" t="s">
        <v>1561</v>
      </c>
      <c r="F20" s="22">
        <v>2</v>
      </c>
      <c r="G20" s="61">
        <v>41805</v>
      </c>
      <c r="H20" s="61"/>
      <c r="I20" s="178" t="s">
        <v>1546</v>
      </c>
      <c r="J20" s="176"/>
      <c r="K20" s="16"/>
      <c r="L20" s="17"/>
      <c r="M20" s="18"/>
      <c r="N20" s="8"/>
      <c r="O20" s="9"/>
      <c r="P20" s="8"/>
      <c r="Q20" s="8"/>
      <c r="R20" s="8"/>
      <c r="S20" s="8"/>
      <c r="T20" s="9"/>
      <c r="U20" s="8"/>
      <c r="V20" s="67" t="s">
        <v>1565</v>
      </c>
      <c r="W20" s="37"/>
      <c r="X20" s="37"/>
      <c r="Y20" s="38"/>
      <c r="Z20" s="39"/>
      <c r="AA20" s="40"/>
      <c r="AB20" s="41"/>
      <c r="AC20" s="40"/>
      <c r="AD20" s="40"/>
      <c r="AE20" s="40"/>
      <c r="AF20" s="40"/>
      <c r="AG20" s="41"/>
      <c r="AH20" s="40"/>
      <c r="AI20" s="42"/>
    </row>
    <row r="21" spans="1:35" s="5" customFormat="1" ht="33" hidden="1" customHeight="1" x14ac:dyDescent="0.2">
      <c r="A21" s="13">
        <f t="shared" si="0"/>
        <v>11</v>
      </c>
      <c r="B21" s="155" t="s">
        <v>374</v>
      </c>
      <c r="C21" s="156" t="s">
        <v>433</v>
      </c>
      <c r="D21" s="156" t="s">
        <v>511</v>
      </c>
      <c r="E21" s="14" t="s">
        <v>1561</v>
      </c>
      <c r="F21" s="22">
        <v>2</v>
      </c>
      <c r="G21" s="61">
        <v>41805</v>
      </c>
      <c r="H21" s="61"/>
      <c r="I21" s="178" t="s">
        <v>1546</v>
      </c>
      <c r="J21" s="176"/>
      <c r="K21" s="16"/>
      <c r="L21" s="17"/>
      <c r="M21" s="18"/>
      <c r="N21" s="8"/>
      <c r="O21" s="9"/>
      <c r="P21" s="8"/>
      <c r="Q21" s="8"/>
      <c r="R21" s="8"/>
      <c r="S21" s="8"/>
      <c r="T21" s="9"/>
      <c r="U21" s="8"/>
      <c r="V21" s="67" t="s">
        <v>1565</v>
      </c>
      <c r="W21" s="37"/>
      <c r="X21" s="37"/>
      <c r="Y21" s="38"/>
      <c r="Z21" s="39"/>
      <c r="AA21" s="40"/>
      <c r="AB21" s="41"/>
      <c r="AC21" s="40"/>
      <c r="AD21" s="40"/>
      <c r="AE21" s="40"/>
      <c r="AF21" s="40"/>
      <c r="AG21" s="41"/>
      <c r="AH21" s="40"/>
      <c r="AI21" s="42"/>
    </row>
    <row r="22" spans="1:35" s="5" customFormat="1" ht="33" hidden="1" customHeight="1" x14ac:dyDescent="0.2">
      <c r="A22" s="13">
        <f t="shared" si="0"/>
        <v>12</v>
      </c>
      <c r="B22" s="155" t="s">
        <v>375</v>
      </c>
      <c r="C22" s="156" t="s">
        <v>434</v>
      </c>
      <c r="D22" s="156" t="s">
        <v>512</v>
      </c>
      <c r="E22" s="14" t="s">
        <v>1635</v>
      </c>
      <c r="F22" s="22">
        <v>2</v>
      </c>
      <c r="G22" s="61">
        <v>41842</v>
      </c>
      <c r="H22" s="61"/>
      <c r="I22" s="178" t="s">
        <v>1546</v>
      </c>
      <c r="J22" s="16"/>
      <c r="K22" s="16"/>
      <c r="L22" s="17"/>
      <c r="M22" s="18"/>
      <c r="N22" s="8"/>
      <c r="O22" s="9"/>
      <c r="P22" s="8"/>
      <c r="Q22" s="8"/>
      <c r="R22" s="8"/>
      <c r="S22" s="8"/>
      <c r="T22" s="9"/>
      <c r="U22" s="8"/>
      <c r="V22" s="67" t="s">
        <v>1636</v>
      </c>
      <c r="W22" s="37"/>
      <c r="X22" s="37"/>
      <c r="Y22" s="38"/>
      <c r="Z22" s="39"/>
      <c r="AA22" s="40"/>
      <c r="AB22" s="41"/>
      <c r="AC22" s="40"/>
      <c r="AD22" s="40"/>
      <c r="AE22" s="40"/>
      <c r="AF22" s="40"/>
      <c r="AG22" s="41"/>
      <c r="AH22" s="40"/>
      <c r="AI22" s="42"/>
    </row>
    <row r="23" spans="1:35" s="5" customFormat="1" ht="33" hidden="1" customHeight="1" x14ac:dyDescent="0.2">
      <c r="A23" s="13">
        <f t="shared" si="0"/>
        <v>13</v>
      </c>
      <c r="B23" s="155" t="s">
        <v>376</v>
      </c>
      <c r="C23" s="156" t="s">
        <v>435</v>
      </c>
      <c r="D23" s="156" t="s">
        <v>513</v>
      </c>
      <c r="E23" s="14" t="s">
        <v>1635</v>
      </c>
      <c r="F23" s="22">
        <v>2</v>
      </c>
      <c r="G23" s="61">
        <v>41834</v>
      </c>
      <c r="H23" s="61"/>
      <c r="I23" s="178" t="s">
        <v>1546</v>
      </c>
      <c r="J23" s="16"/>
      <c r="K23" s="16"/>
      <c r="L23" s="17"/>
      <c r="M23" s="18"/>
      <c r="N23" s="8"/>
      <c r="O23" s="9"/>
      <c r="P23" s="8"/>
      <c r="Q23" s="8"/>
      <c r="R23" s="8"/>
      <c r="S23" s="8"/>
      <c r="T23" s="9"/>
      <c r="U23" s="8"/>
      <c r="V23" s="67" t="s">
        <v>1636</v>
      </c>
      <c r="W23" s="37"/>
      <c r="X23" s="37"/>
      <c r="Y23" s="38"/>
      <c r="Z23" s="39"/>
      <c r="AA23" s="40"/>
      <c r="AB23" s="41"/>
      <c r="AC23" s="40"/>
      <c r="AD23" s="40"/>
      <c r="AE23" s="40"/>
      <c r="AF23" s="40"/>
      <c r="AG23" s="41"/>
      <c r="AH23" s="40"/>
      <c r="AI23" s="42"/>
    </row>
    <row r="24" spans="1:35" s="5" customFormat="1" ht="33" customHeight="1" x14ac:dyDescent="0.2">
      <c r="A24" s="13">
        <f t="shared" si="0"/>
        <v>14</v>
      </c>
      <c r="B24" s="24" t="s">
        <v>377</v>
      </c>
      <c r="C24" s="14" t="s">
        <v>436</v>
      </c>
      <c r="D24" s="14" t="s">
        <v>514</v>
      </c>
      <c r="E24" s="15" t="s">
        <v>3059</v>
      </c>
      <c r="F24" s="22">
        <v>2</v>
      </c>
      <c r="G24" s="18">
        <v>42172</v>
      </c>
      <c r="H24" s="225">
        <v>42094</v>
      </c>
      <c r="I24" s="73">
        <f t="shared" ref="I24:I85" ca="1" si="1">G24-TODAY()</f>
        <v>-1890</v>
      </c>
      <c r="J24" s="16"/>
      <c r="K24" s="16"/>
      <c r="L24" s="17"/>
      <c r="M24" s="18"/>
      <c r="N24" s="8"/>
      <c r="O24" s="9"/>
      <c r="P24" s="8"/>
      <c r="Q24" s="8"/>
      <c r="R24" s="8"/>
      <c r="S24" s="8"/>
      <c r="T24" s="9"/>
      <c r="U24" s="8"/>
      <c r="V24" s="19"/>
      <c r="W24" s="37"/>
      <c r="X24" s="37"/>
      <c r="Y24" s="38"/>
      <c r="Z24" s="39"/>
      <c r="AA24" s="40"/>
      <c r="AB24" s="41"/>
      <c r="AC24" s="40"/>
      <c r="AD24" s="40"/>
      <c r="AE24" s="40"/>
      <c r="AF24" s="40"/>
      <c r="AG24" s="41"/>
      <c r="AH24" s="40"/>
      <c r="AI24" s="42"/>
    </row>
    <row r="25" spans="1:35" s="5" customFormat="1" ht="42" x14ac:dyDescent="0.2">
      <c r="A25" s="13">
        <f t="shared" si="0"/>
        <v>15</v>
      </c>
      <c r="B25" s="24" t="s">
        <v>2379</v>
      </c>
      <c r="C25" s="14" t="s">
        <v>437</v>
      </c>
      <c r="D25" s="14" t="s">
        <v>515</v>
      </c>
      <c r="E25" s="46" t="s">
        <v>1432</v>
      </c>
      <c r="F25" s="22">
        <v>2</v>
      </c>
      <c r="G25" s="18">
        <v>42184</v>
      </c>
      <c r="H25" s="225">
        <v>42115</v>
      </c>
      <c r="I25" s="73">
        <v>29</v>
      </c>
      <c r="J25" s="17" t="s">
        <v>2380</v>
      </c>
      <c r="K25" s="16">
        <v>42156</v>
      </c>
      <c r="L25" s="17" t="s">
        <v>2381</v>
      </c>
      <c r="M25" s="18">
        <v>42157</v>
      </c>
      <c r="N25" s="46" t="s">
        <v>2391</v>
      </c>
      <c r="O25" s="26">
        <v>42163</v>
      </c>
      <c r="P25" s="17">
        <v>1</v>
      </c>
      <c r="Q25" s="224" t="s">
        <v>2382</v>
      </c>
      <c r="R25" s="62">
        <v>42157</v>
      </c>
      <c r="S25" s="46" t="s">
        <v>2431</v>
      </c>
      <c r="T25" s="26">
        <v>42177</v>
      </c>
      <c r="U25" s="17" t="s">
        <v>1369</v>
      </c>
      <c r="V25" s="67" t="s">
        <v>2432</v>
      </c>
      <c r="W25" s="37"/>
      <c r="X25" s="37"/>
      <c r="Y25" s="38"/>
      <c r="Z25" s="39"/>
      <c r="AA25" s="40"/>
      <c r="AB25" s="41"/>
      <c r="AC25" s="40"/>
      <c r="AD25" s="40"/>
      <c r="AE25" s="40"/>
      <c r="AF25" s="40"/>
      <c r="AG25" s="41"/>
      <c r="AH25" s="40"/>
      <c r="AI25" s="42"/>
    </row>
    <row r="26" spans="1:35" s="5" customFormat="1" ht="42" x14ac:dyDescent="0.2">
      <c r="A26" s="13">
        <f t="shared" si="0"/>
        <v>16</v>
      </c>
      <c r="B26" s="24" t="s">
        <v>2475</v>
      </c>
      <c r="C26" s="14" t="s">
        <v>438</v>
      </c>
      <c r="D26" s="14" t="s">
        <v>516</v>
      </c>
      <c r="E26" s="46" t="s">
        <v>1432</v>
      </c>
      <c r="F26" s="22">
        <v>2</v>
      </c>
      <c r="G26" s="18">
        <v>42160</v>
      </c>
      <c r="H26" s="225">
        <v>42136</v>
      </c>
      <c r="I26" s="73">
        <v>-31</v>
      </c>
      <c r="J26" s="17" t="s">
        <v>2476</v>
      </c>
      <c r="K26" s="16">
        <v>42191</v>
      </c>
      <c r="L26" s="17" t="s">
        <v>2477</v>
      </c>
      <c r="M26" s="18">
        <v>42193</v>
      </c>
      <c r="N26" s="292" t="s">
        <v>3052</v>
      </c>
      <c r="O26" s="26">
        <v>42297</v>
      </c>
      <c r="P26" s="17">
        <v>1</v>
      </c>
      <c r="Q26" s="17" t="s">
        <v>2508</v>
      </c>
      <c r="R26" s="62">
        <v>42197</v>
      </c>
      <c r="S26" s="290" t="s">
        <v>3105</v>
      </c>
      <c r="T26" s="26">
        <v>42333</v>
      </c>
      <c r="U26" s="17" t="s">
        <v>1369</v>
      </c>
      <c r="V26" s="67" t="s">
        <v>3106</v>
      </c>
      <c r="W26" s="37"/>
      <c r="X26" s="37"/>
      <c r="Y26" s="38"/>
      <c r="Z26" s="39"/>
      <c r="AA26" s="40"/>
      <c r="AB26" s="41"/>
      <c r="AC26" s="40"/>
      <c r="AD26" s="40"/>
      <c r="AE26" s="40"/>
      <c r="AF26" s="40"/>
      <c r="AG26" s="41"/>
      <c r="AH26" s="40"/>
      <c r="AI26" s="42"/>
    </row>
    <row r="27" spans="1:35" s="5" customFormat="1" ht="33" customHeight="1" x14ac:dyDescent="0.2">
      <c r="A27" s="360">
        <f t="shared" si="0"/>
        <v>17</v>
      </c>
      <c r="B27" s="347" t="s">
        <v>3439</v>
      </c>
      <c r="C27" s="347" t="s">
        <v>439</v>
      </c>
      <c r="D27" s="347" t="s">
        <v>3440</v>
      </c>
      <c r="E27" s="298" t="s">
        <v>1432</v>
      </c>
      <c r="F27" s="22">
        <v>2</v>
      </c>
      <c r="G27" s="18">
        <v>42164</v>
      </c>
      <c r="H27" s="225">
        <v>42150</v>
      </c>
      <c r="I27" s="73">
        <v>-27</v>
      </c>
      <c r="J27" s="17" t="s">
        <v>3412</v>
      </c>
      <c r="K27" s="16">
        <v>43971</v>
      </c>
      <c r="L27" s="17" t="s">
        <v>3442</v>
      </c>
      <c r="M27" s="61">
        <v>43983</v>
      </c>
      <c r="N27" s="340" t="s">
        <v>3443</v>
      </c>
      <c r="O27" s="61">
        <v>43996</v>
      </c>
      <c r="P27" s="8">
        <v>2</v>
      </c>
      <c r="Q27" s="17" t="s">
        <v>3441</v>
      </c>
      <c r="R27" s="62">
        <v>43979</v>
      </c>
      <c r="S27" s="340" t="s">
        <v>3444</v>
      </c>
      <c r="T27" s="18">
        <v>42190</v>
      </c>
      <c r="U27" s="258" t="s">
        <v>1432</v>
      </c>
      <c r="V27" s="342" t="s">
        <v>3445</v>
      </c>
      <c r="W27" s="37"/>
      <c r="X27" s="37"/>
      <c r="Y27" s="38"/>
      <c r="Z27" s="39"/>
      <c r="AA27" s="40"/>
      <c r="AB27" s="41"/>
      <c r="AC27" s="40"/>
      <c r="AD27" s="40"/>
      <c r="AE27" s="40"/>
      <c r="AF27" s="40"/>
      <c r="AG27" s="41"/>
      <c r="AH27" s="40"/>
      <c r="AI27" s="42"/>
    </row>
    <row r="28" spans="1:35" s="5" customFormat="1" ht="33" customHeight="1" x14ac:dyDescent="0.2">
      <c r="A28" s="361"/>
      <c r="B28" s="348"/>
      <c r="C28" s="348"/>
      <c r="D28" s="348"/>
      <c r="E28" s="298" t="s">
        <v>1459</v>
      </c>
      <c r="F28" s="341">
        <v>1</v>
      </c>
      <c r="G28" s="18"/>
      <c r="H28" s="225"/>
      <c r="I28" s="73"/>
      <c r="J28" s="17" t="s">
        <v>3413</v>
      </c>
      <c r="K28" s="61">
        <v>44020</v>
      </c>
      <c r="L28" s="17" t="s">
        <v>3446</v>
      </c>
      <c r="M28" s="61">
        <v>44026</v>
      </c>
      <c r="N28" s="340" t="s">
        <v>3457</v>
      </c>
      <c r="O28" s="61">
        <v>44039</v>
      </c>
      <c r="P28" s="8">
        <v>2</v>
      </c>
      <c r="Q28" s="17" t="s">
        <v>3447</v>
      </c>
      <c r="R28" s="62">
        <v>44021</v>
      </c>
      <c r="S28" s="340" t="s">
        <v>3448</v>
      </c>
      <c r="T28" s="18">
        <v>44033</v>
      </c>
      <c r="U28" s="258" t="s">
        <v>1369</v>
      </c>
      <c r="V28" s="342"/>
      <c r="W28" s="37"/>
      <c r="X28" s="37"/>
      <c r="Y28" s="38"/>
      <c r="Z28" s="39"/>
      <c r="AA28" s="40"/>
      <c r="AB28" s="41"/>
      <c r="AC28" s="40"/>
      <c r="AD28" s="40"/>
      <c r="AE28" s="40"/>
      <c r="AF28" s="40"/>
      <c r="AG28" s="41"/>
      <c r="AH28" s="40"/>
      <c r="AI28" s="42"/>
    </row>
    <row r="29" spans="1:35" s="5" customFormat="1" ht="33" customHeight="1" x14ac:dyDescent="0.2">
      <c r="A29" s="13">
        <f>A27+1</f>
        <v>18</v>
      </c>
      <c r="B29" s="343" t="s">
        <v>3449</v>
      </c>
      <c r="C29" s="14" t="s">
        <v>440</v>
      </c>
      <c r="D29" s="14" t="s">
        <v>3450</v>
      </c>
      <c r="E29" s="298" t="s">
        <v>1432</v>
      </c>
      <c r="F29" s="22">
        <v>2</v>
      </c>
      <c r="G29" s="18"/>
      <c r="H29" s="225">
        <v>42143</v>
      </c>
      <c r="I29" s="73"/>
      <c r="J29" s="17" t="s">
        <v>3414</v>
      </c>
      <c r="K29" s="16">
        <v>44040</v>
      </c>
      <c r="L29" s="17" t="s">
        <v>3454</v>
      </c>
      <c r="M29" s="61">
        <v>44041</v>
      </c>
      <c r="N29" s="290" t="s">
        <v>3459</v>
      </c>
      <c r="O29" s="61">
        <v>44052</v>
      </c>
      <c r="P29" s="8">
        <v>2</v>
      </c>
      <c r="Q29" s="17" t="s">
        <v>3455</v>
      </c>
      <c r="R29" s="62">
        <v>44041</v>
      </c>
      <c r="S29" s="8"/>
      <c r="T29" s="9"/>
      <c r="U29" s="8"/>
      <c r="V29" s="19"/>
      <c r="W29" s="37"/>
      <c r="X29" s="37"/>
      <c r="Y29" s="38"/>
      <c r="Z29" s="39"/>
      <c r="AA29" s="40"/>
      <c r="AB29" s="41"/>
      <c r="AC29" s="40"/>
      <c r="AD29" s="40"/>
      <c r="AE29" s="40"/>
      <c r="AF29" s="40"/>
      <c r="AG29" s="41"/>
      <c r="AH29" s="40"/>
      <c r="AI29" s="42"/>
    </row>
    <row r="30" spans="1:35" s="5" customFormat="1" ht="21" x14ac:dyDescent="0.2">
      <c r="A30" s="13">
        <f t="shared" si="0"/>
        <v>19</v>
      </c>
      <c r="B30" s="344" t="s">
        <v>3451</v>
      </c>
      <c r="C30" s="14" t="s">
        <v>441</v>
      </c>
      <c r="D30" s="14" t="s">
        <v>3452</v>
      </c>
      <c r="E30" s="298" t="s">
        <v>1432</v>
      </c>
      <c r="F30" s="22">
        <v>2</v>
      </c>
      <c r="G30" s="18"/>
      <c r="H30" s="225"/>
      <c r="I30" s="73"/>
      <c r="J30" s="17" t="s">
        <v>3415</v>
      </c>
      <c r="K30" s="61">
        <v>44040</v>
      </c>
      <c r="L30" s="17" t="s">
        <v>3453</v>
      </c>
      <c r="M30" s="61">
        <v>44041</v>
      </c>
      <c r="N30" s="340" t="s">
        <v>3458</v>
      </c>
      <c r="O30" s="61">
        <v>44052</v>
      </c>
      <c r="P30" s="8">
        <v>2</v>
      </c>
      <c r="Q30" s="17" t="s">
        <v>3456</v>
      </c>
      <c r="R30" s="62">
        <v>44041</v>
      </c>
      <c r="S30" s="8"/>
      <c r="T30" s="9"/>
      <c r="U30" s="8"/>
      <c r="V30" s="19"/>
      <c r="W30" s="37"/>
      <c r="X30" s="37"/>
      <c r="Y30" s="38"/>
      <c r="Z30" s="39"/>
      <c r="AA30" s="40"/>
      <c r="AB30" s="41"/>
      <c r="AC30" s="40"/>
      <c r="AD30" s="40"/>
      <c r="AE30" s="40"/>
      <c r="AF30" s="40"/>
      <c r="AG30" s="41"/>
      <c r="AH30" s="40"/>
      <c r="AI30" s="42"/>
    </row>
    <row r="31" spans="1:35" s="5" customFormat="1" ht="31.5" x14ac:dyDescent="0.2">
      <c r="A31" s="13">
        <f t="shared" si="0"/>
        <v>20</v>
      </c>
      <c r="B31" s="218" t="s">
        <v>378</v>
      </c>
      <c r="C31" s="14" t="s">
        <v>442</v>
      </c>
      <c r="D31" s="14" t="s">
        <v>517</v>
      </c>
      <c r="E31" s="14" t="s">
        <v>2374</v>
      </c>
      <c r="F31" s="22">
        <v>2</v>
      </c>
      <c r="G31" s="18">
        <v>42156</v>
      </c>
      <c r="H31" s="225">
        <v>42129</v>
      </c>
      <c r="I31" s="73">
        <v>0</v>
      </c>
      <c r="J31" s="16"/>
      <c r="K31" s="16"/>
      <c r="L31" s="17"/>
      <c r="M31" s="18"/>
      <c r="N31" s="8"/>
      <c r="O31" s="9"/>
      <c r="P31" s="8"/>
      <c r="Q31" s="8"/>
      <c r="R31" s="8"/>
      <c r="S31" s="8"/>
      <c r="T31" s="9"/>
      <c r="U31" s="8"/>
      <c r="V31" s="19"/>
      <c r="W31" s="37"/>
      <c r="X31" s="37"/>
      <c r="Y31" s="38"/>
      <c r="Z31" s="39"/>
      <c r="AA31" s="40"/>
      <c r="AB31" s="41"/>
      <c r="AC31" s="40"/>
      <c r="AD31" s="40"/>
      <c r="AE31" s="40"/>
      <c r="AF31" s="40"/>
      <c r="AG31" s="41"/>
      <c r="AH31" s="40"/>
      <c r="AI31" s="42"/>
    </row>
    <row r="32" spans="1:35" s="5" customFormat="1" ht="33" customHeight="1" x14ac:dyDescent="0.2">
      <c r="A32" s="13">
        <f t="shared" si="0"/>
        <v>21</v>
      </c>
      <c r="B32" s="24" t="s">
        <v>379</v>
      </c>
      <c r="C32" s="14" t="s">
        <v>443</v>
      </c>
      <c r="D32" s="14" t="s">
        <v>518</v>
      </c>
      <c r="E32" s="224" t="s">
        <v>3059</v>
      </c>
      <c r="F32" s="22">
        <v>2</v>
      </c>
      <c r="G32" s="18">
        <v>42176</v>
      </c>
      <c r="H32" s="225">
        <v>42108</v>
      </c>
      <c r="I32" s="73">
        <f t="shared" ca="1" si="1"/>
        <v>-1886</v>
      </c>
      <c r="J32" s="16"/>
      <c r="K32" s="16"/>
      <c r="L32" s="17"/>
      <c r="M32" s="18"/>
      <c r="N32" s="8"/>
      <c r="O32" s="9"/>
      <c r="P32" s="8"/>
      <c r="Q32" s="8"/>
      <c r="R32" s="8"/>
      <c r="S32" s="8"/>
      <c r="T32" s="9"/>
      <c r="U32" s="8"/>
      <c r="V32" s="19"/>
      <c r="W32" s="37"/>
      <c r="X32" s="37"/>
      <c r="Y32" s="38"/>
      <c r="Z32" s="39"/>
      <c r="AA32" s="40"/>
      <c r="AB32" s="41"/>
      <c r="AC32" s="40"/>
      <c r="AD32" s="40"/>
      <c r="AE32" s="40"/>
      <c r="AF32" s="40"/>
      <c r="AG32" s="41"/>
      <c r="AH32" s="40"/>
      <c r="AI32" s="42"/>
    </row>
    <row r="33" spans="1:35" s="5" customFormat="1" ht="33" customHeight="1" x14ac:dyDescent="0.2">
      <c r="A33" s="13">
        <f t="shared" si="0"/>
        <v>22</v>
      </c>
      <c r="B33" s="24" t="s">
        <v>380</v>
      </c>
      <c r="C33" s="14" t="s">
        <v>444</v>
      </c>
      <c r="D33" s="14" t="s">
        <v>519</v>
      </c>
      <c r="E33" s="224" t="s">
        <v>3059</v>
      </c>
      <c r="F33" s="22">
        <v>2</v>
      </c>
      <c r="G33" s="18">
        <v>42180</v>
      </c>
      <c r="H33" s="225">
        <v>42101</v>
      </c>
      <c r="I33" s="73">
        <f t="shared" ca="1" si="1"/>
        <v>-1882</v>
      </c>
      <c r="J33" s="16"/>
      <c r="K33" s="16"/>
      <c r="L33" s="17"/>
      <c r="M33" s="18"/>
      <c r="N33" s="8"/>
      <c r="O33" s="9"/>
      <c r="P33" s="8"/>
      <c r="Q33" s="8"/>
      <c r="R33" s="8"/>
      <c r="S33" s="8"/>
      <c r="T33" s="9"/>
      <c r="U33" s="8"/>
      <c r="V33" s="19"/>
      <c r="W33" s="37"/>
      <c r="X33" s="37"/>
      <c r="Y33" s="38"/>
      <c r="Z33" s="39"/>
      <c r="AA33" s="40"/>
      <c r="AB33" s="41"/>
      <c r="AC33" s="40"/>
      <c r="AD33" s="40"/>
      <c r="AE33" s="40"/>
      <c r="AF33" s="40"/>
      <c r="AG33" s="41"/>
      <c r="AH33" s="40"/>
      <c r="AI33" s="42"/>
    </row>
    <row r="34" spans="1:35" s="5" customFormat="1" ht="32.25" customHeight="1" x14ac:dyDescent="0.2">
      <c r="A34" s="13">
        <f t="shared" si="0"/>
        <v>23</v>
      </c>
      <c r="B34" s="24" t="s">
        <v>2850</v>
      </c>
      <c r="C34" s="14" t="s">
        <v>445</v>
      </c>
      <c r="D34" s="14" t="s">
        <v>2851</v>
      </c>
      <c r="E34" s="46" t="s">
        <v>1432</v>
      </c>
      <c r="F34" s="22">
        <v>2</v>
      </c>
      <c r="G34" s="18" t="s">
        <v>1442</v>
      </c>
      <c r="H34" s="225">
        <v>42087</v>
      </c>
      <c r="I34" s="73">
        <v>-51</v>
      </c>
      <c r="J34" s="17" t="s">
        <v>2869</v>
      </c>
      <c r="K34" s="16">
        <v>42256</v>
      </c>
      <c r="L34" s="17" t="s">
        <v>2870</v>
      </c>
      <c r="M34" s="18">
        <v>42259</v>
      </c>
      <c r="N34" s="46" t="s">
        <v>2944</v>
      </c>
      <c r="O34" s="26">
        <v>42263</v>
      </c>
      <c r="P34" s="17">
        <v>1</v>
      </c>
      <c r="Q34" s="17" t="s">
        <v>2876</v>
      </c>
      <c r="R34" s="62">
        <v>42256</v>
      </c>
      <c r="S34" s="174" t="s">
        <v>2888</v>
      </c>
      <c r="T34" s="26">
        <v>42257</v>
      </c>
      <c r="U34" s="17" t="s">
        <v>1369</v>
      </c>
      <c r="V34" s="60" t="s">
        <v>2945</v>
      </c>
      <c r="W34" s="37"/>
      <c r="X34" s="37"/>
      <c r="Y34" s="38"/>
      <c r="Z34" s="39"/>
      <c r="AA34" s="40"/>
      <c r="AB34" s="41"/>
      <c r="AC34" s="40"/>
      <c r="AD34" s="40"/>
      <c r="AE34" s="40"/>
      <c r="AF34" s="40"/>
      <c r="AG34" s="41"/>
      <c r="AH34" s="40"/>
      <c r="AI34" s="42"/>
    </row>
    <row r="35" spans="1:35" s="5" customFormat="1" ht="33" customHeight="1" x14ac:dyDescent="0.2">
      <c r="A35" s="13">
        <f t="shared" si="0"/>
        <v>24</v>
      </c>
      <c r="B35" s="24" t="s">
        <v>2343</v>
      </c>
      <c r="C35" s="14" t="s">
        <v>446</v>
      </c>
      <c r="D35" s="14" t="s">
        <v>520</v>
      </c>
      <c r="E35" s="46" t="s">
        <v>1432</v>
      </c>
      <c r="F35" s="22">
        <v>2</v>
      </c>
      <c r="G35" s="18">
        <v>42080</v>
      </c>
      <c r="H35" s="225">
        <v>42080</v>
      </c>
      <c r="I35" s="73">
        <v>-58</v>
      </c>
      <c r="J35" s="17" t="s">
        <v>2344</v>
      </c>
      <c r="K35" s="16">
        <v>42138</v>
      </c>
      <c r="L35" s="17" t="s">
        <v>2345</v>
      </c>
      <c r="M35" s="18">
        <v>42141</v>
      </c>
      <c r="N35" s="46" t="s">
        <v>2390</v>
      </c>
      <c r="O35" s="26">
        <v>42159</v>
      </c>
      <c r="P35" s="17">
        <v>1</v>
      </c>
      <c r="Q35" s="224" t="s">
        <v>2366</v>
      </c>
      <c r="R35" s="62">
        <v>42143</v>
      </c>
      <c r="S35" s="46" t="s">
        <v>2370</v>
      </c>
      <c r="T35" s="62">
        <v>42149</v>
      </c>
      <c r="U35" s="62" t="s">
        <v>1369</v>
      </c>
      <c r="V35" s="70" t="s">
        <v>1442</v>
      </c>
      <c r="W35" s="37"/>
      <c r="X35" s="37"/>
      <c r="Y35" s="38"/>
      <c r="Z35" s="39"/>
      <c r="AA35" s="40"/>
      <c r="AB35" s="41"/>
      <c r="AC35" s="40"/>
      <c r="AD35" s="40"/>
      <c r="AE35" s="40"/>
      <c r="AF35" s="40"/>
      <c r="AG35" s="41"/>
      <c r="AH35" s="40"/>
      <c r="AI35" s="42"/>
    </row>
    <row r="36" spans="1:35" s="5" customFormat="1" ht="33" customHeight="1" x14ac:dyDescent="0.2">
      <c r="A36" s="13">
        <f t="shared" si="0"/>
        <v>25</v>
      </c>
      <c r="B36" s="24" t="s">
        <v>381</v>
      </c>
      <c r="C36" s="14" t="s">
        <v>447</v>
      </c>
      <c r="D36" s="14" t="s">
        <v>521</v>
      </c>
      <c r="E36" s="224" t="s">
        <v>3059</v>
      </c>
      <c r="F36" s="22">
        <v>2</v>
      </c>
      <c r="G36" s="18">
        <v>42184</v>
      </c>
      <c r="H36" s="225">
        <v>42073</v>
      </c>
      <c r="I36" s="73">
        <f t="shared" ca="1" si="1"/>
        <v>-1878</v>
      </c>
      <c r="J36" s="16"/>
      <c r="K36" s="16"/>
      <c r="L36" s="17"/>
      <c r="M36" s="18"/>
      <c r="N36" s="8"/>
      <c r="O36" s="9"/>
      <c r="P36" s="8"/>
      <c r="Q36" s="8"/>
      <c r="R36" s="8"/>
      <c r="S36" s="8"/>
      <c r="T36" s="9"/>
      <c r="U36" s="8"/>
      <c r="V36" s="19"/>
      <c r="W36" s="37"/>
      <c r="X36" s="37"/>
      <c r="Y36" s="38"/>
      <c r="Z36" s="39"/>
      <c r="AA36" s="40"/>
      <c r="AB36" s="41"/>
      <c r="AC36" s="40"/>
      <c r="AD36" s="40"/>
      <c r="AE36" s="40"/>
      <c r="AF36" s="40"/>
      <c r="AG36" s="41"/>
      <c r="AH36" s="40"/>
      <c r="AI36" s="42"/>
    </row>
    <row r="37" spans="1:35" s="5" customFormat="1" ht="33" customHeight="1" x14ac:dyDescent="0.2">
      <c r="A37" s="13">
        <f>A36+1</f>
        <v>26</v>
      </c>
      <c r="B37" s="356" t="s">
        <v>2586</v>
      </c>
      <c r="C37" s="347" t="s">
        <v>448</v>
      </c>
      <c r="D37" s="347" t="s">
        <v>522</v>
      </c>
      <c r="E37" s="46" t="s">
        <v>1432</v>
      </c>
      <c r="F37" s="212">
        <v>2</v>
      </c>
      <c r="G37" s="61">
        <v>42217</v>
      </c>
      <c r="H37" s="227">
        <v>42109</v>
      </c>
      <c r="I37" s="73">
        <v>-9</v>
      </c>
      <c r="J37" s="17" t="s">
        <v>2587</v>
      </c>
      <c r="K37" s="16">
        <v>42226</v>
      </c>
      <c r="L37" s="17" t="s">
        <v>2588</v>
      </c>
      <c r="M37" s="250">
        <v>42227</v>
      </c>
      <c r="N37" s="46" t="s">
        <v>2631</v>
      </c>
      <c r="O37" s="242">
        <v>42232</v>
      </c>
      <c r="P37" s="258">
        <v>2</v>
      </c>
      <c r="Q37" s="17" t="s">
        <v>2596</v>
      </c>
      <c r="R37" s="62">
        <v>42227</v>
      </c>
      <c r="S37" s="174" t="s">
        <v>2660</v>
      </c>
      <c r="T37" s="242">
        <v>42232</v>
      </c>
      <c r="U37" s="258" t="s">
        <v>1459</v>
      </c>
      <c r="V37" s="70" t="s">
        <v>1442</v>
      </c>
      <c r="W37" s="37"/>
      <c r="X37" s="37"/>
      <c r="Y37" s="38"/>
      <c r="Z37" s="39"/>
      <c r="AA37" s="40"/>
      <c r="AB37" s="41"/>
      <c r="AC37" s="40"/>
      <c r="AD37" s="40"/>
      <c r="AE37" s="40"/>
      <c r="AF37" s="40"/>
      <c r="AG37" s="41"/>
      <c r="AH37" s="40"/>
      <c r="AI37" s="42"/>
    </row>
    <row r="38" spans="1:35" s="5" customFormat="1" ht="33" customHeight="1" x14ac:dyDescent="0.2">
      <c r="A38" s="13"/>
      <c r="B38" s="357"/>
      <c r="C38" s="460"/>
      <c r="D38" s="460"/>
      <c r="E38" s="46">
        <v>0</v>
      </c>
      <c r="F38" s="252" t="s">
        <v>1442</v>
      </c>
      <c r="G38" s="61" t="s">
        <v>1442</v>
      </c>
      <c r="H38" s="230"/>
      <c r="I38" s="73" t="s">
        <v>1442</v>
      </c>
      <c r="J38" s="17" t="s">
        <v>2673</v>
      </c>
      <c r="K38" s="61">
        <v>42235</v>
      </c>
      <c r="L38" s="17" t="s">
        <v>2674</v>
      </c>
      <c r="M38" s="250">
        <v>42235</v>
      </c>
      <c r="N38" s="292" t="s">
        <v>3052</v>
      </c>
      <c r="O38" s="26">
        <v>42297</v>
      </c>
      <c r="P38" s="17">
        <v>1</v>
      </c>
      <c r="Q38" s="17" t="s">
        <v>2681</v>
      </c>
      <c r="R38" s="62">
        <v>42236</v>
      </c>
      <c r="S38" s="46" t="s">
        <v>2687</v>
      </c>
      <c r="T38" s="242">
        <v>42236</v>
      </c>
      <c r="U38" s="258" t="s">
        <v>1432</v>
      </c>
      <c r="V38" s="67" t="s">
        <v>1442</v>
      </c>
      <c r="W38" s="37"/>
      <c r="X38" s="37"/>
      <c r="Y38" s="38"/>
      <c r="Z38" s="39"/>
      <c r="AA38" s="40"/>
      <c r="AB38" s="41"/>
      <c r="AC38" s="40"/>
      <c r="AD38" s="40"/>
      <c r="AE38" s="40"/>
      <c r="AF38" s="40"/>
      <c r="AG38" s="41"/>
      <c r="AH38" s="40"/>
      <c r="AI38" s="42"/>
    </row>
    <row r="39" spans="1:35" s="5" customFormat="1" ht="33" customHeight="1" x14ac:dyDescent="0.2">
      <c r="A39" s="13"/>
      <c r="B39" s="358"/>
      <c r="C39" s="348"/>
      <c r="D39" s="348"/>
      <c r="E39" s="46">
        <v>1</v>
      </c>
      <c r="F39" s="252" t="s">
        <v>1442</v>
      </c>
      <c r="G39" s="61" t="s">
        <v>1442</v>
      </c>
      <c r="H39" s="230"/>
      <c r="I39" s="73" t="s">
        <v>1442</v>
      </c>
      <c r="J39" s="17" t="s">
        <v>2772</v>
      </c>
      <c r="K39" s="61">
        <v>42247</v>
      </c>
      <c r="L39" s="17" t="s">
        <v>2773</v>
      </c>
      <c r="M39" s="250">
        <v>42250</v>
      </c>
      <c r="N39" s="46" t="s">
        <v>2884</v>
      </c>
      <c r="O39" s="242">
        <v>42256</v>
      </c>
      <c r="P39" s="258">
        <v>4</v>
      </c>
      <c r="Q39" s="17" t="s">
        <v>2817</v>
      </c>
      <c r="R39" s="62">
        <v>42253</v>
      </c>
      <c r="S39" s="46" t="s">
        <v>2849</v>
      </c>
      <c r="T39" s="242">
        <v>42254</v>
      </c>
      <c r="U39" s="258" t="s">
        <v>1432</v>
      </c>
      <c r="V39" s="67" t="s">
        <v>1442</v>
      </c>
      <c r="W39" s="37"/>
      <c r="X39" s="37"/>
      <c r="Y39" s="38"/>
      <c r="Z39" s="39"/>
      <c r="AA39" s="40"/>
      <c r="AB39" s="41"/>
      <c r="AC39" s="40"/>
      <c r="AD39" s="40"/>
      <c r="AE39" s="40"/>
      <c r="AF39" s="40"/>
      <c r="AG39" s="41"/>
      <c r="AH39" s="40"/>
      <c r="AI39" s="42"/>
    </row>
    <row r="40" spans="1:35" s="5" customFormat="1" ht="21" hidden="1" x14ac:dyDescent="0.2">
      <c r="A40" s="13">
        <f>A37+1</f>
        <v>27</v>
      </c>
      <c r="B40" s="25" t="s">
        <v>382</v>
      </c>
      <c r="C40" s="14" t="s">
        <v>449</v>
      </c>
      <c r="D40" s="14" t="s">
        <v>523</v>
      </c>
      <c r="E40" s="15"/>
      <c r="F40" s="22">
        <v>2</v>
      </c>
      <c r="G40" s="61">
        <v>41888</v>
      </c>
      <c r="H40" s="62"/>
      <c r="I40" s="73">
        <f t="shared" ca="1" si="1"/>
        <v>-2174</v>
      </c>
      <c r="J40" s="16"/>
      <c r="K40" s="16"/>
      <c r="L40" s="17"/>
      <c r="M40" s="18"/>
      <c r="N40" s="8"/>
      <c r="O40" s="9"/>
      <c r="P40" s="8"/>
      <c r="Q40" s="8"/>
      <c r="R40" s="8"/>
      <c r="S40" s="8"/>
      <c r="T40" s="9"/>
      <c r="U40" s="8"/>
      <c r="V40" s="19"/>
      <c r="W40" s="37"/>
      <c r="X40" s="37"/>
      <c r="Y40" s="38"/>
      <c r="Z40" s="39"/>
      <c r="AA40" s="40"/>
      <c r="AB40" s="41"/>
      <c r="AC40" s="40"/>
      <c r="AD40" s="40"/>
      <c r="AE40" s="40"/>
      <c r="AF40" s="40"/>
      <c r="AG40" s="41"/>
      <c r="AH40" s="40"/>
      <c r="AI40" s="42"/>
    </row>
    <row r="41" spans="1:35" s="5" customFormat="1" ht="21" hidden="1" x14ac:dyDescent="0.2">
      <c r="A41" s="13">
        <f t="shared" si="0"/>
        <v>28</v>
      </c>
      <c r="B41" s="25" t="s">
        <v>383</v>
      </c>
      <c r="C41" s="14" t="s">
        <v>450</v>
      </c>
      <c r="D41" s="14" t="s">
        <v>524</v>
      </c>
      <c r="E41" s="15"/>
      <c r="F41" s="22">
        <v>2</v>
      </c>
      <c r="G41" s="61">
        <v>41933</v>
      </c>
      <c r="H41" s="62"/>
      <c r="I41" s="73">
        <f t="shared" ca="1" si="1"/>
        <v>-2129</v>
      </c>
      <c r="J41" s="16"/>
      <c r="K41" s="16"/>
      <c r="L41" s="17"/>
      <c r="M41" s="18"/>
      <c r="N41" s="8"/>
      <c r="O41" s="9"/>
      <c r="P41" s="8"/>
      <c r="Q41" s="8"/>
      <c r="R41" s="8"/>
      <c r="S41" s="8"/>
      <c r="T41" s="9"/>
      <c r="U41" s="8"/>
      <c r="V41" s="19"/>
      <c r="W41" s="37"/>
      <c r="X41" s="37"/>
      <c r="Y41" s="38"/>
      <c r="Z41" s="39"/>
      <c r="AA41" s="40"/>
      <c r="AB41" s="41"/>
      <c r="AC41" s="40"/>
      <c r="AD41" s="40"/>
      <c r="AE41" s="40"/>
      <c r="AF41" s="40"/>
      <c r="AG41" s="41"/>
      <c r="AH41" s="40"/>
      <c r="AI41" s="42"/>
    </row>
    <row r="42" spans="1:35" s="5" customFormat="1" ht="21" hidden="1" x14ac:dyDescent="0.2">
      <c r="A42" s="13">
        <f t="shared" si="0"/>
        <v>29</v>
      </c>
      <c r="B42" s="25" t="s">
        <v>384</v>
      </c>
      <c r="C42" s="14" t="s">
        <v>451</v>
      </c>
      <c r="D42" s="14" t="s">
        <v>525</v>
      </c>
      <c r="E42" s="15"/>
      <c r="F42" s="22">
        <v>2</v>
      </c>
      <c r="G42" s="61">
        <v>41877</v>
      </c>
      <c r="H42" s="62"/>
      <c r="I42" s="73">
        <f t="shared" ca="1" si="1"/>
        <v>-2185</v>
      </c>
      <c r="J42" s="16"/>
      <c r="K42" s="16"/>
      <c r="L42" s="17"/>
      <c r="M42" s="18"/>
      <c r="N42" s="8"/>
      <c r="O42" s="9"/>
      <c r="P42" s="8"/>
      <c r="Q42" s="8"/>
      <c r="R42" s="8"/>
      <c r="S42" s="8"/>
      <c r="T42" s="9"/>
      <c r="U42" s="8"/>
      <c r="V42" s="19"/>
      <c r="W42" s="37"/>
      <c r="X42" s="37"/>
      <c r="Y42" s="38"/>
      <c r="Z42" s="39"/>
      <c r="AA42" s="40"/>
      <c r="AB42" s="41"/>
      <c r="AC42" s="40"/>
      <c r="AD42" s="40"/>
      <c r="AE42" s="40"/>
      <c r="AF42" s="40"/>
      <c r="AG42" s="41"/>
      <c r="AH42" s="40"/>
      <c r="AI42" s="42"/>
    </row>
    <row r="43" spans="1:35" s="5" customFormat="1" ht="21" hidden="1" x14ac:dyDescent="0.2">
      <c r="A43" s="13">
        <f>A42+1</f>
        <v>30</v>
      </c>
      <c r="B43" s="25" t="s">
        <v>385</v>
      </c>
      <c r="C43" s="14" t="s">
        <v>452</v>
      </c>
      <c r="D43" s="14" t="s">
        <v>526</v>
      </c>
      <c r="E43" s="46" t="s">
        <v>1432</v>
      </c>
      <c r="F43" s="22">
        <v>2</v>
      </c>
      <c r="G43" s="61">
        <v>41908</v>
      </c>
      <c r="H43" s="62"/>
      <c r="I43" s="73">
        <v>-2</v>
      </c>
      <c r="J43" s="117" t="s">
        <v>1940</v>
      </c>
      <c r="K43" s="16">
        <v>41910</v>
      </c>
      <c r="L43" s="181" t="s">
        <v>1941</v>
      </c>
      <c r="M43" s="18">
        <v>41911</v>
      </c>
      <c r="N43" s="46" t="s">
        <v>2211</v>
      </c>
      <c r="O43" s="26">
        <v>41980</v>
      </c>
      <c r="P43" s="66" t="s">
        <v>1852</v>
      </c>
      <c r="Q43" s="15" t="s">
        <v>1980</v>
      </c>
      <c r="R43" s="62">
        <v>41913</v>
      </c>
      <c r="S43" s="46" t="s">
        <v>2212</v>
      </c>
      <c r="T43" s="26">
        <v>41914</v>
      </c>
      <c r="U43" s="63" t="s">
        <v>1465</v>
      </c>
      <c r="V43" s="70" t="s">
        <v>1442</v>
      </c>
      <c r="W43" s="37"/>
      <c r="X43" s="37"/>
      <c r="Y43" s="38"/>
      <c r="Z43" s="39"/>
      <c r="AA43" s="40"/>
      <c r="AB43" s="41"/>
      <c r="AC43" s="40"/>
      <c r="AD43" s="40"/>
      <c r="AE43" s="40"/>
      <c r="AF43" s="40"/>
      <c r="AG43" s="41"/>
      <c r="AH43" s="40"/>
      <c r="AI43" s="42"/>
    </row>
    <row r="44" spans="1:35" s="5" customFormat="1" ht="33" customHeight="1" x14ac:dyDescent="0.2">
      <c r="A44" s="13">
        <f>A43+1</f>
        <v>31</v>
      </c>
      <c r="B44" s="25" t="s">
        <v>386</v>
      </c>
      <c r="C44" s="14" t="s">
        <v>453</v>
      </c>
      <c r="D44" s="14" t="s">
        <v>1417</v>
      </c>
      <c r="E44" s="224" t="s">
        <v>3059</v>
      </c>
      <c r="F44" s="22">
        <v>2</v>
      </c>
      <c r="G44" s="18">
        <v>42250</v>
      </c>
      <c r="H44" s="227">
        <v>42095</v>
      </c>
      <c r="I44" s="73">
        <f t="shared" ca="1" si="1"/>
        <v>-1812</v>
      </c>
      <c r="J44" s="16"/>
      <c r="K44" s="16"/>
      <c r="L44" s="17"/>
      <c r="M44" s="18"/>
      <c r="N44" s="8"/>
      <c r="O44" s="9"/>
      <c r="P44" s="8"/>
      <c r="Q44" s="8"/>
      <c r="R44" s="8"/>
      <c r="S44" s="8"/>
      <c r="T44" s="9"/>
      <c r="U44" s="8"/>
      <c r="V44" s="19"/>
      <c r="W44" s="37"/>
      <c r="X44" s="37"/>
      <c r="Y44" s="38"/>
      <c r="Z44" s="39"/>
      <c r="AA44" s="40"/>
      <c r="AB44" s="41"/>
      <c r="AC44" s="40"/>
      <c r="AD44" s="40"/>
      <c r="AE44" s="40"/>
      <c r="AF44" s="40"/>
      <c r="AG44" s="41"/>
      <c r="AH44" s="40"/>
      <c r="AI44" s="42"/>
    </row>
    <row r="45" spans="1:35" s="5" customFormat="1" ht="33" hidden="1" customHeight="1" x14ac:dyDescent="0.2">
      <c r="A45" s="13">
        <f t="shared" si="0"/>
        <v>32</v>
      </c>
      <c r="B45" s="25" t="s">
        <v>387</v>
      </c>
      <c r="C45" s="14" t="s">
        <v>454</v>
      </c>
      <c r="D45" s="14" t="s">
        <v>527</v>
      </c>
      <c r="E45" s="15"/>
      <c r="F45" s="22">
        <v>2</v>
      </c>
      <c r="G45" s="61">
        <v>41855</v>
      </c>
      <c r="H45" s="227">
        <v>41855</v>
      </c>
      <c r="I45" s="73">
        <f t="shared" ca="1" si="1"/>
        <v>-2207</v>
      </c>
      <c r="J45" s="16"/>
      <c r="K45" s="16"/>
      <c r="L45" s="17"/>
      <c r="M45" s="18"/>
      <c r="N45" s="8"/>
      <c r="O45" s="9"/>
      <c r="P45" s="8"/>
      <c r="Q45" s="8"/>
      <c r="R45" s="8"/>
      <c r="S45" s="8"/>
      <c r="T45" s="9"/>
      <c r="U45" s="8"/>
      <c r="V45" s="19"/>
      <c r="W45" s="37"/>
      <c r="X45" s="37"/>
      <c r="Y45" s="38"/>
      <c r="Z45" s="39"/>
      <c r="AA45" s="40"/>
      <c r="AB45" s="41"/>
      <c r="AC45" s="40"/>
      <c r="AD45" s="40"/>
      <c r="AE45" s="40"/>
      <c r="AF45" s="40"/>
      <c r="AG45" s="41"/>
      <c r="AH45" s="40"/>
      <c r="AI45" s="42"/>
    </row>
    <row r="46" spans="1:35" s="5" customFormat="1" ht="33" customHeight="1" x14ac:dyDescent="0.2">
      <c r="A46" s="13">
        <f t="shared" si="0"/>
        <v>33</v>
      </c>
      <c r="B46" s="24" t="s">
        <v>3322</v>
      </c>
      <c r="C46" s="14" t="s">
        <v>455</v>
      </c>
      <c r="D46" s="14" t="s">
        <v>1418</v>
      </c>
      <c r="E46" s="290" t="s">
        <v>1432</v>
      </c>
      <c r="F46" s="22">
        <v>2</v>
      </c>
      <c r="G46" s="18">
        <v>42246</v>
      </c>
      <c r="H46" s="227">
        <v>42102</v>
      </c>
      <c r="I46" s="61"/>
      <c r="J46" s="17" t="s">
        <v>3329</v>
      </c>
      <c r="K46" s="16">
        <v>42641</v>
      </c>
      <c r="L46" s="17" t="s">
        <v>3331</v>
      </c>
      <c r="M46" s="250">
        <v>42646</v>
      </c>
      <c r="N46" s="290" t="s">
        <v>3336</v>
      </c>
      <c r="O46" s="26">
        <v>42649</v>
      </c>
      <c r="P46" s="17">
        <v>1</v>
      </c>
      <c r="Q46" s="17" t="s">
        <v>3332</v>
      </c>
      <c r="R46" s="62">
        <v>42646</v>
      </c>
      <c r="S46" s="46" t="s">
        <v>3341</v>
      </c>
      <c r="T46" s="9"/>
      <c r="U46" s="8" t="s">
        <v>1432</v>
      </c>
      <c r="V46" s="322" t="s">
        <v>3354</v>
      </c>
      <c r="W46" s="37"/>
      <c r="X46" s="37"/>
      <c r="Y46" s="38"/>
      <c r="Z46" s="39"/>
      <c r="AA46" s="40"/>
      <c r="AB46" s="41"/>
      <c r="AC46" s="40"/>
      <c r="AD46" s="40"/>
      <c r="AE46" s="40"/>
      <c r="AF46" s="40"/>
      <c r="AG46" s="41"/>
      <c r="AH46" s="40"/>
      <c r="AI46" s="42"/>
    </row>
    <row r="47" spans="1:35" s="5" customFormat="1" ht="33" customHeight="1" x14ac:dyDescent="0.2">
      <c r="A47" s="13">
        <f t="shared" si="0"/>
        <v>34</v>
      </c>
      <c r="B47" s="24" t="s">
        <v>388</v>
      </c>
      <c r="C47" s="14" t="s">
        <v>456</v>
      </c>
      <c r="D47" s="14" t="s">
        <v>1419</v>
      </c>
      <c r="E47" s="46" t="s">
        <v>1432</v>
      </c>
      <c r="F47" s="22">
        <v>2</v>
      </c>
      <c r="G47" s="18">
        <v>42210</v>
      </c>
      <c r="H47" s="227">
        <v>42109</v>
      </c>
      <c r="I47" s="73">
        <v>-24</v>
      </c>
      <c r="J47" s="17" t="s">
        <v>2673</v>
      </c>
      <c r="K47" s="61">
        <v>42235</v>
      </c>
      <c r="L47" s="17" t="s">
        <v>2674</v>
      </c>
      <c r="M47" s="250">
        <v>42235</v>
      </c>
      <c r="N47" s="292" t="s">
        <v>3052</v>
      </c>
      <c r="O47" s="26">
        <v>42297</v>
      </c>
      <c r="P47" s="17">
        <v>1</v>
      </c>
      <c r="Q47" s="17" t="s">
        <v>2681</v>
      </c>
      <c r="R47" s="62">
        <v>42236</v>
      </c>
      <c r="S47" s="290" t="s">
        <v>3102</v>
      </c>
      <c r="T47" s="26">
        <v>42333</v>
      </c>
      <c r="U47" s="17" t="s">
        <v>1369</v>
      </c>
      <c r="V47" s="70" t="s">
        <v>1442</v>
      </c>
      <c r="W47" s="37"/>
      <c r="X47" s="37"/>
      <c r="Y47" s="38"/>
      <c r="Z47" s="39"/>
      <c r="AA47" s="40"/>
      <c r="AB47" s="41"/>
      <c r="AC47" s="40"/>
      <c r="AD47" s="40"/>
      <c r="AE47" s="40"/>
      <c r="AF47" s="40"/>
      <c r="AG47" s="41"/>
      <c r="AH47" s="40"/>
      <c r="AI47" s="42"/>
    </row>
    <row r="48" spans="1:35" s="5" customFormat="1" ht="33" customHeight="1" x14ac:dyDescent="0.2">
      <c r="A48" s="13">
        <f t="shared" si="0"/>
        <v>35</v>
      </c>
      <c r="B48" s="24" t="s">
        <v>389</v>
      </c>
      <c r="C48" s="14" t="s">
        <v>457</v>
      </c>
      <c r="D48" s="14" t="s">
        <v>1420</v>
      </c>
      <c r="E48" s="46" t="s">
        <v>1432</v>
      </c>
      <c r="F48" s="22">
        <v>2</v>
      </c>
      <c r="G48" s="61">
        <v>42223</v>
      </c>
      <c r="H48" s="227">
        <v>42116</v>
      </c>
      <c r="I48" s="73">
        <v>-6</v>
      </c>
      <c r="J48" s="17" t="s">
        <v>2616</v>
      </c>
      <c r="K48" s="16">
        <v>42229</v>
      </c>
      <c r="L48" s="17" t="s">
        <v>2617</v>
      </c>
      <c r="M48" s="61">
        <v>42232</v>
      </c>
      <c r="N48" s="46" t="s">
        <v>2671</v>
      </c>
      <c r="O48" s="242">
        <v>42234</v>
      </c>
      <c r="P48" s="17">
        <v>1</v>
      </c>
      <c r="Q48" s="258" t="s">
        <v>2637</v>
      </c>
      <c r="R48" s="62">
        <v>42232</v>
      </c>
      <c r="S48" s="290" t="s">
        <v>3103</v>
      </c>
      <c r="T48" s="26">
        <v>42333</v>
      </c>
      <c r="U48" s="17" t="s">
        <v>1369</v>
      </c>
      <c r="V48" s="70" t="s">
        <v>1442</v>
      </c>
      <c r="W48" s="37"/>
      <c r="X48" s="37"/>
      <c r="Y48" s="38"/>
      <c r="Z48" s="39"/>
      <c r="AA48" s="40"/>
      <c r="AB48" s="41"/>
      <c r="AC48" s="40"/>
      <c r="AD48" s="40"/>
      <c r="AE48" s="40"/>
      <c r="AF48" s="40"/>
      <c r="AG48" s="41"/>
      <c r="AH48" s="40"/>
      <c r="AI48" s="42"/>
    </row>
    <row r="49" spans="1:35" s="5" customFormat="1" ht="33" hidden="1" customHeight="1" x14ac:dyDescent="0.2">
      <c r="A49" s="13">
        <f t="shared" si="0"/>
        <v>36</v>
      </c>
      <c r="B49" s="25" t="s">
        <v>390</v>
      </c>
      <c r="C49" s="14" t="s">
        <v>458</v>
      </c>
      <c r="D49" s="14" t="s">
        <v>1425</v>
      </c>
      <c r="E49" s="15"/>
      <c r="F49" s="22">
        <v>2</v>
      </c>
      <c r="G49" s="61">
        <v>41888</v>
      </c>
      <c r="H49" s="227">
        <v>41888</v>
      </c>
      <c r="I49" s="73">
        <f t="shared" ca="1" si="1"/>
        <v>-2174</v>
      </c>
      <c r="J49" s="16"/>
      <c r="K49" s="16"/>
      <c r="L49" s="17"/>
      <c r="M49" s="18"/>
      <c r="N49" s="8"/>
      <c r="O49" s="9"/>
      <c r="P49" s="8"/>
      <c r="Q49" s="8"/>
      <c r="R49" s="8"/>
      <c r="S49" s="8"/>
      <c r="T49" s="9"/>
      <c r="U49" s="8"/>
      <c r="V49" s="19"/>
      <c r="W49" s="37"/>
      <c r="X49" s="37"/>
      <c r="Y49" s="38"/>
      <c r="Z49" s="39"/>
      <c r="AA49" s="40"/>
      <c r="AB49" s="41"/>
      <c r="AC49" s="40"/>
      <c r="AD49" s="40"/>
      <c r="AE49" s="40"/>
      <c r="AF49" s="40"/>
      <c r="AG49" s="41"/>
      <c r="AH49" s="40"/>
      <c r="AI49" s="42"/>
    </row>
    <row r="50" spans="1:35" s="5" customFormat="1" ht="33" hidden="1" customHeight="1" x14ac:dyDescent="0.2">
      <c r="A50" s="13">
        <f t="shared" si="0"/>
        <v>37</v>
      </c>
      <c r="B50" s="25" t="s">
        <v>391</v>
      </c>
      <c r="C50" s="14" t="s">
        <v>459</v>
      </c>
      <c r="D50" s="14" t="s">
        <v>1426</v>
      </c>
      <c r="E50" s="15"/>
      <c r="F50" s="22">
        <v>2</v>
      </c>
      <c r="G50" s="61">
        <v>41933</v>
      </c>
      <c r="H50" s="227">
        <v>41933</v>
      </c>
      <c r="I50" s="73">
        <f t="shared" ca="1" si="1"/>
        <v>-2129</v>
      </c>
      <c r="J50" s="16"/>
      <c r="K50" s="16"/>
      <c r="L50" s="17"/>
      <c r="M50" s="18"/>
      <c r="N50" s="8"/>
      <c r="O50" s="9"/>
      <c r="P50" s="8"/>
      <c r="Q50" s="8"/>
      <c r="R50" s="8"/>
      <c r="S50" s="8"/>
      <c r="T50" s="9"/>
      <c r="U50" s="8"/>
      <c r="V50" s="19"/>
      <c r="W50" s="37"/>
      <c r="X50" s="37"/>
      <c r="Y50" s="38"/>
      <c r="Z50" s="39"/>
      <c r="AA50" s="40"/>
      <c r="AB50" s="41"/>
      <c r="AC50" s="40"/>
      <c r="AD50" s="40"/>
      <c r="AE50" s="40"/>
      <c r="AF50" s="40"/>
      <c r="AG50" s="41"/>
      <c r="AH50" s="40"/>
      <c r="AI50" s="42"/>
    </row>
    <row r="51" spans="1:35" s="5" customFormat="1" ht="33" hidden="1" customHeight="1" x14ac:dyDescent="0.2">
      <c r="A51" s="13">
        <f t="shared" si="0"/>
        <v>38</v>
      </c>
      <c r="B51" s="25" t="s">
        <v>392</v>
      </c>
      <c r="C51" s="14" t="s">
        <v>460</v>
      </c>
      <c r="D51" s="14" t="s">
        <v>1427</v>
      </c>
      <c r="E51" s="15"/>
      <c r="F51" s="22">
        <v>2</v>
      </c>
      <c r="G51" s="61">
        <v>41877</v>
      </c>
      <c r="H51" s="227">
        <v>41877</v>
      </c>
      <c r="I51" s="73">
        <f t="shared" ca="1" si="1"/>
        <v>-2185</v>
      </c>
      <c r="J51" s="16"/>
      <c r="K51" s="16"/>
      <c r="L51" s="17"/>
      <c r="M51" s="18"/>
      <c r="N51" s="8"/>
      <c r="O51" s="9"/>
      <c r="P51" s="8"/>
      <c r="Q51" s="8"/>
      <c r="R51" s="8"/>
      <c r="S51" s="8"/>
      <c r="T51" s="9"/>
      <c r="U51" s="8"/>
      <c r="V51" s="19"/>
      <c r="W51" s="37"/>
      <c r="X51" s="37"/>
      <c r="Y51" s="38"/>
      <c r="Z51" s="39"/>
      <c r="AA51" s="40"/>
      <c r="AB51" s="41"/>
      <c r="AC51" s="40"/>
      <c r="AD51" s="40"/>
      <c r="AE51" s="40"/>
      <c r="AF51" s="40"/>
      <c r="AG51" s="41"/>
      <c r="AH51" s="40"/>
      <c r="AI51" s="42"/>
    </row>
    <row r="52" spans="1:35" s="5" customFormat="1" ht="33" hidden="1" customHeight="1" x14ac:dyDescent="0.2">
      <c r="A52" s="13">
        <f t="shared" si="0"/>
        <v>39</v>
      </c>
      <c r="B52" s="25" t="s">
        <v>393</v>
      </c>
      <c r="C52" s="14" t="s">
        <v>461</v>
      </c>
      <c r="D52" s="14" t="s">
        <v>528</v>
      </c>
      <c r="E52" s="15"/>
      <c r="F52" s="22">
        <v>2</v>
      </c>
      <c r="G52" s="61">
        <v>41908</v>
      </c>
      <c r="H52" s="227">
        <v>41908</v>
      </c>
      <c r="I52" s="73">
        <f t="shared" ca="1" si="1"/>
        <v>-2154</v>
      </c>
      <c r="J52" s="16"/>
      <c r="K52" s="16"/>
      <c r="L52" s="17"/>
      <c r="M52" s="18"/>
      <c r="N52" s="8"/>
      <c r="O52" s="9"/>
      <c r="P52" s="8"/>
      <c r="Q52" s="8"/>
      <c r="R52" s="8"/>
      <c r="S52" s="8"/>
      <c r="T52" s="9"/>
      <c r="U52" s="8"/>
      <c r="V52" s="19"/>
      <c r="W52" s="37"/>
      <c r="X52" s="37"/>
      <c r="Y52" s="38"/>
      <c r="Z52" s="39"/>
      <c r="AA52" s="40"/>
      <c r="AB52" s="41"/>
      <c r="AC52" s="40"/>
      <c r="AD52" s="40"/>
      <c r="AE52" s="40"/>
      <c r="AF52" s="40"/>
      <c r="AG52" s="41"/>
      <c r="AH52" s="40"/>
      <c r="AI52" s="42"/>
    </row>
    <row r="53" spans="1:35" s="5" customFormat="1" ht="33" customHeight="1" x14ac:dyDescent="0.2">
      <c r="A53" s="13">
        <f t="shared" si="0"/>
        <v>40</v>
      </c>
      <c r="B53" s="24" t="s">
        <v>394</v>
      </c>
      <c r="C53" s="14" t="s">
        <v>462</v>
      </c>
      <c r="D53" s="14" t="s">
        <v>1428</v>
      </c>
      <c r="E53" s="224" t="s">
        <v>3059</v>
      </c>
      <c r="F53" s="22">
        <v>2</v>
      </c>
      <c r="G53" s="18">
        <v>42254</v>
      </c>
      <c r="H53" s="227">
        <v>42123</v>
      </c>
      <c r="I53" s="73">
        <f t="shared" ca="1" si="1"/>
        <v>-1808</v>
      </c>
      <c r="J53" s="16"/>
      <c r="K53" s="16"/>
      <c r="L53" s="17"/>
      <c r="M53" s="18"/>
      <c r="N53" s="8"/>
      <c r="O53" s="9"/>
      <c r="P53" s="8"/>
      <c r="Q53" s="8"/>
      <c r="R53" s="8"/>
      <c r="S53" s="8"/>
      <c r="T53" s="9"/>
      <c r="U53" s="8"/>
      <c r="V53" s="19"/>
      <c r="W53" s="37"/>
      <c r="X53" s="37"/>
      <c r="Y53" s="38"/>
      <c r="Z53" s="39"/>
      <c r="AA53" s="40"/>
      <c r="AB53" s="41"/>
      <c r="AC53" s="40"/>
      <c r="AD53" s="40"/>
      <c r="AE53" s="40"/>
      <c r="AF53" s="40"/>
      <c r="AG53" s="41"/>
      <c r="AH53" s="40"/>
      <c r="AI53" s="42"/>
    </row>
    <row r="54" spans="1:35" s="5" customFormat="1" ht="33" hidden="1" customHeight="1" x14ac:dyDescent="0.2">
      <c r="A54" s="13">
        <f t="shared" si="0"/>
        <v>41</v>
      </c>
      <c r="B54" s="25" t="s">
        <v>395</v>
      </c>
      <c r="C54" s="14" t="s">
        <v>463</v>
      </c>
      <c r="D54" s="14" t="s">
        <v>529</v>
      </c>
      <c r="E54" s="224" t="s">
        <v>3059</v>
      </c>
      <c r="F54" s="22">
        <v>2</v>
      </c>
      <c r="G54" s="61">
        <v>41855</v>
      </c>
      <c r="H54" s="227">
        <v>41855</v>
      </c>
      <c r="I54" s="73">
        <f t="shared" ca="1" si="1"/>
        <v>-2207</v>
      </c>
      <c r="J54" s="16"/>
      <c r="K54" s="16"/>
      <c r="L54" s="17"/>
      <c r="M54" s="18"/>
      <c r="N54" s="8"/>
      <c r="O54" s="9"/>
      <c r="P54" s="8"/>
      <c r="Q54" s="8"/>
      <c r="R54" s="8"/>
      <c r="S54" s="8"/>
      <c r="T54" s="9"/>
      <c r="U54" s="8"/>
      <c r="V54" s="19"/>
      <c r="W54" s="37"/>
      <c r="X54" s="37"/>
      <c r="Y54" s="38"/>
      <c r="Z54" s="39"/>
      <c r="AA54" s="40"/>
      <c r="AB54" s="41"/>
      <c r="AC54" s="40"/>
      <c r="AD54" s="40"/>
      <c r="AE54" s="40"/>
      <c r="AF54" s="40"/>
      <c r="AG54" s="41"/>
      <c r="AH54" s="40"/>
      <c r="AI54" s="42"/>
    </row>
    <row r="55" spans="1:35" s="5" customFormat="1" ht="33" customHeight="1" x14ac:dyDescent="0.2">
      <c r="A55" s="360">
        <f t="shared" si="0"/>
        <v>42</v>
      </c>
      <c r="B55" s="356" t="s">
        <v>3238</v>
      </c>
      <c r="C55" s="347" t="s">
        <v>464</v>
      </c>
      <c r="D55" s="347" t="s">
        <v>530</v>
      </c>
      <c r="E55" s="46" t="s">
        <v>1432</v>
      </c>
      <c r="F55" s="22">
        <v>2</v>
      </c>
      <c r="G55" s="18">
        <v>42258</v>
      </c>
      <c r="H55" s="227">
        <v>42130</v>
      </c>
      <c r="I55" s="73">
        <v>-152</v>
      </c>
      <c r="J55" s="61" t="s">
        <v>3236</v>
      </c>
      <c r="K55" s="16">
        <v>42410</v>
      </c>
      <c r="L55" s="17" t="s">
        <v>3237</v>
      </c>
      <c r="M55" s="18">
        <v>42414</v>
      </c>
      <c r="N55" s="46" t="s">
        <v>3295</v>
      </c>
      <c r="O55" s="26">
        <v>42444</v>
      </c>
      <c r="P55" s="17">
        <v>2</v>
      </c>
      <c r="Q55" s="17" t="s">
        <v>3251</v>
      </c>
      <c r="R55" s="62">
        <v>42416</v>
      </c>
      <c r="S55" s="290" t="s">
        <v>3263</v>
      </c>
      <c r="T55" s="26">
        <v>42422</v>
      </c>
      <c r="U55" s="17" t="s">
        <v>1369</v>
      </c>
      <c r="V55" s="70" t="s">
        <v>1442</v>
      </c>
      <c r="W55" s="37"/>
      <c r="X55" s="37"/>
      <c r="Y55" s="38"/>
      <c r="Z55" s="39"/>
      <c r="AA55" s="40"/>
      <c r="AB55" s="41"/>
      <c r="AC55" s="40"/>
      <c r="AD55" s="40"/>
      <c r="AE55" s="40"/>
      <c r="AF55" s="40"/>
      <c r="AG55" s="41"/>
      <c r="AH55" s="40"/>
      <c r="AI55" s="42"/>
    </row>
    <row r="56" spans="1:35" s="5" customFormat="1" ht="33" customHeight="1" x14ac:dyDescent="0.2">
      <c r="A56" s="361"/>
      <c r="B56" s="358"/>
      <c r="C56" s="348"/>
      <c r="D56" s="348"/>
      <c r="E56" s="290" t="s">
        <v>1459</v>
      </c>
      <c r="F56" s="329">
        <v>2</v>
      </c>
      <c r="G56" s="18"/>
      <c r="H56" s="227"/>
      <c r="I56" s="73"/>
      <c r="J56" s="61" t="s">
        <v>3389</v>
      </c>
      <c r="K56" s="61">
        <v>42688</v>
      </c>
      <c r="L56" s="330" t="s">
        <v>3390</v>
      </c>
      <c r="M56" s="61">
        <v>42689</v>
      </c>
      <c r="N56" s="46" t="s">
        <v>3400</v>
      </c>
      <c r="O56" s="26">
        <v>42731</v>
      </c>
      <c r="P56" s="17">
        <v>1</v>
      </c>
      <c r="Q56" s="328" t="s">
        <v>3391</v>
      </c>
      <c r="R56" s="61">
        <v>42689</v>
      </c>
      <c r="S56" s="290" t="s">
        <v>3396</v>
      </c>
      <c r="T56" s="26">
        <v>42688</v>
      </c>
      <c r="U56" s="17" t="s">
        <v>1369</v>
      </c>
      <c r="V56" s="70"/>
      <c r="W56" s="37"/>
      <c r="X56" s="37"/>
      <c r="Y56" s="38"/>
      <c r="Z56" s="39"/>
      <c r="AA56" s="40"/>
      <c r="AB56" s="41"/>
      <c r="AC56" s="40"/>
      <c r="AD56" s="40"/>
      <c r="AE56" s="40"/>
      <c r="AF56" s="40"/>
      <c r="AG56" s="41"/>
      <c r="AH56" s="40"/>
      <c r="AI56" s="42"/>
    </row>
    <row r="57" spans="1:35" s="5" customFormat="1" ht="33" customHeight="1" x14ac:dyDescent="0.2">
      <c r="A57" s="13">
        <f>A55+1</f>
        <v>43</v>
      </c>
      <c r="B57" s="24" t="s">
        <v>396</v>
      </c>
      <c r="C57" s="14" t="s">
        <v>465</v>
      </c>
      <c r="D57" s="14" t="s">
        <v>531</v>
      </c>
      <c r="E57" s="224" t="s">
        <v>3059</v>
      </c>
      <c r="F57" s="22">
        <v>2</v>
      </c>
      <c r="G57" s="18">
        <v>42214</v>
      </c>
      <c r="H57" s="227">
        <v>42137</v>
      </c>
      <c r="I57" s="73">
        <f t="shared" ca="1" si="1"/>
        <v>-1848</v>
      </c>
      <c r="J57" s="16"/>
      <c r="K57" s="16"/>
      <c r="L57" s="17"/>
      <c r="M57" s="18"/>
      <c r="N57" s="8"/>
      <c r="O57" s="9"/>
      <c r="P57" s="8"/>
      <c r="Q57" s="8"/>
      <c r="R57" s="26"/>
      <c r="S57" s="8"/>
      <c r="T57" s="9"/>
      <c r="U57" s="8"/>
      <c r="V57" s="19"/>
      <c r="W57" s="37"/>
      <c r="X57" s="37"/>
      <c r="Y57" s="38"/>
      <c r="Z57" s="39"/>
      <c r="AA57" s="40"/>
      <c r="AB57" s="41"/>
      <c r="AC57" s="40"/>
      <c r="AD57" s="40"/>
      <c r="AE57" s="40"/>
      <c r="AF57" s="40"/>
      <c r="AG57" s="41"/>
      <c r="AH57" s="40"/>
      <c r="AI57" s="42"/>
    </row>
    <row r="58" spans="1:35" s="5" customFormat="1" ht="33" customHeight="1" x14ac:dyDescent="0.2">
      <c r="A58" s="13">
        <f t="shared" si="0"/>
        <v>44</v>
      </c>
      <c r="B58" s="24" t="s">
        <v>397</v>
      </c>
      <c r="C58" s="14" t="s">
        <v>466</v>
      </c>
      <c r="D58" s="14" t="s">
        <v>532</v>
      </c>
      <c r="E58" s="224" t="s">
        <v>3059</v>
      </c>
      <c r="F58" s="22">
        <v>2</v>
      </c>
      <c r="G58" s="61">
        <v>42230</v>
      </c>
      <c r="H58" s="227">
        <v>42144</v>
      </c>
      <c r="I58" s="73">
        <f t="shared" ca="1" si="1"/>
        <v>-1832</v>
      </c>
      <c r="J58" s="16"/>
      <c r="K58" s="16"/>
      <c r="L58" s="17"/>
      <c r="M58" s="18"/>
      <c r="N58" s="8"/>
      <c r="O58" s="9"/>
      <c r="P58" s="8"/>
      <c r="Q58" s="8"/>
      <c r="R58" s="26"/>
      <c r="S58" s="8"/>
      <c r="T58" s="9"/>
      <c r="U58" s="8"/>
      <c r="V58" s="19"/>
      <c r="W58" s="37"/>
      <c r="X58" s="37"/>
      <c r="Y58" s="38"/>
      <c r="Z58" s="39"/>
      <c r="AA58" s="40"/>
      <c r="AB58" s="41"/>
      <c r="AC58" s="40"/>
      <c r="AD58" s="40"/>
      <c r="AE58" s="40"/>
      <c r="AF58" s="40"/>
      <c r="AG58" s="41"/>
      <c r="AH58" s="40"/>
      <c r="AI58" s="42"/>
    </row>
    <row r="59" spans="1:35" s="5" customFormat="1" ht="33" customHeight="1" x14ac:dyDescent="0.2">
      <c r="A59" s="13">
        <f t="shared" si="0"/>
        <v>45</v>
      </c>
      <c r="B59" s="24" t="s">
        <v>398</v>
      </c>
      <c r="C59" s="14" t="s">
        <v>467</v>
      </c>
      <c r="D59" s="14" t="s">
        <v>533</v>
      </c>
      <c r="E59" s="224" t="s">
        <v>3059</v>
      </c>
      <c r="F59" s="212">
        <v>2</v>
      </c>
      <c r="G59" s="61">
        <v>42261</v>
      </c>
      <c r="H59" s="227">
        <v>42278</v>
      </c>
      <c r="I59" s="73">
        <f t="shared" ca="1" si="1"/>
        <v>-1801</v>
      </c>
      <c r="J59" s="61"/>
      <c r="K59" s="16"/>
      <c r="L59" s="17"/>
      <c r="M59" s="18"/>
      <c r="N59" s="8"/>
      <c r="O59" s="9"/>
      <c r="P59" s="8"/>
      <c r="Q59" s="8"/>
      <c r="R59" s="26"/>
      <c r="S59" s="8"/>
      <c r="T59" s="9"/>
      <c r="U59" s="8"/>
      <c r="V59" s="19"/>
      <c r="W59" s="37"/>
      <c r="X59" s="37"/>
      <c r="Y59" s="38"/>
      <c r="Z59" s="39"/>
      <c r="AA59" s="40"/>
      <c r="AB59" s="41"/>
      <c r="AC59" s="40"/>
      <c r="AD59" s="40"/>
      <c r="AE59" s="40"/>
      <c r="AF59" s="40"/>
      <c r="AG59" s="41"/>
      <c r="AH59" s="40"/>
      <c r="AI59" s="42"/>
    </row>
    <row r="60" spans="1:35" s="5" customFormat="1" ht="31.5" hidden="1" customHeight="1" x14ac:dyDescent="0.2">
      <c r="A60" s="360">
        <f>A59+1</f>
        <v>46</v>
      </c>
      <c r="B60" s="461" t="s">
        <v>1372</v>
      </c>
      <c r="C60" s="347" t="s">
        <v>468</v>
      </c>
      <c r="D60" s="347" t="s">
        <v>1396</v>
      </c>
      <c r="E60" s="224" t="s">
        <v>3059</v>
      </c>
      <c r="F60" s="485">
        <v>2</v>
      </c>
      <c r="G60" s="228">
        <v>41798</v>
      </c>
      <c r="H60" s="230"/>
      <c r="I60" s="73"/>
      <c r="J60" s="61" t="s">
        <v>1450</v>
      </c>
      <c r="K60" s="62">
        <v>41780</v>
      </c>
      <c r="L60" s="64" t="s">
        <v>1451</v>
      </c>
      <c r="M60" s="62">
        <v>41785</v>
      </c>
      <c r="N60" s="46" t="s">
        <v>1555</v>
      </c>
      <c r="O60" s="26">
        <v>41816</v>
      </c>
      <c r="P60" s="66" t="s">
        <v>1481</v>
      </c>
      <c r="Q60" s="64" t="s">
        <v>1455</v>
      </c>
      <c r="R60" s="26">
        <v>41786</v>
      </c>
      <c r="S60" s="46" t="s">
        <v>1453</v>
      </c>
      <c r="T60" s="26">
        <v>41788</v>
      </c>
      <c r="U60" s="52" t="s">
        <v>1454</v>
      </c>
      <c r="V60" s="19" t="s">
        <v>1482</v>
      </c>
      <c r="W60" s="37"/>
      <c r="X60" s="37"/>
      <c r="Y60" s="38"/>
      <c r="Z60" s="39"/>
      <c r="AA60" s="40"/>
      <c r="AB60" s="41"/>
      <c r="AC60" s="40"/>
      <c r="AD60" s="40"/>
      <c r="AE60" s="40"/>
      <c r="AF60" s="40"/>
      <c r="AG60" s="41"/>
      <c r="AH60" s="40"/>
      <c r="AI60" s="42"/>
    </row>
    <row r="61" spans="1:35" s="5" customFormat="1" ht="12.75" hidden="1" customHeight="1" x14ac:dyDescent="0.2">
      <c r="A61" s="361"/>
      <c r="B61" s="462"/>
      <c r="C61" s="348"/>
      <c r="D61" s="348"/>
      <c r="E61" s="224" t="s">
        <v>3059</v>
      </c>
      <c r="F61" s="486"/>
      <c r="G61" s="233"/>
      <c r="H61" s="231"/>
      <c r="I61" s="73"/>
      <c r="J61" s="61" t="s">
        <v>1460</v>
      </c>
      <c r="K61" s="62">
        <v>41791</v>
      </c>
      <c r="L61" s="64" t="s">
        <v>1461</v>
      </c>
      <c r="M61" s="62">
        <v>41792</v>
      </c>
      <c r="N61" s="46" t="s">
        <v>1480</v>
      </c>
      <c r="O61" s="26">
        <v>41795</v>
      </c>
      <c r="P61" s="66" t="s">
        <v>1481</v>
      </c>
      <c r="Q61" s="64" t="s">
        <v>1472</v>
      </c>
      <c r="R61" s="26">
        <v>41794</v>
      </c>
      <c r="S61" s="46" t="s">
        <v>1464</v>
      </c>
      <c r="T61" s="26">
        <v>41793</v>
      </c>
      <c r="U61" s="63" t="s">
        <v>1465</v>
      </c>
      <c r="V61" s="19"/>
      <c r="W61" s="37"/>
      <c r="X61" s="37"/>
      <c r="Y61" s="38"/>
      <c r="Z61" s="39"/>
      <c r="AA61" s="40"/>
      <c r="AB61" s="41"/>
      <c r="AC61" s="40"/>
      <c r="AD61" s="40"/>
      <c r="AE61" s="40"/>
      <c r="AF61" s="40"/>
      <c r="AG61" s="41"/>
      <c r="AH61" s="40"/>
      <c r="AI61" s="42"/>
    </row>
    <row r="62" spans="1:35" s="5" customFormat="1" ht="21" hidden="1" customHeight="1" x14ac:dyDescent="0.2">
      <c r="A62" s="13">
        <f>A60+1</f>
        <v>47</v>
      </c>
      <c r="B62" s="155" t="s">
        <v>1373</v>
      </c>
      <c r="C62" s="156" t="s">
        <v>469</v>
      </c>
      <c r="D62" s="156" t="s">
        <v>1397</v>
      </c>
      <c r="E62" s="224" t="s">
        <v>3059</v>
      </c>
      <c r="F62" s="22">
        <v>2</v>
      </c>
      <c r="G62" s="228">
        <v>41811</v>
      </c>
      <c r="H62" s="230"/>
      <c r="I62" s="73"/>
      <c r="J62" s="16"/>
      <c r="K62" s="16"/>
      <c r="L62" s="17"/>
      <c r="M62" s="18"/>
      <c r="N62" s="8"/>
      <c r="O62" s="9"/>
      <c r="P62" s="8"/>
      <c r="Q62" s="8"/>
      <c r="R62" s="26"/>
      <c r="S62" s="8"/>
      <c r="T62" s="9"/>
      <c r="U62" s="8"/>
      <c r="V62" s="19"/>
      <c r="W62" s="37"/>
      <c r="X62" s="37"/>
      <c r="Y62" s="38"/>
      <c r="Z62" s="39"/>
      <c r="AA62" s="40"/>
      <c r="AB62" s="41"/>
      <c r="AC62" s="40"/>
      <c r="AD62" s="40"/>
      <c r="AE62" s="40"/>
      <c r="AF62" s="40"/>
      <c r="AG62" s="41"/>
      <c r="AH62" s="40"/>
      <c r="AI62" s="42"/>
    </row>
    <row r="63" spans="1:35" s="5" customFormat="1" ht="21" hidden="1" customHeight="1" x14ac:dyDescent="0.2">
      <c r="A63" s="13">
        <f t="shared" si="0"/>
        <v>48</v>
      </c>
      <c r="B63" s="25" t="s">
        <v>1614</v>
      </c>
      <c r="C63" s="14" t="s">
        <v>470</v>
      </c>
      <c r="D63" s="14" t="s">
        <v>1398</v>
      </c>
      <c r="E63" s="224" t="s">
        <v>3059</v>
      </c>
      <c r="F63" s="22">
        <v>2</v>
      </c>
      <c r="G63" s="228">
        <v>41825</v>
      </c>
      <c r="H63" s="230"/>
      <c r="I63" s="73"/>
      <c r="J63" s="61" t="s">
        <v>1615</v>
      </c>
      <c r="K63" s="16">
        <v>41837</v>
      </c>
      <c r="L63" s="166" t="s">
        <v>1616</v>
      </c>
      <c r="M63" s="18">
        <v>41840</v>
      </c>
      <c r="N63" s="46" t="s">
        <v>1644</v>
      </c>
      <c r="O63" s="26">
        <v>41842</v>
      </c>
      <c r="P63" s="66" t="s">
        <v>1481</v>
      </c>
      <c r="Q63" s="166" t="s">
        <v>1634</v>
      </c>
      <c r="R63" s="26">
        <v>41841</v>
      </c>
      <c r="S63" s="46" t="s">
        <v>1646</v>
      </c>
      <c r="T63" s="26">
        <v>41843</v>
      </c>
      <c r="U63" s="63" t="s">
        <v>1465</v>
      </c>
      <c r="V63" s="70" t="s">
        <v>1442</v>
      </c>
      <c r="W63" s="37"/>
      <c r="X63" s="37"/>
      <c r="Y63" s="38"/>
      <c r="Z63" s="39"/>
      <c r="AA63" s="40"/>
      <c r="AB63" s="41"/>
      <c r="AC63" s="40"/>
      <c r="AD63" s="40"/>
      <c r="AE63" s="40"/>
      <c r="AF63" s="40"/>
      <c r="AG63" s="41"/>
      <c r="AH63" s="40"/>
      <c r="AI63" s="42"/>
    </row>
    <row r="64" spans="1:35" s="5" customFormat="1" ht="21" hidden="1" customHeight="1" x14ac:dyDescent="0.2">
      <c r="A64" s="13">
        <f t="shared" si="0"/>
        <v>49</v>
      </c>
      <c r="B64" s="155" t="s">
        <v>1374</v>
      </c>
      <c r="C64" s="156" t="s">
        <v>471</v>
      </c>
      <c r="D64" s="156" t="s">
        <v>1399</v>
      </c>
      <c r="E64" s="224" t="s">
        <v>3059</v>
      </c>
      <c r="F64" s="22">
        <v>2</v>
      </c>
      <c r="G64" s="228">
        <v>41845</v>
      </c>
      <c r="H64" s="230"/>
      <c r="I64" s="73"/>
      <c r="J64" s="16"/>
      <c r="K64" s="16"/>
      <c r="L64" s="17"/>
      <c r="M64" s="18"/>
      <c r="N64" s="8"/>
      <c r="O64" s="9"/>
      <c r="P64" s="8"/>
      <c r="Q64" s="8"/>
      <c r="R64" s="26"/>
      <c r="S64" s="8"/>
      <c r="T64" s="9"/>
      <c r="U64" s="8"/>
      <c r="V64" s="19"/>
      <c r="W64" s="37"/>
      <c r="X64" s="37"/>
      <c r="Y64" s="38"/>
      <c r="Z64" s="39"/>
      <c r="AA64" s="40"/>
      <c r="AB64" s="41"/>
      <c r="AC64" s="40"/>
      <c r="AD64" s="40"/>
      <c r="AE64" s="40"/>
      <c r="AF64" s="40"/>
      <c r="AG64" s="41"/>
      <c r="AH64" s="40"/>
      <c r="AI64" s="42"/>
    </row>
    <row r="65" spans="1:35" s="5" customFormat="1" ht="21" hidden="1" customHeight="1" x14ac:dyDescent="0.2">
      <c r="A65" s="13">
        <f t="shared" si="0"/>
        <v>50</v>
      </c>
      <c r="B65" s="155" t="s">
        <v>1375</v>
      </c>
      <c r="C65" s="156" t="s">
        <v>472</v>
      </c>
      <c r="D65" s="156" t="s">
        <v>1400</v>
      </c>
      <c r="E65" s="224" t="s">
        <v>3059</v>
      </c>
      <c r="F65" s="22">
        <v>2</v>
      </c>
      <c r="G65" s="228">
        <v>41859</v>
      </c>
      <c r="H65" s="230"/>
      <c r="I65" s="73"/>
      <c r="J65" s="16"/>
      <c r="K65" s="16"/>
      <c r="L65" s="17"/>
      <c r="M65" s="18"/>
      <c r="N65" s="8"/>
      <c r="O65" s="9"/>
      <c r="P65" s="8"/>
      <c r="Q65" s="8"/>
      <c r="R65" s="26"/>
      <c r="S65" s="8"/>
      <c r="T65" s="9"/>
      <c r="U65" s="8"/>
      <c r="V65" s="19"/>
      <c r="W65" s="37"/>
      <c r="X65" s="37"/>
      <c r="Y65" s="38"/>
      <c r="Z65" s="39"/>
      <c r="AA65" s="40"/>
      <c r="AB65" s="41"/>
      <c r="AC65" s="40"/>
      <c r="AD65" s="40"/>
      <c r="AE65" s="40"/>
      <c r="AF65" s="40"/>
      <c r="AG65" s="41"/>
      <c r="AH65" s="40"/>
      <c r="AI65" s="42"/>
    </row>
    <row r="66" spans="1:35" s="5" customFormat="1" ht="21" hidden="1" customHeight="1" x14ac:dyDescent="0.2">
      <c r="A66" s="13">
        <f t="shared" si="0"/>
        <v>51</v>
      </c>
      <c r="B66" s="25" t="s">
        <v>1834</v>
      </c>
      <c r="C66" s="14" t="s">
        <v>473</v>
      </c>
      <c r="D66" s="14" t="s">
        <v>1401</v>
      </c>
      <c r="E66" s="224" t="s">
        <v>3059</v>
      </c>
      <c r="F66" s="22">
        <v>2</v>
      </c>
      <c r="G66" s="228">
        <v>41872</v>
      </c>
      <c r="H66" s="230"/>
      <c r="I66" s="73">
        <v>-25</v>
      </c>
      <c r="J66" s="61" t="s">
        <v>1835</v>
      </c>
      <c r="K66" s="16">
        <v>41897</v>
      </c>
      <c r="L66" s="181" t="s">
        <v>1836</v>
      </c>
      <c r="M66" s="18">
        <v>41900</v>
      </c>
      <c r="N66" s="46" t="s">
        <v>1926</v>
      </c>
      <c r="O66" s="26">
        <v>41907</v>
      </c>
      <c r="P66" s="66" t="s">
        <v>1481</v>
      </c>
      <c r="Q66" s="131" t="s">
        <v>1892</v>
      </c>
      <c r="R66" s="26">
        <v>41903</v>
      </c>
      <c r="S66" s="71" t="s">
        <v>1853</v>
      </c>
      <c r="T66" s="26">
        <v>41898</v>
      </c>
      <c r="U66" s="63" t="s">
        <v>1465</v>
      </c>
      <c r="V66" s="70" t="s">
        <v>1442</v>
      </c>
      <c r="W66" s="37"/>
      <c r="X66" s="37"/>
      <c r="Y66" s="38"/>
      <c r="Z66" s="39"/>
      <c r="AA66" s="40"/>
      <c r="AB66" s="41"/>
      <c r="AC66" s="40"/>
      <c r="AD66" s="40"/>
      <c r="AE66" s="40"/>
      <c r="AF66" s="40"/>
      <c r="AG66" s="41"/>
      <c r="AH66" s="40"/>
      <c r="AI66" s="42"/>
    </row>
    <row r="67" spans="1:35" s="5" customFormat="1" ht="21" hidden="1" customHeight="1" x14ac:dyDescent="0.2">
      <c r="A67" s="13">
        <f t="shared" si="0"/>
        <v>52</v>
      </c>
      <c r="B67" s="155" t="s">
        <v>1376</v>
      </c>
      <c r="C67" s="156" t="s">
        <v>474</v>
      </c>
      <c r="D67" s="156" t="s">
        <v>1402</v>
      </c>
      <c r="E67" s="224" t="s">
        <v>3059</v>
      </c>
      <c r="F67" s="22">
        <v>2</v>
      </c>
      <c r="G67" s="228">
        <v>41887</v>
      </c>
      <c r="H67" s="230"/>
      <c r="I67" s="73">
        <v>-10</v>
      </c>
      <c r="J67" s="16"/>
      <c r="K67" s="16"/>
      <c r="L67" s="17"/>
      <c r="M67" s="18"/>
      <c r="N67" s="8"/>
      <c r="O67" s="9"/>
      <c r="P67" s="8"/>
      <c r="Q67" s="8"/>
      <c r="R67" s="26"/>
      <c r="S67" s="8"/>
      <c r="T67" s="9"/>
      <c r="U67" s="8"/>
      <c r="V67" s="19" t="s">
        <v>1442</v>
      </c>
      <c r="W67" s="37"/>
      <c r="X67" s="37"/>
      <c r="Y67" s="38"/>
      <c r="Z67" s="39"/>
      <c r="AA67" s="40"/>
      <c r="AB67" s="41"/>
      <c r="AC67" s="40"/>
      <c r="AD67" s="40"/>
      <c r="AE67" s="40"/>
      <c r="AF67" s="40"/>
      <c r="AG67" s="41"/>
      <c r="AH67" s="40"/>
      <c r="AI67" s="42"/>
    </row>
    <row r="68" spans="1:35" s="5" customFormat="1" ht="33" customHeight="1" x14ac:dyDescent="0.2">
      <c r="A68" s="360">
        <f t="shared" si="0"/>
        <v>53</v>
      </c>
      <c r="B68" s="457" t="s">
        <v>3174</v>
      </c>
      <c r="C68" s="347" t="s">
        <v>475</v>
      </c>
      <c r="D68" s="347" t="s">
        <v>1403</v>
      </c>
      <c r="E68" s="46" t="s">
        <v>1432</v>
      </c>
      <c r="F68" s="22">
        <v>2</v>
      </c>
      <c r="G68" s="228">
        <v>42151</v>
      </c>
      <c r="H68" s="227">
        <v>42151</v>
      </c>
      <c r="I68" s="73">
        <v>-259</v>
      </c>
      <c r="J68" s="17" t="s">
        <v>3175</v>
      </c>
      <c r="K68" s="16">
        <v>42008</v>
      </c>
      <c r="L68" s="17" t="s">
        <v>3176</v>
      </c>
      <c r="M68" s="18">
        <v>42373</v>
      </c>
      <c r="N68" s="46" t="s">
        <v>3296</v>
      </c>
      <c r="O68" s="26">
        <v>42450</v>
      </c>
      <c r="P68" s="17">
        <v>4</v>
      </c>
      <c r="Q68" s="17" t="s">
        <v>3181</v>
      </c>
      <c r="R68" s="26">
        <v>42374</v>
      </c>
      <c r="S68" s="290" t="s">
        <v>3272</v>
      </c>
      <c r="T68" s="26">
        <v>42423</v>
      </c>
      <c r="U68" s="17" t="s">
        <v>1459</v>
      </c>
      <c r="V68" s="70" t="s">
        <v>1621</v>
      </c>
      <c r="W68" s="37"/>
      <c r="X68" s="37"/>
      <c r="Y68" s="38"/>
      <c r="Z68" s="39"/>
      <c r="AA68" s="40"/>
      <c r="AB68" s="41"/>
      <c r="AC68" s="40"/>
      <c r="AD68" s="40"/>
      <c r="AE68" s="40"/>
      <c r="AF68" s="40"/>
      <c r="AG68" s="41"/>
      <c r="AH68" s="40"/>
      <c r="AI68" s="42"/>
    </row>
    <row r="69" spans="1:35" s="5" customFormat="1" ht="33" customHeight="1" x14ac:dyDescent="0.2">
      <c r="A69" s="456"/>
      <c r="B69" s="458"/>
      <c r="C69" s="460"/>
      <c r="D69" s="460"/>
      <c r="E69" s="290" t="s">
        <v>3277</v>
      </c>
      <c r="F69" s="310" t="s">
        <v>1442</v>
      </c>
      <c r="G69" s="228" t="s">
        <v>1442</v>
      </c>
      <c r="H69" s="227"/>
      <c r="I69" s="73" t="s">
        <v>1442</v>
      </c>
      <c r="J69" s="17"/>
      <c r="K69" s="61"/>
      <c r="L69" s="17"/>
      <c r="M69" s="18"/>
      <c r="N69" s="8"/>
      <c r="O69" s="9"/>
      <c r="P69" s="8"/>
      <c r="Q69" s="17" t="s">
        <v>2999</v>
      </c>
      <c r="R69" s="26">
        <v>42428</v>
      </c>
      <c r="S69" s="290" t="s">
        <v>3279</v>
      </c>
      <c r="T69" s="26">
        <v>42428</v>
      </c>
      <c r="U69" s="17" t="s">
        <v>1369</v>
      </c>
      <c r="V69" s="70" t="s">
        <v>1442</v>
      </c>
      <c r="W69" s="37"/>
      <c r="X69" s="37"/>
      <c r="Y69" s="38"/>
      <c r="Z69" s="39"/>
      <c r="AA69" s="40"/>
      <c r="AB69" s="41"/>
      <c r="AC69" s="40"/>
      <c r="AD69" s="40"/>
      <c r="AE69" s="40"/>
      <c r="AF69" s="40"/>
      <c r="AG69" s="41"/>
      <c r="AH69" s="40"/>
      <c r="AI69" s="42"/>
    </row>
    <row r="70" spans="1:35" s="5" customFormat="1" ht="33" customHeight="1" x14ac:dyDescent="0.2">
      <c r="A70" s="361"/>
      <c r="B70" s="459"/>
      <c r="C70" s="348"/>
      <c r="D70" s="348"/>
      <c r="E70" s="290">
        <v>0</v>
      </c>
      <c r="F70" s="314">
        <v>1</v>
      </c>
      <c r="G70" s="228"/>
      <c r="H70" s="227"/>
      <c r="I70" s="73"/>
      <c r="J70" s="17" t="s">
        <v>3309</v>
      </c>
      <c r="K70" s="61">
        <v>42515</v>
      </c>
      <c r="L70" s="17" t="s">
        <v>3310</v>
      </c>
      <c r="M70" s="18">
        <v>42516</v>
      </c>
      <c r="N70" s="46" t="s">
        <v>3312</v>
      </c>
      <c r="O70" s="26">
        <v>42519</v>
      </c>
      <c r="P70" s="17">
        <v>1</v>
      </c>
      <c r="Q70" s="17" t="s">
        <v>3311</v>
      </c>
      <c r="R70" s="26">
        <v>42518</v>
      </c>
      <c r="S70" s="290"/>
      <c r="T70" s="26"/>
      <c r="U70" s="17"/>
      <c r="V70" s="70"/>
      <c r="W70" s="37"/>
      <c r="X70" s="37"/>
      <c r="Y70" s="38"/>
      <c r="Z70" s="39"/>
      <c r="AA70" s="40"/>
      <c r="AB70" s="41"/>
      <c r="AC70" s="40"/>
      <c r="AD70" s="40"/>
      <c r="AE70" s="40"/>
      <c r="AF70" s="40"/>
      <c r="AG70" s="41"/>
      <c r="AH70" s="40"/>
      <c r="AI70" s="42"/>
    </row>
    <row r="71" spans="1:35" s="5" customFormat="1" ht="33" customHeight="1" x14ac:dyDescent="0.2">
      <c r="A71" s="316"/>
      <c r="B71" s="318"/>
      <c r="C71" s="315"/>
      <c r="D71" s="315"/>
      <c r="E71" s="290">
        <v>1</v>
      </c>
      <c r="F71" s="317">
        <v>1</v>
      </c>
      <c r="G71" s="228"/>
      <c r="H71" s="227"/>
      <c r="I71" s="73"/>
      <c r="J71" s="17" t="s">
        <v>3313</v>
      </c>
      <c r="K71" s="61">
        <v>42571</v>
      </c>
      <c r="L71" s="17" t="s">
        <v>3314</v>
      </c>
      <c r="M71" s="18">
        <v>42572</v>
      </c>
      <c r="N71" s="46" t="s">
        <v>3399</v>
      </c>
      <c r="O71" s="26">
        <v>42731</v>
      </c>
      <c r="P71" s="17">
        <v>1</v>
      </c>
      <c r="Q71" s="17"/>
      <c r="R71" s="26"/>
      <c r="S71" s="290"/>
      <c r="T71" s="26"/>
      <c r="U71" s="17"/>
      <c r="V71" s="70"/>
      <c r="W71" s="37"/>
      <c r="X71" s="37"/>
      <c r="Y71" s="38"/>
      <c r="Z71" s="39"/>
      <c r="AA71" s="40"/>
      <c r="AB71" s="41"/>
      <c r="AC71" s="40"/>
      <c r="AD71" s="40"/>
      <c r="AE71" s="40"/>
      <c r="AF71" s="40"/>
      <c r="AG71" s="41"/>
      <c r="AH71" s="40"/>
      <c r="AI71" s="42"/>
    </row>
    <row r="72" spans="1:35" s="5" customFormat="1" ht="33" customHeight="1" x14ac:dyDescent="0.2">
      <c r="A72" s="13">
        <f>A68+1</f>
        <v>54</v>
      </c>
      <c r="B72" s="24" t="s">
        <v>1377</v>
      </c>
      <c r="C72" s="14" t="s">
        <v>476</v>
      </c>
      <c r="D72" s="14" t="s">
        <v>1404</v>
      </c>
      <c r="E72" s="224" t="s">
        <v>3059</v>
      </c>
      <c r="F72" s="22">
        <v>2</v>
      </c>
      <c r="G72" s="228">
        <v>42158</v>
      </c>
      <c r="H72" s="227">
        <v>42158</v>
      </c>
      <c r="I72" s="73">
        <f t="shared" ca="1" si="1"/>
        <v>-1904</v>
      </c>
      <c r="J72" s="16"/>
      <c r="K72" s="16"/>
      <c r="L72" s="17"/>
      <c r="M72" s="18"/>
      <c r="N72" s="8"/>
      <c r="O72" s="9"/>
      <c r="P72" s="8"/>
      <c r="Q72" s="8"/>
      <c r="R72" s="26"/>
      <c r="S72" s="8"/>
      <c r="T72" s="9"/>
      <c r="U72" s="8"/>
      <c r="V72" s="19"/>
      <c r="W72" s="37"/>
      <c r="X72" s="37"/>
      <c r="Y72" s="38"/>
      <c r="Z72" s="39"/>
      <c r="AA72" s="40"/>
      <c r="AB72" s="41"/>
      <c r="AC72" s="40"/>
      <c r="AD72" s="40"/>
      <c r="AE72" s="40"/>
      <c r="AF72" s="40"/>
      <c r="AG72" s="41"/>
      <c r="AH72" s="40"/>
      <c r="AI72" s="42"/>
    </row>
    <row r="73" spans="1:35" s="5" customFormat="1" ht="33" customHeight="1" x14ac:dyDescent="0.2">
      <c r="A73" s="360">
        <f t="shared" si="0"/>
        <v>55</v>
      </c>
      <c r="B73" s="347" t="s">
        <v>1378</v>
      </c>
      <c r="C73" s="347" t="s">
        <v>477</v>
      </c>
      <c r="D73" s="347" t="s">
        <v>1405</v>
      </c>
      <c r="E73" s="290" t="s">
        <v>1432</v>
      </c>
      <c r="F73" s="22">
        <v>2</v>
      </c>
      <c r="G73" s="228">
        <v>42165</v>
      </c>
      <c r="H73" s="227">
        <v>42165</v>
      </c>
      <c r="I73" s="73">
        <f t="shared" ca="1" si="1"/>
        <v>-1897</v>
      </c>
      <c r="J73" s="17" t="s">
        <v>3366</v>
      </c>
      <c r="K73" s="16">
        <v>42663</v>
      </c>
      <c r="L73" s="17" t="s">
        <v>3370</v>
      </c>
      <c r="M73" s="18">
        <v>42668</v>
      </c>
      <c r="N73" s="46" t="s">
        <v>3395</v>
      </c>
      <c r="O73" s="26">
        <v>42670</v>
      </c>
      <c r="P73" s="17">
        <v>1</v>
      </c>
      <c r="Q73" s="17" t="s">
        <v>3368</v>
      </c>
      <c r="R73" s="26">
        <v>42667</v>
      </c>
      <c r="S73" s="290" t="s">
        <v>3369</v>
      </c>
      <c r="T73" s="26">
        <v>42667</v>
      </c>
      <c r="U73" s="17" t="s">
        <v>1459</v>
      </c>
      <c r="V73" s="19"/>
      <c r="W73" s="37"/>
      <c r="X73" s="37"/>
      <c r="Y73" s="38"/>
      <c r="Z73" s="39"/>
      <c r="AA73" s="40"/>
      <c r="AB73" s="41"/>
      <c r="AC73" s="40"/>
      <c r="AD73" s="40"/>
      <c r="AE73" s="40"/>
      <c r="AF73" s="40"/>
      <c r="AG73" s="41"/>
      <c r="AH73" s="40"/>
      <c r="AI73" s="42"/>
    </row>
    <row r="74" spans="1:35" s="5" customFormat="1" ht="33" customHeight="1" x14ac:dyDescent="0.2">
      <c r="A74" s="361"/>
      <c r="B74" s="348"/>
      <c r="C74" s="348"/>
      <c r="D74" s="348"/>
      <c r="E74" s="290" t="s">
        <v>1459</v>
      </c>
      <c r="F74" s="323">
        <v>1</v>
      </c>
      <c r="G74" s="228"/>
      <c r="H74" s="227"/>
      <c r="I74" s="73"/>
      <c r="J74" s="17" t="s">
        <v>3372</v>
      </c>
      <c r="K74" s="61">
        <v>42669</v>
      </c>
      <c r="L74" s="327" t="s">
        <v>3377</v>
      </c>
      <c r="M74" s="18">
        <v>42673</v>
      </c>
      <c r="N74" s="46" t="s">
        <v>3398</v>
      </c>
      <c r="O74" s="26">
        <v>42731</v>
      </c>
      <c r="P74" s="17">
        <v>1</v>
      </c>
      <c r="Q74" s="17" t="s">
        <v>3382</v>
      </c>
      <c r="R74" s="26">
        <v>42672</v>
      </c>
      <c r="S74" s="290" t="s">
        <v>3392</v>
      </c>
      <c r="T74" s="26">
        <v>42680</v>
      </c>
      <c r="U74" s="17" t="s">
        <v>1369</v>
      </c>
      <c r="V74" s="19"/>
      <c r="W74" s="37"/>
      <c r="X74" s="37"/>
      <c r="Y74" s="38"/>
      <c r="Z74" s="39"/>
      <c r="AA74" s="40"/>
      <c r="AB74" s="41"/>
      <c r="AC74" s="40"/>
      <c r="AD74" s="40"/>
      <c r="AE74" s="40"/>
      <c r="AF74" s="40"/>
      <c r="AG74" s="41"/>
      <c r="AH74" s="40"/>
      <c r="AI74" s="42"/>
    </row>
    <row r="75" spans="1:35" s="5" customFormat="1" ht="33" customHeight="1" x14ac:dyDescent="0.2">
      <c r="A75" s="13">
        <f>A73+1</f>
        <v>56</v>
      </c>
      <c r="B75" s="24" t="s">
        <v>1379</v>
      </c>
      <c r="C75" s="14" t="s">
        <v>478</v>
      </c>
      <c r="D75" s="14" t="s">
        <v>1406</v>
      </c>
      <c r="E75" s="290" t="s">
        <v>1432</v>
      </c>
      <c r="F75" s="22">
        <v>2</v>
      </c>
      <c r="G75" s="228">
        <v>42172</v>
      </c>
      <c r="H75" s="227">
        <v>42172</v>
      </c>
      <c r="I75" s="73">
        <f t="shared" ca="1" si="1"/>
        <v>-1890</v>
      </c>
      <c r="J75" s="17" t="s">
        <v>3367</v>
      </c>
      <c r="K75" s="16">
        <v>42667</v>
      </c>
      <c r="L75" s="327" t="s">
        <v>3383</v>
      </c>
      <c r="M75" s="61">
        <v>42669</v>
      </c>
      <c r="N75" s="46" t="s">
        <v>3397</v>
      </c>
      <c r="O75" s="26">
        <v>42731</v>
      </c>
      <c r="P75" s="17">
        <v>1</v>
      </c>
      <c r="Q75" s="17" t="s">
        <v>3371</v>
      </c>
      <c r="R75" s="26">
        <v>42668</v>
      </c>
      <c r="S75" s="290" t="s">
        <v>3393</v>
      </c>
      <c r="T75" s="26">
        <v>42673</v>
      </c>
      <c r="U75" s="17" t="s">
        <v>1369</v>
      </c>
      <c r="V75" s="19"/>
      <c r="W75" s="37"/>
      <c r="X75" s="37"/>
      <c r="Y75" s="38"/>
      <c r="Z75" s="39"/>
      <c r="AA75" s="40"/>
      <c r="AB75" s="41"/>
      <c r="AC75" s="40"/>
      <c r="AD75" s="40"/>
      <c r="AE75" s="40"/>
      <c r="AF75" s="40"/>
      <c r="AG75" s="41"/>
      <c r="AH75" s="40"/>
      <c r="AI75" s="42"/>
    </row>
    <row r="76" spans="1:35" s="5" customFormat="1" ht="33" customHeight="1" x14ac:dyDescent="0.2">
      <c r="A76" s="360">
        <f t="shared" si="0"/>
        <v>57</v>
      </c>
      <c r="B76" s="347" t="s">
        <v>1380</v>
      </c>
      <c r="C76" s="347" t="s">
        <v>479</v>
      </c>
      <c r="D76" s="347" t="s">
        <v>1407</v>
      </c>
      <c r="E76" s="290" t="s">
        <v>1432</v>
      </c>
      <c r="F76" s="22">
        <v>2</v>
      </c>
      <c r="G76" s="228">
        <v>42179</v>
      </c>
      <c r="H76" s="227">
        <v>42179</v>
      </c>
      <c r="I76" s="73">
        <f t="shared" ca="1" si="1"/>
        <v>-1883</v>
      </c>
      <c r="J76" s="17" t="s">
        <v>3404</v>
      </c>
      <c r="K76" s="16">
        <v>42894</v>
      </c>
      <c r="L76" s="327" t="s">
        <v>3405</v>
      </c>
      <c r="M76" s="61">
        <v>42898</v>
      </c>
      <c r="N76" s="8"/>
      <c r="O76" s="9"/>
      <c r="P76" s="8"/>
      <c r="Q76" s="17" t="s">
        <v>3407</v>
      </c>
      <c r="R76" s="26">
        <v>42899</v>
      </c>
      <c r="S76" s="8"/>
      <c r="T76" s="9"/>
      <c r="U76" s="8"/>
      <c r="V76" s="19"/>
      <c r="W76" s="37"/>
      <c r="X76" s="37"/>
      <c r="Y76" s="38"/>
      <c r="Z76" s="39"/>
      <c r="AA76" s="40"/>
      <c r="AB76" s="41"/>
      <c r="AC76" s="40"/>
      <c r="AD76" s="40"/>
      <c r="AE76" s="40"/>
      <c r="AF76" s="40"/>
      <c r="AG76" s="41"/>
      <c r="AH76" s="40"/>
      <c r="AI76" s="42"/>
    </row>
    <row r="77" spans="1:35" s="5" customFormat="1" ht="33" customHeight="1" x14ac:dyDescent="0.2">
      <c r="A77" s="361"/>
      <c r="B77" s="348"/>
      <c r="C77" s="348"/>
      <c r="D77" s="348"/>
      <c r="E77" s="290" t="s">
        <v>1459</v>
      </c>
      <c r="F77" s="331">
        <v>2</v>
      </c>
      <c r="G77" s="228"/>
      <c r="H77" s="227"/>
      <c r="I77" s="73"/>
      <c r="J77" s="17" t="s">
        <v>3408</v>
      </c>
      <c r="K77" s="61">
        <v>42908</v>
      </c>
      <c r="L77" s="327" t="s">
        <v>3420</v>
      </c>
      <c r="M77" s="61">
        <v>42915</v>
      </c>
      <c r="N77" s="46" t="s">
        <v>3421</v>
      </c>
      <c r="O77" s="26">
        <v>42918</v>
      </c>
      <c r="P77" s="17">
        <v>2</v>
      </c>
      <c r="Q77" s="17" t="s">
        <v>3409</v>
      </c>
      <c r="R77" s="26">
        <v>42910</v>
      </c>
      <c r="S77" s="290" t="s">
        <v>3419</v>
      </c>
      <c r="T77" s="26">
        <v>42918</v>
      </c>
      <c r="U77" s="17" t="s">
        <v>1369</v>
      </c>
      <c r="V77" s="19"/>
      <c r="W77" s="37"/>
      <c r="X77" s="37"/>
      <c r="Y77" s="38"/>
      <c r="Z77" s="39"/>
      <c r="AA77" s="40"/>
      <c r="AB77" s="41"/>
      <c r="AC77" s="40"/>
      <c r="AD77" s="40"/>
      <c r="AE77" s="40"/>
      <c r="AF77" s="40"/>
      <c r="AG77" s="41"/>
      <c r="AH77" s="40"/>
      <c r="AI77" s="42"/>
    </row>
    <row r="78" spans="1:35" s="5" customFormat="1" ht="25.5" customHeight="1" x14ac:dyDescent="0.2">
      <c r="A78" s="360">
        <f>A76+1</f>
        <v>58</v>
      </c>
      <c r="B78" s="347" t="s">
        <v>1381</v>
      </c>
      <c r="C78" s="347" t="s">
        <v>480</v>
      </c>
      <c r="D78" s="347" t="s">
        <v>1408</v>
      </c>
      <c r="E78" s="290" t="s">
        <v>1432</v>
      </c>
      <c r="F78" s="22">
        <v>2</v>
      </c>
      <c r="G78" s="228">
        <v>42186</v>
      </c>
      <c r="H78" s="227">
        <v>42186</v>
      </c>
      <c r="I78" s="73">
        <f t="shared" ca="1" si="1"/>
        <v>-1876</v>
      </c>
      <c r="J78" s="17" t="s">
        <v>3402</v>
      </c>
      <c r="K78" s="16">
        <v>42891</v>
      </c>
      <c r="L78" s="326" t="s">
        <v>3403</v>
      </c>
      <c r="M78" s="61">
        <v>42892</v>
      </c>
      <c r="N78" s="46" t="s">
        <v>3437</v>
      </c>
      <c r="O78" s="26">
        <v>43130</v>
      </c>
      <c r="P78" s="17">
        <v>1</v>
      </c>
      <c r="Q78" s="17" t="s">
        <v>3406</v>
      </c>
      <c r="R78" s="26">
        <v>42899</v>
      </c>
      <c r="S78" s="8"/>
      <c r="T78" s="9"/>
      <c r="U78" s="8"/>
      <c r="V78" s="19"/>
      <c r="W78" s="37"/>
      <c r="X78" s="37"/>
      <c r="Y78" s="38"/>
      <c r="Z78" s="39"/>
      <c r="AA78" s="40"/>
      <c r="AB78" s="41"/>
      <c r="AC78" s="40"/>
      <c r="AD78" s="40"/>
      <c r="AE78" s="40"/>
      <c r="AF78" s="40"/>
      <c r="AG78" s="41"/>
      <c r="AH78" s="40"/>
      <c r="AI78" s="42"/>
    </row>
    <row r="79" spans="1:35" s="5" customFormat="1" ht="31.5" hidden="1" customHeight="1" x14ac:dyDescent="0.2">
      <c r="A79" s="456"/>
      <c r="B79" s="460"/>
      <c r="C79" s="460"/>
      <c r="D79" s="460"/>
      <c r="E79" s="46" t="s">
        <v>1432</v>
      </c>
      <c r="F79" s="22">
        <v>2</v>
      </c>
      <c r="G79" s="228">
        <v>41794</v>
      </c>
      <c r="H79" s="230"/>
      <c r="I79" s="73"/>
      <c r="J79" s="17" t="s">
        <v>3404</v>
      </c>
      <c r="K79" s="61">
        <v>41794</v>
      </c>
      <c r="L79" s="17" t="s">
        <v>1468</v>
      </c>
      <c r="M79" s="18">
        <v>41795</v>
      </c>
      <c r="N79" s="46" t="s">
        <v>1554</v>
      </c>
      <c r="O79" s="26">
        <v>41816</v>
      </c>
      <c r="P79" s="66" t="s">
        <v>1481</v>
      </c>
      <c r="Q79" s="17" t="s">
        <v>1526</v>
      </c>
      <c r="R79" s="18">
        <v>41769</v>
      </c>
      <c r="S79" s="71" t="s">
        <v>1539</v>
      </c>
      <c r="T79" s="26">
        <v>41806</v>
      </c>
      <c r="U79" s="52" t="s">
        <v>1454</v>
      </c>
      <c r="V79" s="70"/>
      <c r="W79" s="37"/>
      <c r="X79" s="37"/>
      <c r="Y79" s="38"/>
      <c r="Z79" s="39"/>
      <c r="AA79" s="40"/>
      <c r="AB79" s="41"/>
      <c r="AC79" s="40"/>
      <c r="AD79" s="40"/>
      <c r="AE79" s="40"/>
      <c r="AF79" s="40"/>
      <c r="AG79" s="41"/>
      <c r="AH79" s="40"/>
      <c r="AI79" s="42"/>
    </row>
    <row r="80" spans="1:35" s="5" customFormat="1" ht="12.75" hidden="1" customHeight="1" x14ac:dyDescent="0.2">
      <c r="A80" s="456"/>
      <c r="B80" s="460"/>
      <c r="C80" s="460"/>
      <c r="D80" s="460"/>
      <c r="E80" s="46" t="s">
        <v>1459</v>
      </c>
      <c r="F80" s="152">
        <v>2</v>
      </c>
      <c r="G80" s="228" t="s">
        <v>1442</v>
      </c>
      <c r="H80" s="230"/>
      <c r="I80" s="73"/>
      <c r="J80" s="17" t="s">
        <v>3408</v>
      </c>
      <c r="K80" s="61">
        <v>41808</v>
      </c>
      <c r="L80" s="17" t="s">
        <v>1541</v>
      </c>
      <c r="M80" s="18">
        <v>41812</v>
      </c>
      <c r="N80" s="59" t="s">
        <v>1694</v>
      </c>
      <c r="O80" s="26">
        <v>41861</v>
      </c>
      <c r="P80" s="66" t="s">
        <v>1481</v>
      </c>
      <c r="Q80" s="17" t="s">
        <v>1545</v>
      </c>
      <c r="R80" s="18">
        <v>41814</v>
      </c>
      <c r="S80" s="71" t="s">
        <v>1558</v>
      </c>
      <c r="T80" s="26">
        <v>41819</v>
      </c>
      <c r="U80" s="63" t="s">
        <v>1465</v>
      </c>
      <c r="V80" s="70" t="s">
        <v>1530</v>
      </c>
      <c r="W80" s="37"/>
      <c r="X80" s="37"/>
      <c r="Y80" s="38"/>
      <c r="Z80" s="39"/>
      <c r="AA80" s="40"/>
      <c r="AB80" s="41"/>
      <c r="AC80" s="40"/>
      <c r="AD80" s="40"/>
      <c r="AE80" s="40"/>
      <c r="AF80" s="40"/>
      <c r="AG80" s="41"/>
      <c r="AH80" s="40"/>
      <c r="AI80" s="42"/>
    </row>
    <row r="81" spans="1:35" s="5" customFormat="1" ht="21" hidden="1" customHeight="1" x14ac:dyDescent="0.2">
      <c r="A81" s="456"/>
      <c r="B81" s="460"/>
      <c r="C81" s="460"/>
      <c r="D81" s="460"/>
      <c r="E81" s="46" t="s">
        <v>1432</v>
      </c>
      <c r="F81" s="22">
        <v>2</v>
      </c>
      <c r="G81" s="228">
        <v>41797</v>
      </c>
      <c r="H81" s="230"/>
      <c r="I81" s="73"/>
      <c r="J81" s="17" t="s">
        <v>3410</v>
      </c>
      <c r="K81" s="16">
        <v>41802</v>
      </c>
      <c r="L81" s="17" t="s">
        <v>1532</v>
      </c>
      <c r="M81" s="61">
        <v>41802</v>
      </c>
      <c r="N81" s="46" t="s">
        <v>1553</v>
      </c>
      <c r="O81" s="26">
        <v>41816</v>
      </c>
      <c r="P81" s="66" t="s">
        <v>1481</v>
      </c>
      <c r="Q81" s="17" t="s">
        <v>1538</v>
      </c>
      <c r="R81" s="18">
        <v>41806</v>
      </c>
      <c r="S81" s="71" t="s">
        <v>1559</v>
      </c>
      <c r="T81" s="26">
        <v>41819</v>
      </c>
      <c r="U81" s="63" t="s">
        <v>1465</v>
      </c>
      <c r="V81" s="70"/>
      <c r="W81" s="37"/>
      <c r="X81" s="37"/>
      <c r="Y81" s="38"/>
      <c r="Z81" s="39"/>
      <c r="AA81" s="40"/>
      <c r="AB81" s="41"/>
      <c r="AC81" s="40"/>
      <c r="AD81" s="40"/>
      <c r="AE81" s="40"/>
      <c r="AF81" s="40"/>
      <c r="AG81" s="41"/>
      <c r="AH81" s="40"/>
      <c r="AI81" s="42"/>
    </row>
    <row r="82" spans="1:35" s="5" customFormat="1" ht="21" hidden="1" customHeight="1" x14ac:dyDescent="0.2">
      <c r="A82" s="456"/>
      <c r="B82" s="460"/>
      <c r="C82" s="460"/>
      <c r="D82" s="460"/>
      <c r="E82" s="46" t="s">
        <v>1432</v>
      </c>
      <c r="F82" s="22">
        <v>2</v>
      </c>
      <c r="G82" s="228">
        <v>41804</v>
      </c>
      <c r="H82" s="230"/>
      <c r="I82" s="73" t="s">
        <v>1903</v>
      </c>
      <c r="J82" s="17" t="s">
        <v>3411</v>
      </c>
      <c r="K82" s="16">
        <v>41905</v>
      </c>
      <c r="L82" s="17" t="s">
        <v>1906</v>
      </c>
      <c r="M82" s="18">
        <v>41907</v>
      </c>
      <c r="N82" s="199" t="s">
        <v>1985</v>
      </c>
      <c r="O82" s="26">
        <v>41913</v>
      </c>
      <c r="P82" s="66" t="s">
        <v>1481</v>
      </c>
      <c r="Q82" s="15" t="s">
        <v>1947</v>
      </c>
      <c r="R82" s="62">
        <v>41909</v>
      </c>
      <c r="S82" s="71" t="s">
        <v>1920</v>
      </c>
      <c r="T82" s="26">
        <v>41906</v>
      </c>
      <c r="U82" s="63" t="s">
        <v>1465</v>
      </c>
      <c r="V82" s="70" t="s">
        <v>1442</v>
      </c>
      <c r="W82" s="37"/>
      <c r="X82" s="37"/>
      <c r="Y82" s="38"/>
      <c r="Z82" s="39"/>
      <c r="AA82" s="40"/>
      <c r="AB82" s="41"/>
      <c r="AC82" s="40"/>
      <c r="AD82" s="40"/>
      <c r="AE82" s="40"/>
      <c r="AF82" s="40"/>
      <c r="AG82" s="41"/>
      <c r="AH82" s="40"/>
      <c r="AI82" s="42"/>
    </row>
    <row r="83" spans="1:35" s="5" customFormat="1" ht="21" hidden="1" customHeight="1" x14ac:dyDescent="0.2">
      <c r="A83" s="456"/>
      <c r="B83" s="460"/>
      <c r="C83" s="460"/>
      <c r="D83" s="460"/>
      <c r="E83" s="15"/>
      <c r="F83" s="22">
        <v>2</v>
      </c>
      <c r="G83" s="228">
        <v>41810</v>
      </c>
      <c r="H83" s="230"/>
      <c r="I83" s="73">
        <f t="shared" ca="1" si="1"/>
        <v>-2252</v>
      </c>
      <c r="J83" s="17" t="s">
        <v>3412</v>
      </c>
      <c r="K83" s="16"/>
      <c r="L83" s="17"/>
      <c r="M83" s="18"/>
      <c r="N83" s="8"/>
      <c r="O83" s="9"/>
      <c r="P83" s="8"/>
      <c r="Q83" s="8"/>
      <c r="R83" s="8"/>
      <c r="S83" s="8"/>
      <c r="T83" s="9"/>
      <c r="U83" s="8"/>
      <c r="V83" s="19"/>
      <c r="W83" s="37"/>
      <c r="X83" s="37"/>
      <c r="Y83" s="38"/>
      <c r="Z83" s="39"/>
      <c r="AA83" s="40"/>
      <c r="AB83" s="41"/>
      <c r="AC83" s="40"/>
      <c r="AD83" s="40"/>
      <c r="AE83" s="40"/>
      <c r="AF83" s="40"/>
      <c r="AG83" s="41"/>
      <c r="AH83" s="40"/>
      <c r="AI83" s="42"/>
    </row>
    <row r="84" spans="1:35" s="5" customFormat="1" ht="21" hidden="1" customHeight="1" x14ac:dyDescent="0.2">
      <c r="A84" s="456"/>
      <c r="B84" s="460"/>
      <c r="C84" s="460"/>
      <c r="D84" s="460"/>
      <c r="E84" s="15"/>
      <c r="F84" s="22">
        <v>2</v>
      </c>
      <c r="G84" s="228">
        <v>41817</v>
      </c>
      <c r="H84" s="230"/>
      <c r="I84" s="73">
        <f t="shared" ca="1" si="1"/>
        <v>-2245</v>
      </c>
      <c r="J84" s="17" t="s">
        <v>3413</v>
      </c>
      <c r="K84" s="16"/>
      <c r="L84" s="17"/>
      <c r="M84" s="18"/>
      <c r="N84" s="8"/>
      <c r="O84" s="9"/>
      <c r="P84" s="8"/>
      <c r="Q84" s="8"/>
      <c r="R84" s="8"/>
      <c r="S84" s="8"/>
      <c r="T84" s="9"/>
      <c r="U84" s="8"/>
      <c r="V84" s="19"/>
      <c r="W84" s="37"/>
      <c r="X84" s="37"/>
      <c r="Y84" s="38"/>
      <c r="Z84" s="39"/>
      <c r="AA84" s="40"/>
      <c r="AB84" s="41"/>
      <c r="AC84" s="40"/>
      <c r="AD84" s="40"/>
      <c r="AE84" s="40"/>
      <c r="AF84" s="40"/>
      <c r="AG84" s="41"/>
      <c r="AH84" s="40"/>
      <c r="AI84" s="42"/>
    </row>
    <row r="85" spans="1:35" s="5" customFormat="1" ht="21" hidden="1" customHeight="1" x14ac:dyDescent="0.2">
      <c r="A85" s="456"/>
      <c r="B85" s="460"/>
      <c r="C85" s="460"/>
      <c r="D85" s="460"/>
      <c r="E85" s="15"/>
      <c r="F85" s="22">
        <v>2</v>
      </c>
      <c r="G85" s="228">
        <v>41825</v>
      </c>
      <c r="H85" s="230"/>
      <c r="I85" s="73">
        <f t="shared" ca="1" si="1"/>
        <v>-2237</v>
      </c>
      <c r="J85" s="17" t="s">
        <v>3414</v>
      </c>
      <c r="K85" s="16"/>
      <c r="L85" s="17"/>
      <c r="M85" s="18"/>
      <c r="N85" s="8"/>
      <c r="O85" s="9"/>
      <c r="P85" s="8"/>
      <c r="Q85" s="8"/>
      <c r="R85" s="8"/>
      <c r="S85" s="8"/>
      <c r="T85" s="9"/>
      <c r="U85" s="8"/>
      <c r="V85" s="19"/>
      <c r="W85" s="37"/>
      <c r="X85" s="37"/>
      <c r="Y85" s="38"/>
      <c r="Z85" s="39"/>
      <c r="AA85" s="40"/>
      <c r="AB85" s="41"/>
      <c r="AC85" s="40"/>
      <c r="AD85" s="40"/>
      <c r="AE85" s="40"/>
      <c r="AF85" s="40"/>
      <c r="AG85" s="41"/>
      <c r="AH85" s="40"/>
      <c r="AI85" s="42"/>
    </row>
    <row r="86" spans="1:35" s="5" customFormat="1" ht="21" hidden="1" customHeight="1" x14ac:dyDescent="0.2">
      <c r="A86" s="456"/>
      <c r="B86" s="460"/>
      <c r="C86" s="460"/>
      <c r="D86" s="460"/>
      <c r="E86" s="15"/>
      <c r="F86" s="22">
        <v>2</v>
      </c>
      <c r="G86" s="228">
        <v>41832</v>
      </c>
      <c r="H86" s="230"/>
      <c r="I86" s="73" t="s">
        <v>1441</v>
      </c>
      <c r="J86" s="17" t="s">
        <v>3415</v>
      </c>
      <c r="K86" s="16"/>
      <c r="L86" s="17"/>
      <c r="M86" s="18"/>
      <c r="N86" s="8"/>
      <c r="O86" s="9"/>
      <c r="P86" s="8"/>
      <c r="Q86" s="8"/>
      <c r="R86" s="8"/>
      <c r="S86" s="8"/>
      <c r="T86" s="9"/>
      <c r="U86" s="8"/>
      <c r="V86" s="73" t="s">
        <v>1441</v>
      </c>
      <c r="W86" s="37"/>
      <c r="X86" s="37"/>
      <c r="Y86" s="38"/>
      <c r="Z86" s="39"/>
      <c r="AA86" s="40"/>
      <c r="AB86" s="41"/>
      <c r="AC86" s="40"/>
      <c r="AD86" s="40"/>
      <c r="AE86" s="40"/>
      <c r="AF86" s="40"/>
      <c r="AG86" s="41"/>
      <c r="AH86" s="40"/>
      <c r="AI86" s="42"/>
    </row>
    <row r="87" spans="1:35" s="5" customFormat="1" ht="21" hidden="1" customHeight="1" x14ac:dyDescent="0.2">
      <c r="A87" s="456"/>
      <c r="B87" s="460"/>
      <c r="C87" s="460"/>
      <c r="D87" s="460"/>
      <c r="E87" s="15"/>
      <c r="F87" s="22">
        <v>2</v>
      </c>
      <c r="G87" s="228">
        <v>41840</v>
      </c>
      <c r="H87" s="230"/>
      <c r="I87" s="73" t="s">
        <v>1441</v>
      </c>
      <c r="J87" s="17" t="s">
        <v>3416</v>
      </c>
      <c r="K87" s="16"/>
      <c r="L87" s="17"/>
      <c r="M87" s="18"/>
      <c r="N87" s="8"/>
      <c r="O87" s="9"/>
      <c r="P87" s="8"/>
      <c r="Q87" s="8"/>
      <c r="R87" s="8"/>
      <c r="S87" s="8"/>
      <c r="T87" s="9"/>
      <c r="U87" s="8"/>
      <c r="V87" s="73" t="s">
        <v>1441</v>
      </c>
      <c r="W87" s="37"/>
      <c r="X87" s="37"/>
      <c r="Y87" s="38"/>
      <c r="Z87" s="39"/>
      <c r="AA87" s="40"/>
      <c r="AB87" s="41"/>
      <c r="AC87" s="40"/>
      <c r="AD87" s="40"/>
      <c r="AE87" s="40"/>
      <c r="AF87" s="40"/>
      <c r="AG87" s="41"/>
      <c r="AH87" s="40"/>
      <c r="AI87" s="42"/>
    </row>
    <row r="88" spans="1:35" s="5" customFormat="1" ht="21" hidden="1" customHeight="1" x14ac:dyDescent="0.2">
      <c r="A88" s="456"/>
      <c r="B88" s="460"/>
      <c r="C88" s="460"/>
      <c r="D88" s="460"/>
      <c r="E88" s="15"/>
      <c r="F88" s="22">
        <v>2</v>
      </c>
      <c r="G88" s="228">
        <v>41848</v>
      </c>
      <c r="H88" s="230"/>
      <c r="I88" s="73" t="s">
        <v>1441</v>
      </c>
      <c r="J88" s="17" t="s">
        <v>3417</v>
      </c>
      <c r="K88" s="16"/>
      <c r="L88" s="17"/>
      <c r="M88" s="18"/>
      <c r="N88" s="8"/>
      <c r="O88" s="9"/>
      <c r="P88" s="8"/>
      <c r="Q88" s="8"/>
      <c r="R88" s="8"/>
      <c r="S88" s="8"/>
      <c r="T88" s="9"/>
      <c r="U88" s="8"/>
      <c r="V88" s="73" t="s">
        <v>1441</v>
      </c>
      <c r="W88" s="37"/>
      <c r="X88" s="37"/>
      <c r="Y88" s="38"/>
      <c r="Z88" s="39"/>
      <c r="AA88" s="40"/>
      <c r="AB88" s="41"/>
      <c r="AC88" s="40"/>
      <c r="AD88" s="40"/>
      <c r="AE88" s="40"/>
      <c r="AF88" s="40"/>
      <c r="AG88" s="41"/>
      <c r="AH88" s="40"/>
      <c r="AI88" s="42"/>
    </row>
    <row r="89" spans="1:35" s="5" customFormat="1" ht="30" customHeight="1" x14ac:dyDescent="0.2">
      <c r="A89" s="361"/>
      <c r="B89" s="348"/>
      <c r="C89" s="348"/>
      <c r="D89" s="348"/>
      <c r="E89" s="290" t="s">
        <v>1459</v>
      </c>
      <c r="F89" s="332">
        <v>2</v>
      </c>
      <c r="G89" s="228"/>
      <c r="H89" s="230"/>
      <c r="I89" s="73"/>
      <c r="J89" s="17" t="s">
        <v>3410</v>
      </c>
      <c r="K89" s="61">
        <v>42915</v>
      </c>
      <c r="L89" s="17" t="s">
        <v>3418</v>
      </c>
      <c r="M89" s="61">
        <v>42918</v>
      </c>
      <c r="N89" s="46" t="s">
        <v>3422</v>
      </c>
      <c r="O89" s="26">
        <v>42921</v>
      </c>
      <c r="P89" s="17">
        <v>2</v>
      </c>
      <c r="Q89" s="200"/>
      <c r="R89" s="200"/>
      <c r="S89" s="8"/>
      <c r="T89" s="9"/>
      <c r="U89" s="8"/>
      <c r="V89" s="333"/>
      <c r="W89" s="37"/>
      <c r="X89" s="37"/>
      <c r="Y89" s="38"/>
      <c r="Z89" s="39"/>
      <c r="AA89" s="40"/>
      <c r="AB89" s="41"/>
      <c r="AC89" s="40"/>
      <c r="AD89" s="40"/>
      <c r="AE89" s="40"/>
      <c r="AF89" s="40"/>
      <c r="AG89" s="41"/>
      <c r="AH89" s="40"/>
      <c r="AI89" s="42"/>
    </row>
    <row r="90" spans="1:35" s="5" customFormat="1" ht="33" customHeight="1" x14ac:dyDescent="0.2">
      <c r="A90" s="13">
        <f>A88+1</f>
        <v>1</v>
      </c>
      <c r="B90" s="356" t="s">
        <v>399</v>
      </c>
      <c r="C90" s="347" t="s">
        <v>481</v>
      </c>
      <c r="D90" s="347" t="s">
        <v>534</v>
      </c>
      <c r="E90" s="46" t="s">
        <v>1432</v>
      </c>
      <c r="F90" s="22">
        <v>2</v>
      </c>
      <c r="G90" s="18">
        <v>42165</v>
      </c>
      <c r="H90" s="225">
        <v>42095</v>
      </c>
      <c r="I90" s="73">
        <v>-7</v>
      </c>
      <c r="J90" s="17" t="s">
        <v>2413</v>
      </c>
      <c r="K90" s="61">
        <v>42172</v>
      </c>
      <c r="L90" s="17" t="s">
        <v>2414</v>
      </c>
      <c r="M90" s="104">
        <v>42176</v>
      </c>
      <c r="N90" s="46" t="s">
        <v>2446</v>
      </c>
      <c r="O90" s="26">
        <v>42179</v>
      </c>
      <c r="P90" s="17">
        <v>2</v>
      </c>
      <c r="Q90" s="17" t="s">
        <v>2436</v>
      </c>
      <c r="R90" s="26">
        <v>42177</v>
      </c>
      <c r="S90" s="46" t="s">
        <v>2428</v>
      </c>
      <c r="T90" s="26">
        <v>42176</v>
      </c>
      <c r="U90" s="17" t="s">
        <v>1369</v>
      </c>
      <c r="V90" s="70" t="s">
        <v>1442</v>
      </c>
      <c r="W90" s="37"/>
      <c r="X90" s="37"/>
      <c r="Y90" s="38"/>
      <c r="Z90" s="39"/>
      <c r="AA90" s="40"/>
      <c r="AB90" s="41"/>
      <c r="AC90" s="40"/>
      <c r="AD90" s="40"/>
      <c r="AE90" s="40"/>
      <c r="AF90" s="40"/>
      <c r="AG90" s="41"/>
      <c r="AH90" s="40"/>
      <c r="AI90" s="42"/>
    </row>
    <row r="91" spans="1:35" s="5" customFormat="1" ht="33" customHeight="1" x14ac:dyDescent="0.2">
      <c r="A91" s="13"/>
      <c r="B91" s="358"/>
      <c r="C91" s="348"/>
      <c r="D91" s="348"/>
      <c r="E91" s="46">
        <v>0</v>
      </c>
      <c r="F91" s="237" t="s">
        <v>1442</v>
      </c>
      <c r="G91" s="18" t="s">
        <v>1442</v>
      </c>
      <c r="H91" s="225"/>
      <c r="I91" s="73" t="s">
        <v>1442</v>
      </c>
      <c r="J91" s="17" t="s">
        <v>2458</v>
      </c>
      <c r="K91" s="61">
        <v>42185</v>
      </c>
      <c r="L91" s="17" t="s">
        <v>2459</v>
      </c>
      <c r="M91" s="104">
        <v>42186</v>
      </c>
      <c r="N91" s="46" t="s">
        <v>2500</v>
      </c>
      <c r="O91" s="26">
        <v>42192</v>
      </c>
      <c r="P91" s="17">
        <v>1</v>
      </c>
      <c r="Q91" s="17" t="s">
        <v>2473</v>
      </c>
      <c r="R91" s="62">
        <v>42187</v>
      </c>
      <c r="S91" s="290" t="s">
        <v>3073</v>
      </c>
      <c r="T91" s="26">
        <v>42332</v>
      </c>
      <c r="U91" s="17" t="s">
        <v>1369</v>
      </c>
      <c r="V91" s="70" t="s">
        <v>1442</v>
      </c>
      <c r="W91" s="37"/>
      <c r="X91" s="37"/>
      <c r="Y91" s="38"/>
      <c r="Z91" s="39"/>
      <c r="AA91" s="40"/>
      <c r="AB91" s="41"/>
      <c r="AC91" s="40"/>
      <c r="AD91" s="40"/>
      <c r="AE91" s="40"/>
      <c r="AF91" s="40"/>
      <c r="AG91" s="41"/>
      <c r="AH91" s="40"/>
      <c r="AI91" s="42"/>
    </row>
    <row r="92" spans="1:35" s="5" customFormat="1" ht="33" customHeight="1" x14ac:dyDescent="0.2">
      <c r="A92" s="13">
        <f>A90+1</f>
        <v>2</v>
      </c>
      <c r="B92" s="356" t="s">
        <v>400</v>
      </c>
      <c r="C92" s="347" t="s">
        <v>482</v>
      </c>
      <c r="D92" s="347" t="s">
        <v>535</v>
      </c>
      <c r="E92" s="46" t="s">
        <v>1432</v>
      </c>
      <c r="F92" s="22">
        <v>2</v>
      </c>
      <c r="G92" s="18">
        <v>42169</v>
      </c>
      <c r="H92" s="227">
        <v>42102</v>
      </c>
      <c r="I92" s="73">
        <v>-11</v>
      </c>
      <c r="J92" s="17" t="s">
        <v>2440</v>
      </c>
      <c r="K92" s="16">
        <v>42180</v>
      </c>
      <c r="L92" s="17" t="s">
        <v>2447</v>
      </c>
      <c r="M92" s="18">
        <v>42185</v>
      </c>
      <c r="N92" s="46" t="s">
        <v>2501</v>
      </c>
      <c r="O92" s="26">
        <v>42192</v>
      </c>
      <c r="P92" s="17">
        <v>2</v>
      </c>
      <c r="Q92" s="17" t="s">
        <v>2465</v>
      </c>
      <c r="R92" s="62">
        <v>42186</v>
      </c>
      <c r="S92" s="46" t="s">
        <v>2461</v>
      </c>
      <c r="T92" s="26">
        <v>42185</v>
      </c>
      <c r="U92" s="17" t="s">
        <v>1369</v>
      </c>
      <c r="V92" s="70" t="s">
        <v>1442</v>
      </c>
      <c r="W92" s="37"/>
      <c r="X92" s="37"/>
      <c r="Y92" s="38"/>
      <c r="Z92" s="39"/>
      <c r="AA92" s="40"/>
      <c r="AB92" s="41"/>
      <c r="AC92" s="40"/>
      <c r="AD92" s="40"/>
      <c r="AE92" s="40"/>
      <c r="AF92" s="40"/>
      <c r="AG92" s="41"/>
      <c r="AH92" s="40"/>
      <c r="AI92" s="42"/>
    </row>
    <row r="93" spans="1:35" s="5" customFormat="1" ht="33" customHeight="1" x14ac:dyDescent="0.2">
      <c r="A93" s="13"/>
      <c r="B93" s="358"/>
      <c r="C93" s="348"/>
      <c r="D93" s="348"/>
      <c r="E93" s="290">
        <v>0</v>
      </c>
      <c r="F93" s="295"/>
      <c r="G93" s="18"/>
      <c r="H93" s="227"/>
      <c r="I93" s="73"/>
      <c r="J93" s="61" t="s">
        <v>3089</v>
      </c>
      <c r="K93" s="61">
        <v>42333</v>
      </c>
      <c r="L93" s="17" t="s">
        <v>3090</v>
      </c>
      <c r="M93" s="18">
        <v>42334</v>
      </c>
      <c r="N93" s="290" t="s">
        <v>3113</v>
      </c>
      <c r="O93" s="26">
        <v>42337</v>
      </c>
      <c r="P93" s="17">
        <v>1</v>
      </c>
      <c r="Q93" s="17" t="s">
        <v>3108</v>
      </c>
      <c r="R93" s="62">
        <v>42336</v>
      </c>
      <c r="S93" s="290" t="s">
        <v>3130</v>
      </c>
      <c r="T93" s="26">
        <v>42351</v>
      </c>
      <c r="U93" s="17" t="s">
        <v>1369</v>
      </c>
      <c r="V93" s="70" t="s">
        <v>1442</v>
      </c>
      <c r="W93" s="37"/>
      <c r="X93" s="37"/>
      <c r="Y93" s="38"/>
      <c r="Z93" s="39"/>
      <c r="AA93" s="40"/>
      <c r="AB93" s="41"/>
      <c r="AC93" s="40"/>
      <c r="AD93" s="40"/>
      <c r="AE93" s="40"/>
      <c r="AF93" s="40"/>
      <c r="AG93" s="41"/>
      <c r="AH93" s="40"/>
      <c r="AI93" s="42"/>
    </row>
    <row r="94" spans="1:35" s="5" customFormat="1" ht="33" customHeight="1" x14ac:dyDescent="0.2">
      <c r="A94" s="13">
        <f>A92+1</f>
        <v>3</v>
      </c>
      <c r="B94" s="356" t="s">
        <v>2607</v>
      </c>
      <c r="C94" s="347" t="s">
        <v>483</v>
      </c>
      <c r="D94" s="347" t="s">
        <v>536</v>
      </c>
      <c r="E94" s="46" t="s">
        <v>1432</v>
      </c>
      <c r="F94" s="22">
        <v>2</v>
      </c>
      <c r="G94" s="61" t="s">
        <v>1442</v>
      </c>
      <c r="H94" s="227" t="s">
        <v>1442</v>
      </c>
      <c r="I94" s="73" t="s">
        <v>1442</v>
      </c>
      <c r="J94" s="17" t="s">
        <v>2608</v>
      </c>
      <c r="K94" s="61">
        <v>42229</v>
      </c>
      <c r="L94" s="17" t="s">
        <v>2609</v>
      </c>
      <c r="M94" s="18">
        <v>42231</v>
      </c>
      <c r="N94" s="174" t="s">
        <v>2689</v>
      </c>
      <c r="O94" s="242">
        <v>42234</v>
      </c>
      <c r="P94" s="258">
        <v>3</v>
      </c>
      <c r="Q94" s="258" t="s">
        <v>2625</v>
      </c>
      <c r="R94" s="62">
        <v>42232</v>
      </c>
      <c r="S94" s="46" t="s">
        <v>2643</v>
      </c>
      <c r="T94" s="242">
        <v>42233</v>
      </c>
      <c r="U94" s="258" t="s">
        <v>1369</v>
      </c>
      <c r="V94" s="257" t="s">
        <v>1442</v>
      </c>
      <c r="W94" s="37"/>
      <c r="X94" s="37"/>
      <c r="Y94" s="38"/>
      <c r="Z94" s="39"/>
      <c r="AA94" s="40"/>
      <c r="AB94" s="41"/>
      <c r="AC94" s="40"/>
      <c r="AD94" s="40"/>
      <c r="AE94" s="40"/>
      <c r="AF94" s="40"/>
      <c r="AG94" s="41"/>
      <c r="AH94" s="40"/>
      <c r="AI94" s="42"/>
    </row>
    <row r="95" spans="1:35" s="5" customFormat="1" ht="33" customHeight="1" x14ac:dyDescent="0.2">
      <c r="A95" s="13"/>
      <c r="B95" s="358"/>
      <c r="C95" s="348"/>
      <c r="D95" s="348"/>
      <c r="E95" s="46" t="s">
        <v>1459</v>
      </c>
      <c r="F95" s="252" t="s">
        <v>1442</v>
      </c>
      <c r="G95" s="61" t="s">
        <v>1442</v>
      </c>
      <c r="H95" s="227"/>
      <c r="I95" s="73" t="s">
        <v>1442</v>
      </c>
      <c r="J95" s="17" t="s">
        <v>2690</v>
      </c>
      <c r="K95" s="61">
        <v>42239</v>
      </c>
      <c r="L95" s="17" t="s">
        <v>2691</v>
      </c>
      <c r="M95" s="18">
        <v>42240</v>
      </c>
      <c r="N95" s="46" t="s">
        <v>2756</v>
      </c>
      <c r="O95" s="242">
        <v>42243</v>
      </c>
      <c r="P95" s="258">
        <v>1</v>
      </c>
      <c r="Q95" s="258" t="s">
        <v>2704</v>
      </c>
      <c r="R95" s="62">
        <v>42240</v>
      </c>
      <c r="S95" s="133" t="s">
        <v>3074</v>
      </c>
      <c r="T95" s="26">
        <v>42332</v>
      </c>
      <c r="U95" s="17" t="s">
        <v>1369</v>
      </c>
      <c r="V95" s="106" t="s">
        <v>1442</v>
      </c>
      <c r="W95" s="37"/>
      <c r="X95" s="37"/>
      <c r="Y95" s="38"/>
      <c r="Z95" s="39"/>
      <c r="AA95" s="40"/>
      <c r="AB95" s="41"/>
      <c r="AC95" s="40"/>
      <c r="AD95" s="40"/>
      <c r="AE95" s="40"/>
      <c r="AF95" s="40"/>
      <c r="AG95" s="41"/>
      <c r="AH95" s="40"/>
      <c r="AI95" s="42"/>
    </row>
    <row r="96" spans="1:35" s="5" customFormat="1" ht="33" customHeight="1" x14ac:dyDescent="0.2">
      <c r="A96" s="13">
        <f>A94+1</f>
        <v>4</v>
      </c>
      <c r="B96" s="24" t="s">
        <v>401</v>
      </c>
      <c r="C96" s="14" t="s">
        <v>484</v>
      </c>
      <c r="D96" s="14" t="s">
        <v>537</v>
      </c>
      <c r="E96" s="224" t="s">
        <v>3059</v>
      </c>
      <c r="F96" s="22">
        <v>2</v>
      </c>
      <c r="G96" s="228">
        <v>42116</v>
      </c>
      <c r="H96" s="227">
        <v>42116</v>
      </c>
      <c r="I96" s="73">
        <f t="shared" ref="I96:I119" ca="1" si="2">G96-TODAY()</f>
        <v>-1946</v>
      </c>
      <c r="J96" s="16"/>
      <c r="K96" s="16"/>
      <c r="L96" s="17"/>
      <c r="M96" s="18"/>
      <c r="N96" s="8"/>
      <c r="O96" s="9"/>
      <c r="P96" s="8"/>
      <c r="Q96" s="8"/>
      <c r="R96" s="8"/>
      <c r="S96" s="8"/>
      <c r="T96" s="9"/>
      <c r="U96" s="8"/>
      <c r="V96" s="19"/>
      <c r="W96" s="37"/>
      <c r="X96" s="37"/>
      <c r="Y96" s="38"/>
      <c r="Z96" s="39"/>
      <c r="AA96" s="40"/>
      <c r="AB96" s="41"/>
      <c r="AC96" s="40"/>
      <c r="AD96" s="40"/>
      <c r="AE96" s="40"/>
      <c r="AF96" s="40"/>
      <c r="AG96" s="41"/>
      <c r="AH96" s="40"/>
      <c r="AI96" s="42"/>
    </row>
    <row r="97" spans="1:35" s="5" customFormat="1" ht="33" customHeight="1" x14ac:dyDescent="0.2">
      <c r="A97" s="13">
        <f t="shared" si="0"/>
        <v>5</v>
      </c>
      <c r="B97" s="24" t="s">
        <v>402</v>
      </c>
      <c r="C97" s="14" t="s">
        <v>485</v>
      </c>
      <c r="D97" s="14" t="s">
        <v>538</v>
      </c>
      <c r="E97" s="224" t="s">
        <v>3059</v>
      </c>
      <c r="F97" s="22">
        <v>2</v>
      </c>
      <c r="G97" s="228">
        <v>42123</v>
      </c>
      <c r="H97" s="227">
        <v>42123</v>
      </c>
      <c r="I97" s="73">
        <f t="shared" ca="1" si="2"/>
        <v>-1939</v>
      </c>
      <c r="J97" s="16"/>
      <c r="K97" s="16"/>
      <c r="L97" s="17"/>
      <c r="M97" s="18"/>
      <c r="N97" s="8"/>
      <c r="O97" s="9"/>
      <c r="P97" s="8"/>
      <c r="Q97" s="8"/>
      <c r="R97" s="8"/>
      <c r="S97" s="8"/>
      <c r="T97" s="9"/>
      <c r="U97" s="8"/>
      <c r="V97" s="19"/>
      <c r="W97" s="37"/>
      <c r="X97" s="37"/>
      <c r="Y97" s="38"/>
      <c r="Z97" s="39"/>
      <c r="AA97" s="40"/>
      <c r="AB97" s="41"/>
      <c r="AC97" s="40"/>
      <c r="AD97" s="40"/>
      <c r="AE97" s="40"/>
      <c r="AF97" s="40"/>
      <c r="AG97" s="41"/>
      <c r="AH97" s="40"/>
      <c r="AI97" s="42"/>
    </row>
    <row r="98" spans="1:35" s="5" customFormat="1" ht="33" customHeight="1" x14ac:dyDescent="0.2">
      <c r="A98" s="13">
        <f t="shared" si="0"/>
        <v>6</v>
      </c>
      <c r="B98" s="24" t="s">
        <v>403</v>
      </c>
      <c r="C98" s="14" t="s">
        <v>486</v>
      </c>
      <c r="D98" s="14" t="s">
        <v>539</v>
      </c>
      <c r="E98" s="224" t="s">
        <v>3059</v>
      </c>
      <c r="F98" s="22">
        <v>2</v>
      </c>
      <c r="G98" s="228">
        <v>42130</v>
      </c>
      <c r="H98" s="227">
        <v>42130</v>
      </c>
      <c r="I98" s="73">
        <f t="shared" ca="1" si="2"/>
        <v>-1932</v>
      </c>
      <c r="J98" s="16"/>
      <c r="K98" s="16"/>
      <c r="L98" s="17"/>
      <c r="M98" s="18"/>
      <c r="N98" s="8"/>
      <c r="O98" s="9"/>
      <c r="P98" s="8"/>
      <c r="Q98" s="8"/>
      <c r="R98" s="8"/>
      <c r="S98" s="8"/>
      <c r="T98" s="9"/>
      <c r="U98" s="8"/>
      <c r="V98" s="19"/>
      <c r="W98" s="37"/>
      <c r="X98" s="37"/>
      <c r="Y98" s="38"/>
      <c r="Z98" s="39"/>
      <c r="AA98" s="40"/>
      <c r="AB98" s="41"/>
      <c r="AC98" s="40"/>
      <c r="AD98" s="40"/>
      <c r="AE98" s="40"/>
      <c r="AF98" s="40"/>
      <c r="AG98" s="41"/>
      <c r="AH98" s="40"/>
      <c r="AI98" s="42"/>
    </row>
    <row r="99" spans="1:35" s="5" customFormat="1" ht="33" customHeight="1" x14ac:dyDescent="0.2">
      <c r="A99" s="13">
        <f t="shared" si="0"/>
        <v>7</v>
      </c>
      <c r="B99" s="24" t="s">
        <v>2714</v>
      </c>
      <c r="C99" s="14" t="s">
        <v>487</v>
      </c>
      <c r="D99" s="14" t="s">
        <v>540</v>
      </c>
      <c r="E99" s="46" t="s">
        <v>1432</v>
      </c>
      <c r="F99" s="22">
        <v>2</v>
      </c>
      <c r="G99" s="228">
        <v>42137</v>
      </c>
      <c r="H99" s="227">
        <v>42137</v>
      </c>
      <c r="I99" s="73">
        <v>-105</v>
      </c>
      <c r="J99" s="61" t="s">
        <v>2722</v>
      </c>
      <c r="K99" s="61">
        <v>42242</v>
      </c>
      <c r="L99" s="17" t="s">
        <v>2723</v>
      </c>
      <c r="M99" s="18">
        <v>42243</v>
      </c>
      <c r="N99" s="46" t="s">
        <v>2776</v>
      </c>
      <c r="O99" s="26">
        <v>42247</v>
      </c>
      <c r="P99" s="17">
        <v>1</v>
      </c>
      <c r="Q99" s="114" t="s">
        <v>2752</v>
      </c>
      <c r="R99" s="18">
        <v>42243</v>
      </c>
      <c r="S99" s="46" t="s">
        <v>2755</v>
      </c>
      <c r="T99" s="26">
        <v>42243</v>
      </c>
      <c r="U99" s="17" t="s">
        <v>1369</v>
      </c>
      <c r="V99" s="257" t="s">
        <v>1442</v>
      </c>
      <c r="W99" s="37"/>
      <c r="X99" s="37"/>
      <c r="Y99" s="38"/>
      <c r="Z99" s="39"/>
      <c r="AA99" s="40"/>
      <c r="AB99" s="41"/>
      <c r="AC99" s="40"/>
      <c r="AD99" s="40"/>
      <c r="AE99" s="40"/>
      <c r="AF99" s="40"/>
      <c r="AG99" s="41"/>
      <c r="AH99" s="40"/>
      <c r="AI99" s="42"/>
    </row>
    <row r="100" spans="1:35" s="5" customFormat="1" ht="33" customHeight="1" x14ac:dyDescent="0.2">
      <c r="A100" s="13">
        <f t="shared" si="0"/>
        <v>8</v>
      </c>
      <c r="B100" s="24" t="s">
        <v>2736</v>
      </c>
      <c r="C100" s="14" t="s">
        <v>488</v>
      </c>
      <c r="D100" s="14" t="s">
        <v>541</v>
      </c>
      <c r="E100" s="46" t="s">
        <v>1432</v>
      </c>
      <c r="F100" s="22">
        <v>2</v>
      </c>
      <c r="G100" s="228">
        <v>42144</v>
      </c>
      <c r="H100" s="227">
        <v>42144</v>
      </c>
      <c r="I100" s="73">
        <v>-99</v>
      </c>
      <c r="J100" s="61" t="s">
        <v>2767</v>
      </c>
      <c r="K100" s="61">
        <v>42247</v>
      </c>
      <c r="L100" s="17" t="s">
        <v>2768</v>
      </c>
      <c r="M100" s="18">
        <v>42249</v>
      </c>
      <c r="N100" s="46" t="s">
        <v>2882</v>
      </c>
      <c r="O100" s="26">
        <v>42256</v>
      </c>
      <c r="P100" s="17">
        <v>1</v>
      </c>
      <c r="Q100" s="17" t="s">
        <v>2790</v>
      </c>
      <c r="R100" s="62">
        <v>42249</v>
      </c>
      <c r="S100" s="133" t="s">
        <v>3075</v>
      </c>
      <c r="T100" s="26">
        <v>42332</v>
      </c>
      <c r="U100" s="17" t="s">
        <v>1369</v>
      </c>
      <c r="V100" s="106" t="s">
        <v>1442</v>
      </c>
      <c r="W100" s="37"/>
      <c r="X100" s="37"/>
      <c r="Y100" s="38"/>
      <c r="Z100" s="39"/>
      <c r="AA100" s="40"/>
      <c r="AB100" s="41"/>
      <c r="AC100" s="40"/>
      <c r="AD100" s="40"/>
      <c r="AE100" s="40"/>
      <c r="AF100" s="40"/>
      <c r="AG100" s="41"/>
      <c r="AH100" s="40"/>
      <c r="AI100" s="42"/>
    </row>
    <row r="101" spans="1:35" s="5" customFormat="1" ht="33" customHeight="1" x14ac:dyDescent="0.2">
      <c r="A101" s="13">
        <f t="shared" si="0"/>
        <v>9</v>
      </c>
      <c r="B101" s="24" t="s">
        <v>2873</v>
      </c>
      <c r="C101" s="14" t="s">
        <v>489</v>
      </c>
      <c r="D101" s="14" t="s">
        <v>542</v>
      </c>
      <c r="E101" s="290" t="s">
        <v>1432</v>
      </c>
      <c r="F101" s="22">
        <v>2</v>
      </c>
      <c r="G101" s="228">
        <v>42151</v>
      </c>
      <c r="H101" s="227">
        <v>42151</v>
      </c>
      <c r="I101" s="73">
        <v>-105</v>
      </c>
      <c r="J101" s="61" t="s">
        <v>2874</v>
      </c>
      <c r="K101" s="16">
        <v>42256</v>
      </c>
      <c r="L101" s="17" t="s">
        <v>2875</v>
      </c>
      <c r="M101" s="18">
        <v>42257</v>
      </c>
      <c r="N101" s="292" t="s">
        <v>3052</v>
      </c>
      <c r="O101" s="26">
        <v>42297</v>
      </c>
      <c r="P101" s="17">
        <v>1</v>
      </c>
      <c r="Q101" s="52" t="s">
        <v>2906</v>
      </c>
      <c r="R101" s="62">
        <v>42257</v>
      </c>
      <c r="S101" s="290" t="s">
        <v>3076</v>
      </c>
      <c r="T101" s="26">
        <v>42332</v>
      </c>
      <c r="U101" s="17" t="s">
        <v>1369</v>
      </c>
      <c r="V101" s="106" t="s">
        <v>1442</v>
      </c>
      <c r="W101" s="37"/>
      <c r="X101" s="37"/>
      <c r="Y101" s="38"/>
      <c r="Z101" s="39"/>
      <c r="AA101" s="40"/>
      <c r="AB101" s="41"/>
      <c r="AC101" s="40"/>
      <c r="AD101" s="40"/>
      <c r="AE101" s="40"/>
      <c r="AF101" s="40"/>
      <c r="AG101" s="41"/>
      <c r="AH101" s="40"/>
      <c r="AI101" s="42"/>
    </row>
    <row r="102" spans="1:35" s="5" customFormat="1" ht="33" customHeight="1" x14ac:dyDescent="0.2">
      <c r="A102" s="13">
        <f t="shared" si="0"/>
        <v>10</v>
      </c>
      <c r="B102" s="24" t="s">
        <v>404</v>
      </c>
      <c r="C102" s="14" t="s">
        <v>490</v>
      </c>
      <c r="D102" s="14" t="s">
        <v>543</v>
      </c>
      <c r="E102" s="224" t="s">
        <v>3059</v>
      </c>
      <c r="F102" s="22">
        <v>2</v>
      </c>
      <c r="G102" s="228">
        <v>42158</v>
      </c>
      <c r="H102" s="227">
        <v>42158</v>
      </c>
      <c r="I102" s="73">
        <f t="shared" ca="1" si="2"/>
        <v>-1904</v>
      </c>
      <c r="J102" s="16"/>
      <c r="K102" s="16"/>
      <c r="L102" s="17"/>
      <c r="M102" s="18"/>
      <c r="N102" s="8"/>
      <c r="O102" s="9"/>
      <c r="P102" s="8"/>
      <c r="Q102" s="8"/>
      <c r="R102" s="8"/>
      <c r="S102" s="8"/>
      <c r="T102" s="9"/>
      <c r="U102" s="8"/>
      <c r="V102" s="19"/>
      <c r="W102" s="37"/>
      <c r="X102" s="37"/>
      <c r="Y102" s="38"/>
      <c r="Z102" s="39"/>
      <c r="AA102" s="40"/>
      <c r="AB102" s="41"/>
      <c r="AC102" s="40"/>
      <c r="AD102" s="40"/>
      <c r="AE102" s="40"/>
      <c r="AF102" s="40"/>
      <c r="AG102" s="41"/>
      <c r="AH102" s="40"/>
      <c r="AI102" s="42"/>
    </row>
    <row r="103" spans="1:35" s="5" customFormat="1" ht="33" customHeight="1" x14ac:dyDescent="0.2">
      <c r="A103" s="13">
        <f t="shared" si="0"/>
        <v>11</v>
      </c>
      <c r="B103" s="24" t="s">
        <v>405</v>
      </c>
      <c r="C103" s="14" t="s">
        <v>491</v>
      </c>
      <c r="D103" s="14" t="s">
        <v>1389</v>
      </c>
      <c r="E103" s="224" t="s">
        <v>3059</v>
      </c>
      <c r="F103" s="22">
        <v>2</v>
      </c>
      <c r="G103" s="228">
        <v>42165</v>
      </c>
      <c r="H103" s="227">
        <v>42165</v>
      </c>
      <c r="I103" s="73">
        <f t="shared" ca="1" si="2"/>
        <v>-1897</v>
      </c>
      <c r="J103" s="16"/>
      <c r="K103" s="16"/>
      <c r="L103" s="17"/>
      <c r="M103" s="18"/>
      <c r="N103" s="8"/>
      <c r="O103" s="9"/>
      <c r="P103" s="8"/>
      <c r="Q103" s="8"/>
      <c r="R103" s="8"/>
      <c r="S103" s="8"/>
      <c r="T103" s="9"/>
      <c r="U103" s="8"/>
      <c r="V103" s="19"/>
      <c r="W103" s="37"/>
      <c r="X103" s="37"/>
      <c r="Y103" s="38"/>
      <c r="Z103" s="39"/>
      <c r="AA103" s="40"/>
      <c r="AB103" s="41"/>
      <c r="AC103" s="40"/>
      <c r="AD103" s="40"/>
      <c r="AE103" s="40"/>
      <c r="AF103" s="40"/>
      <c r="AG103" s="41"/>
      <c r="AH103" s="40"/>
      <c r="AI103" s="42"/>
    </row>
    <row r="104" spans="1:35" s="5" customFormat="1" ht="33" customHeight="1" x14ac:dyDescent="0.2">
      <c r="A104" s="13">
        <f t="shared" si="0"/>
        <v>12</v>
      </c>
      <c r="B104" s="24" t="s">
        <v>406</v>
      </c>
      <c r="C104" s="14" t="s">
        <v>492</v>
      </c>
      <c r="D104" s="14" t="s">
        <v>1390</v>
      </c>
      <c r="E104" s="224" t="s">
        <v>3059</v>
      </c>
      <c r="F104" s="22">
        <v>2</v>
      </c>
      <c r="G104" s="228">
        <v>42172</v>
      </c>
      <c r="H104" s="227">
        <v>42172</v>
      </c>
      <c r="I104" s="73">
        <f t="shared" ca="1" si="2"/>
        <v>-1890</v>
      </c>
      <c r="J104" s="16"/>
      <c r="K104" s="16"/>
      <c r="L104" s="17"/>
      <c r="M104" s="18"/>
      <c r="N104" s="8"/>
      <c r="O104" s="9"/>
      <c r="P104" s="8"/>
      <c r="Q104" s="8"/>
      <c r="R104" s="8"/>
      <c r="S104" s="8"/>
      <c r="T104" s="9"/>
      <c r="U104" s="8"/>
      <c r="V104" s="19"/>
      <c r="W104" s="37"/>
      <c r="X104" s="37"/>
      <c r="Y104" s="38"/>
      <c r="Z104" s="39"/>
      <c r="AA104" s="40"/>
      <c r="AB104" s="41"/>
      <c r="AC104" s="40"/>
      <c r="AD104" s="40"/>
      <c r="AE104" s="40"/>
      <c r="AF104" s="40"/>
      <c r="AG104" s="41"/>
      <c r="AH104" s="40"/>
      <c r="AI104" s="42"/>
    </row>
    <row r="105" spans="1:35" s="5" customFormat="1" ht="33" customHeight="1" x14ac:dyDescent="0.2">
      <c r="A105" s="13">
        <f t="shared" si="0"/>
        <v>13</v>
      </c>
      <c r="B105" s="24" t="s">
        <v>407</v>
      </c>
      <c r="C105" s="14" t="s">
        <v>493</v>
      </c>
      <c r="D105" s="14" t="s">
        <v>544</v>
      </c>
      <c r="E105" s="224" t="s">
        <v>3059</v>
      </c>
      <c r="F105" s="22">
        <v>2</v>
      </c>
      <c r="G105" s="228">
        <v>42179</v>
      </c>
      <c r="H105" s="227">
        <v>42179</v>
      </c>
      <c r="I105" s="73">
        <f t="shared" ca="1" si="2"/>
        <v>-1883</v>
      </c>
      <c r="J105" s="16"/>
      <c r="K105" s="16"/>
      <c r="L105" s="17"/>
      <c r="M105" s="18"/>
      <c r="N105" s="8"/>
      <c r="O105" s="9"/>
      <c r="P105" s="8"/>
      <c r="Q105" s="8"/>
      <c r="R105" s="8"/>
      <c r="S105" s="8"/>
      <c r="T105" s="9"/>
      <c r="U105" s="8"/>
      <c r="V105" s="19"/>
      <c r="W105" s="37"/>
      <c r="X105" s="37"/>
      <c r="Y105" s="38"/>
      <c r="Z105" s="39"/>
      <c r="AA105" s="40"/>
      <c r="AB105" s="41"/>
      <c r="AC105" s="40"/>
      <c r="AD105" s="40"/>
      <c r="AE105" s="40"/>
      <c r="AF105" s="40"/>
      <c r="AG105" s="41"/>
      <c r="AH105" s="40"/>
      <c r="AI105" s="42"/>
    </row>
    <row r="106" spans="1:35" s="5" customFormat="1" ht="33" customHeight="1" x14ac:dyDescent="0.2">
      <c r="A106" s="13">
        <f t="shared" ref="A106:A119" si="3">A105+1</f>
        <v>14</v>
      </c>
      <c r="B106" s="24" t="s">
        <v>408</v>
      </c>
      <c r="C106" s="14" t="s">
        <v>494</v>
      </c>
      <c r="D106" s="14" t="s">
        <v>545</v>
      </c>
      <c r="E106" s="224" t="s">
        <v>3059</v>
      </c>
      <c r="F106" s="22">
        <v>2</v>
      </c>
      <c r="G106" s="228">
        <v>42186</v>
      </c>
      <c r="H106" s="227">
        <v>42186</v>
      </c>
      <c r="I106" s="73">
        <f t="shared" ca="1" si="2"/>
        <v>-1876</v>
      </c>
      <c r="J106" s="16"/>
      <c r="K106" s="16"/>
      <c r="L106" s="17"/>
      <c r="M106" s="18"/>
      <c r="N106" s="8"/>
      <c r="O106" s="9"/>
      <c r="P106" s="8"/>
      <c r="Q106" s="8"/>
      <c r="R106" s="8"/>
      <c r="S106" s="8"/>
      <c r="T106" s="9"/>
      <c r="U106" s="8"/>
      <c r="V106" s="19"/>
      <c r="W106" s="37"/>
      <c r="X106" s="37"/>
      <c r="Y106" s="38"/>
      <c r="Z106" s="39"/>
      <c r="AA106" s="40"/>
      <c r="AB106" s="41"/>
      <c r="AC106" s="40"/>
      <c r="AD106" s="40"/>
      <c r="AE106" s="40"/>
      <c r="AF106" s="40"/>
      <c r="AG106" s="41"/>
      <c r="AH106" s="40"/>
      <c r="AI106" s="42"/>
    </row>
    <row r="107" spans="1:35" s="5" customFormat="1" ht="33" customHeight="1" x14ac:dyDescent="0.2">
      <c r="A107" s="13">
        <f t="shared" si="3"/>
        <v>15</v>
      </c>
      <c r="B107" s="24" t="s">
        <v>409</v>
      </c>
      <c r="C107" s="14" t="s">
        <v>495</v>
      </c>
      <c r="D107" s="14" t="s">
        <v>546</v>
      </c>
      <c r="E107" s="224" t="s">
        <v>3059</v>
      </c>
      <c r="F107" s="22">
        <v>2</v>
      </c>
      <c r="G107" s="228">
        <v>42193</v>
      </c>
      <c r="H107" s="227">
        <v>42193</v>
      </c>
      <c r="I107" s="73">
        <f t="shared" ca="1" si="2"/>
        <v>-1869</v>
      </c>
      <c r="J107" s="16"/>
      <c r="K107" s="16"/>
      <c r="L107" s="17"/>
      <c r="M107" s="18"/>
      <c r="N107" s="8"/>
      <c r="O107" s="9"/>
      <c r="P107" s="8"/>
      <c r="Q107" s="8"/>
      <c r="R107" s="8"/>
      <c r="S107" s="8"/>
      <c r="T107" s="9"/>
      <c r="U107" s="8"/>
      <c r="V107" s="19"/>
      <c r="W107" s="37"/>
      <c r="X107" s="37"/>
      <c r="Y107" s="38"/>
      <c r="Z107" s="39"/>
      <c r="AA107" s="40"/>
      <c r="AB107" s="41"/>
      <c r="AC107" s="40"/>
      <c r="AD107" s="40"/>
      <c r="AE107" s="40"/>
      <c r="AF107" s="40"/>
      <c r="AG107" s="41"/>
      <c r="AH107" s="40"/>
      <c r="AI107" s="42"/>
    </row>
    <row r="108" spans="1:35" s="5" customFormat="1" ht="33" customHeight="1" x14ac:dyDescent="0.2">
      <c r="A108" s="13">
        <f t="shared" si="3"/>
        <v>16</v>
      </c>
      <c r="B108" s="24" t="s">
        <v>410</v>
      </c>
      <c r="C108" s="14" t="s">
        <v>496</v>
      </c>
      <c r="D108" s="14" t="s">
        <v>1391</v>
      </c>
      <c r="E108" s="224" t="s">
        <v>3059</v>
      </c>
      <c r="F108" s="22">
        <v>2</v>
      </c>
      <c r="G108" s="228">
        <v>42200</v>
      </c>
      <c r="H108" s="227">
        <v>42200</v>
      </c>
      <c r="I108" s="73">
        <f t="shared" ca="1" si="2"/>
        <v>-1862</v>
      </c>
      <c r="J108" s="16"/>
      <c r="K108" s="16"/>
      <c r="L108" s="17"/>
      <c r="M108" s="18"/>
      <c r="N108" s="8"/>
      <c r="O108" s="9"/>
      <c r="P108" s="8"/>
      <c r="Q108" s="8"/>
      <c r="R108" s="8"/>
      <c r="S108" s="8"/>
      <c r="T108" s="9"/>
      <c r="U108" s="8"/>
      <c r="V108" s="19"/>
      <c r="W108" s="37"/>
      <c r="X108" s="37"/>
      <c r="Y108" s="38"/>
      <c r="Z108" s="39"/>
      <c r="AA108" s="40"/>
      <c r="AB108" s="41"/>
      <c r="AC108" s="40"/>
      <c r="AD108" s="40"/>
      <c r="AE108" s="40"/>
      <c r="AF108" s="40"/>
      <c r="AG108" s="41"/>
      <c r="AH108" s="40"/>
      <c r="AI108" s="42"/>
    </row>
    <row r="109" spans="1:35" s="5" customFormat="1" ht="33" customHeight="1" x14ac:dyDescent="0.2">
      <c r="A109" s="13">
        <f t="shared" si="3"/>
        <v>17</v>
      </c>
      <c r="B109" s="24" t="s">
        <v>411</v>
      </c>
      <c r="C109" s="14" t="s">
        <v>497</v>
      </c>
      <c r="D109" s="14" t="s">
        <v>1392</v>
      </c>
      <c r="E109" s="224" t="s">
        <v>3059</v>
      </c>
      <c r="F109" s="22">
        <v>2</v>
      </c>
      <c r="G109" s="228">
        <v>42207</v>
      </c>
      <c r="H109" s="227">
        <v>42207</v>
      </c>
      <c r="I109" s="73">
        <f t="shared" ca="1" si="2"/>
        <v>-1855</v>
      </c>
      <c r="J109" s="16"/>
      <c r="K109" s="16"/>
      <c r="L109" s="17"/>
      <c r="M109" s="18"/>
      <c r="N109" s="8"/>
      <c r="O109" s="9"/>
      <c r="P109" s="8"/>
      <c r="Q109" s="8"/>
      <c r="R109" s="8"/>
      <c r="S109" s="8"/>
      <c r="T109" s="9"/>
      <c r="U109" s="8"/>
      <c r="V109" s="19"/>
      <c r="W109" s="37"/>
      <c r="X109" s="37"/>
      <c r="Y109" s="38"/>
      <c r="Z109" s="39"/>
      <c r="AA109" s="40"/>
      <c r="AB109" s="41"/>
      <c r="AC109" s="40"/>
      <c r="AD109" s="40"/>
      <c r="AE109" s="40"/>
      <c r="AF109" s="40"/>
      <c r="AG109" s="41"/>
      <c r="AH109" s="40"/>
      <c r="AI109" s="42"/>
    </row>
    <row r="110" spans="1:35" s="5" customFormat="1" ht="33" customHeight="1" x14ac:dyDescent="0.2">
      <c r="A110" s="13">
        <f t="shared" si="3"/>
        <v>18</v>
      </c>
      <c r="B110" s="24" t="s">
        <v>412</v>
      </c>
      <c r="C110" s="14" t="s">
        <v>498</v>
      </c>
      <c r="D110" s="14" t="s">
        <v>1409</v>
      </c>
      <c r="E110" s="224" t="s">
        <v>3059</v>
      </c>
      <c r="F110" s="22">
        <v>2</v>
      </c>
      <c r="G110" s="228">
        <v>42214</v>
      </c>
      <c r="H110" s="227">
        <v>42214</v>
      </c>
      <c r="I110" s="73">
        <f t="shared" ca="1" si="2"/>
        <v>-1848</v>
      </c>
      <c r="J110" s="16"/>
      <c r="K110" s="16"/>
      <c r="L110" s="17"/>
      <c r="M110" s="18"/>
      <c r="N110" s="8"/>
      <c r="O110" s="9"/>
      <c r="P110" s="8"/>
      <c r="Q110" s="8"/>
      <c r="R110" s="8"/>
      <c r="S110" s="8"/>
      <c r="T110" s="9"/>
      <c r="U110" s="8"/>
      <c r="V110" s="19"/>
      <c r="W110" s="37"/>
      <c r="X110" s="37"/>
      <c r="Y110" s="38"/>
      <c r="Z110" s="39"/>
      <c r="AA110" s="40"/>
      <c r="AB110" s="41"/>
      <c r="AC110" s="40"/>
      <c r="AD110" s="40"/>
      <c r="AE110" s="40"/>
      <c r="AF110" s="40"/>
      <c r="AG110" s="41"/>
      <c r="AH110" s="40"/>
      <c r="AI110" s="42"/>
    </row>
    <row r="111" spans="1:35" s="5" customFormat="1" ht="33" customHeight="1" x14ac:dyDescent="0.2">
      <c r="A111" s="13">
        <f t="shared" si="3"/>
        <v>19</v>
      </c>
      <c r="B111" s="24" t="s">
        <v>413</v>
      </c>
      <c r="C111" s="14" t="s">
        <v>499</v>
      </c>
      <c r="D111" s="14" t="s">
        <v>1410</v>
      </c>
      <c r="E111" s="224" t="s">
        <v>3059</v>
      </c>
      <c r="F111" s="22">
        <v>2</v>
      </c>
      <c r="G111" s="228">
        <v>42221</v>
      </c>
      <c r="H111" s="227">
        <v>42221</v>
      </c>
      <c r="I111" s="73">
        <f t="shared" ca="1" si="2"/>
        <v>-1841</v>
      </c>
      <c r="J111" s="16"/>
      <c r="K111" s="16"/>
      <c r="L111" s="17"/>
      <c r="M111" s="18"/>
      <c r="N111" s="8"/>
      <c r="O111" s="9"/>
      <c r="P111" s="8"/>
      <c r="Q111" s="8"/>
      <c r="R111" s="8"/>
      <c r="S111" s="8"/>
      <c r="T111" s="9"/>
      <c r="U111" s="8"/>
      <c r="V111" s="19"/>
      <c r="W111" s="37"/>
      <c r="X111" s="37"/>
      <c r="Y111" s="38"/>
      <c r="Z111" s="39"/>
      <c r="AA111" s="40"/>
      <c r="AB111" s="41"/>
      <c r="AC111" s="40"/>
      <c r="AD111" s="40"/>
      <c r="AE111" s="40"/>
      <c r="AF111" s="40"/>
      <c r="AG111" s="41"/>
      <c r="AH111" s="40"/>
      <c r="AI111" s="42"/>
    </row>
    <row r="112" spans="1:35" s="5" customFormat="1" ht="33" customHeight="1" x14ac:dyDescent="0.2">
      <c r="A112" s="13">
        <f t="shared" si="3"/>
        <v>20</v>
      </c>
      <c r="B112" s="24" t="s">
        <v>414</v>
      </c>
      <c r="C112" s="14" t="s">
        <v>500</v>
      </c>
      <c r="D112" s="14" t="s">
        <v>1393</v>
      </c>
      <c r="E112" s="224" t="s">
        <v>3059</v>
      </c>
      <c r="F112" s="22">
        <v>2</v>
      </c>
      <c r="G112" s="228">
        <v>42228</v>
      </c>
      <c r="H112" s="227">
        <v>42228</v>
      </c>
      <c r="I112" s="73">
        <f t="shared" ca="1" si="2"/>
        <v>-1834</v>
      </c>
      <c r="J112" s="16"/>
      <c r="K112" s="16"/>
      <c r="L112" s="17"/>
      <c r="M112" s="18"/>
      <c r="N112" s="8"/>
      <c r="O112" s="9"/>
      <c r="P112" s="8"/>
      <c r="Q112" s="8"/>
      <c r="R112" s="8"/>
      <c r="S112" s="8"/>
      <c r="T112" s="9"/>
      <c r="U112" s="8"/>
      <c r="V112" s="19"/>
      <c r="W112" s="37"/>
      <c r="X112" s="37"/>
      <c r="Y112" s="38"/>
      <c r="Z112" s="39"/>
      <c r="AA112" s="40"/>
      <c r="AB112" s="41"/>
      <c r="AC112" s="40"/>
      <c r="AD112" s="40"/>
      <c r="AE112" s="40"/>
      <c r="AF112" s="40"/>
      <c r="AG112" s="41"/>
      <c r="AH112" s="40"/>
      <c r="AI112" s="42"/>
    </row>
    <row r="113" spans="1:35" s="5" customFormat="1" ht="33" customHeight="1" x14ac:dyDescent="0.2">
      <c r="A113" s="13">
        <f t="shared" si="3"/>
        <v>21</v>
      </c>
      <c r="B113" s="24" t="s">
        <v>415</v>
      </c>
      <c r="C113" s="14" t="s">
        <v>1384</v>
      </c>
      <c r="D113" s="14" t="s">
        <v>1394</v>
      </c>
      <c r="E113" s="224" t="s">
        <v>3059</v>
      </c>
      <c r="F113" s="22">
        <v>2</v>
      </c>
      <c r="G113" s="228">
        <v>42235</v>
      </c>
      <c r="H113" s="227">
        <v>42235</v>
      </c>
      <c r="I113" s="73">
        <f t="shared" ca="1" si="2"/>
        <v>-1827</v>
      </c>
      <c r="J113" s="16"/>
      <c r="K113" s="16"/>
      <c r="L113" s="17"/>
      <c r="M113" s="18"/>
      <c r="N113" s="8"/>
      <c r="O113" s="9"/>
      <c r="P113" s="8"/>
      <c r="Q113" s="8"/>
      <c r="R113" s="8"/>
      <c r="S113" s="8"/>
      <c r="T113" s="9"/>
      <c r="U113" s="8"/>
      <c r="V113" s="19"/>
      <c r="W113" s="37"/>
      <c r="X113" s="37"/>
      <c r="Y113" s="38"/>
      <c r="Z113" s="39"/>
      <c r="AA113" s="40"/>
      <c r="AB113" s="41"/>
      <c r="AC113" s="40"/>
      <c r="AD113" s="40"/>
      <c r="AE113" s="40"/>
      <c r="AF113" s="40"/>
      <c r="AG113" s="41"/>
      <c r="AH113" s="40"/>
      <c r="AI113" s="42"/>
    </row>
    <row r="114" spans="1:35" s="5" customFormat="1" ht="33" customHeight="1" x14ac:dyDescent="0.2">
      <c r="A114" s="13">
        <f t="shared" si="3"/>
        <v>22</v>
      </c>
      <c r="B114" s="24" t="s">
        <v>416</v>
      </c>
      <c r="C114" s="14" t="s">
        <v>1385</v>
      </c>
      <c r="D114" s="14" t="s">
        <v>1395</v>
      </c>
      <c r="E114" s="224" t="s">
        <v>3059</v>
      </c>
      <c r="F114" s="22">
        <v>2</v>
      </c>
      <c r="G114" s="228">
        <v>42242</v>
      </c>
      <c r="H114" s="227">
        <v>42242</v>
      </c>
      <c r="I114" s="73">
        <f t="shared" ca="1" si="2"/>
        <v>-1820</v>
      </c>
      <c r="J114" s="16"/>
      <c r="K114" s="16"/>
      <c r="L114" s="17"/>
      <c r="M114" s="18"/>
      <c r="N114" s="8"/>
      <c r="O114" s="9"/>
      <c r="P114" s="8"/>
      <c r="Q114" s="8"/>
      <c r="R114" s="8"/>
      <c r="S114" s="8"/>
      <c r="T114" s="9"/>
      <c r="U114" s="8"/>
      <c r="V114" s="19"/>
      <c r="W114" s="37"/>
      <c r="X114" s="37"/>
      <c r="Y114" s="38"/>
      <c r="Z114" s="39"/>
      <c r="AA114" s="40"/>
      <c r="AB114" s="41"/>
      <c r="AC114" s="40"/>
      <c r="AD114" s="40"/>
      <c r="AE114" s="40"/>
      <c r="AF114" s="40"/>
      <c r="AG114" s="41"/>
      <c r="AH114" s="40"/>
      <c r="AI114" s="42"/>
    </row>
    <row r="115" spans="1:35" s="5" customFormat="1" ht="33" customHeight="1" x14ac:dyDescent="0.2">
      <c r="A115" s="13">
        <f t="shared" si="3"/>
        <v>23</v>
      </c>
      <c r="B115" s="24" t="s">
        <v>417</v>
      </c>
      <c r="C115" s="14" t="s">
        <v>1386</v>
      </c>
      <c r="D115" s="14" t="s">
        <v>1411</v>
      </c>
      <c r="E115" s="224" t="s">
        <v>3059</v>
      </c>
      <c r="F115" s="22">
        <v>2</v>
      </c>
      <c r="G115" s="228">
        <v>42249</v>
      </c>
      <c r="H115" s="227">
        <v>42249</v>
      </c>
      <c r="I115" s="73">
        <f t="shared" ca="1" si="2"/>
        <v>-1813</v>
      </c>
      <c r="J115" s="16"/>
      <c r="K115" s="16"/>
      <c r="L115" s="17"/>
      <c r="M115" s="18"/>
      <c r="N115" s="8"/>
      <c r="O115" s="9"/>
      <c r="P115" s="8"/>
      <c r="Q115" s="8"/>
      <c r="R115" s="8"/>
      <c r="S115" s="8"/>
      <c r="T115" s="9"/>
      <c r="U115" s="8"/>
      <c r="V115" s="19"/>
      <c r="W115" s="37"/>
      <c r="X115" s="37"/>
      <c r="Y115" s="38"/>
      <c r="Z115" s="39"/>
      <c r="AA115" s="40"/>
      <c r="AB115" s="41"/>
      <c r="AC115" s="40"/>
      <c r="AD115" s="40"/>
      <c r="AE115" s="40"/>
      <c r="AF115" s="40"/>
      <c r="AG115" s="41"/>
      <c r="AH115" s="40"/>
      <c r="AI115" s="42"/>
    </row>
    <row r="116" spans="1:35" s="5" customFormat="1" ht="21" hidden="1" customHeight="1" x14ac:dyDescent="0.2">
      <c r="A116" s="13">
        <f t="shared" si="3"/>
        <v>24</v>
      </c>
      <c r="B116" s="25" t="s">
        <v>418</v>
      </c>
      <c r="C116" s="14" t="s">
        <v>1382</v>
      </c>
      <c r="D116" s="14" t="s">
        <v>1412</v>
      </c>
      <c r="E116" s="224" t="s">
        <v>3059</v>
      </c>
      <c r="F116" s="22">
        <v>2</v>
      </c>
      <c r="G116" s="228">
        <v>42256</v>
      </c>
      <c r="H116" s="227">
        <v>42256</v>
      </c>
      <c r="I116" s="73">
        <f t="shared" ca="1" si="2"/>
        <v>-1806</v>
      </c>
      <c r="J116" s="16"/>
      <c r="K116" s="16"/>
      <c r="L116" s="17"/>
      <c r="M116" s="18"/>
      <c r="N116" s="8"/>
      <c r="O116" s="9"/>
      <c r="P116" s="8"/>
      <c r="Q116" s="8"/>
      <c r="R116" s="8"/>
      <c r="S116" s="8"/>
      <c r="T116" s="9"/>
      <c r="U116" s="8"/>
      <c r="V116" s="19"/>
      <c r="W116" s="37"/>
      <c r="X116" s="37"/>
      <c r="Y116" s="38"/>
      <c r="Z116" s="39"/>
      <c r="AA116" s="40"/>
      <c r="AB116" s="41"/>
      <c r="AC116" s="40"/>
      <c r="AD116" s="40"/>
      <c r="AE116" s="40"/>
      <c r="AF116" s="40"/>
      <c r="AG116" s="41"/>
      <c r="AH116" s="40"/>
      <c r="AI116" s="42"/>
    </row>
    <row r="117" spans="1:35" s="5" customFormat="1" ht="21" hidden="1" customHeight="1" x14ac:dyDescent="0.2">
      <c r="A117" s="13">
        <f t="shared" si="3"/>
        <v>25</v>
      </c>
      <c r="B117" s="25" t="s">
        <v>419</v>
      </c>
      <c r="C117" s="14" t="s">
        <v>1383</v>
      </c>
      <c r="D117" s="14" t="s">
        <v>1413</v>
      </c>
      <c r="E117" s="224" t="s">
        <v>3059</v>
      </c>
      <c r="F117" s="22">
        <v>2</v>
      </c>
      <c r="G117" s="228">
        <v>42263</v>
      </c>
      <c r="H117" s="227">
        <v>42263</v>
      </c>
      <c r="I117" s="73">
        <f t="shared" ca="1" si="2"/>
        <v>-1799</v>
      </c>
      <c r="J117" s="16"/>
      <c r="K117" s="16"/>
      <c r="L117" s="17"/>
      <c r="M117" s="18"/>
      <c r="N117" s="8"/>
      <c r="O117" s="9"/>
      <c r="P117" s="8"/>
      <c r="Q117" s="8"/>
      <c r="R117" s="8"/>
      <c r="S117" s="8"/>
      <c r="T117" s="9"/>
      <c r="U117" s="8"/>
      <c r="V117" s="19"/>
      <c r="W117" s="37"/>
      <c r="X117" s="37"/>
      <c r="Y117" s="38"/>
      <c r="Z117" s="39"/>
      <c r="AA117" s="40"/>
      <c r="AB117" s="41"/>
      <c r="AC117" s="40"/>
      <c r="AD117" s="40"/>
      <c r="AE117" s="40"/>
      <c r="AF117" s="40"/>
      <c r="AG117" s="41"/>
      <c r="AH117" s="40"/>
      <c r="AI117" s="42"/>
    </row>
    <row r="118" spans="1:35" s="5" customFormat="1" ht="33" customHeight="1" x14ac:dyDescent="0.2">
      <c r="A118" s="13">
        <f t="shared" si="3"/>
        <v>26</v>
      </c>
      <c r="B118" s="24" t="s">
        <v>420</v>
      </c>
      <c r="C118" s="14" t="s">
        <v>1387</v>
      </c>
      <c r="D118" s="14" t="s">
        <v>1414</v>
      </c>
      <c r="E118" s="224" t="s">
        <v>3059</v>
      </c>
      <c r="F118" s="22">
        <v>2</v>
      </c>
      <c r="G118" s="61">
        <v>42215</v>
      </c>
      <c r="H118" s="227">
        <v>42256</v>
      </c>
      <c r="I118" s="73">
        <f t="shared" ca="1" si="2"/>
        <v>-1847</v>
      </c>
      <c r="J118" s="16"/>
      <c r="K118" s="16"/>
      <c r="L118" s="17"/>
      <c r="M118" s="18"/>
      <c r="N118" s="8"/>
      <c r="O118" s="9"/>
      <c r="P118" s="8"/>
      <c r="Q118" s="8"/>
      <c r="R118" s="8"/>
      <c r="S118" s="8"/>
      <c r="T118" s="9"/>
      <c r="U118" s="8"/>
      <c r="V118" s="19"/>
      <c r="W118" s="37"/>
      <c r="X118" s="37"/>
      <c r="Y118" s="38"/>
      <c r="Z118" s="39"/>
      <c r="AA118" s="40"/>
      <c r="AB118" s="41"/>
      <c r="AC118" s="40"/>
      <c r="AD118" s="40"/>
      <c r="AE118" s="40"/>
      <c r="AF118" s="40"/>
      <c r="AG118" s="41"/>
      <c r="AH118" s="40"/>
      <c r="AI118" s="42"/>
    </row>
    <row r="119" spans="1:35" s="5" customFormat="1" ht="33" customHeight="1" x14ac:dyDescent="0.2">
      <c r="A119" s="13">
        <f t="shared" si="3"/>
        <v>27</v>
      </c>
      <c r="B119" s="24" t="s">
        <v>421</v>
      </c>
      <c r="C119" s="14" t="s">
        <v>1388</v>
      </c>
      <c r="D119" s="14" t="s">
        <v>1415</v>
      </c>
      <c r="E119" s="224" t="s">
        <v>3059</v>
      </c>
      <c r="F119" s="22">
        <v>2</v>
      </c>
      <c r="G119" s="61">
        <v>42219</v>
      </c>
      <c r="H119" s="227">
        <v>42263</v>
      </c>
      <c r="I119" s="73">
        <f t="shared" ca="1" si="2"/>
        <v>-1843</v>
      </c>
      <c r="J119" s="16"/>
      <c r="K119" s="16"/>
      <c r="L119" s="17"/>
      <c r="M119" s="18"/>
      <c r="N119" s="8"/>
      <c r="O119" s="9"/>
      <c r="P119" s="8"/>
      <c r="Q119" s="8"/>
      <c r="R119" s="8"/>
      <c r="S119" s="8"/>
      <c r="T119" s="9"/>
      <c r="U119" s="8"/>
      <c r="V119" s="19"/>
      <c r="W119" s="37"/>
      <c r="X119" s="37"/>
      <c r="Y119" s="38"/>
      <c r="Z119" s="39"/>
      <c r="AA119" s="40"/>
      <c r="AB119" s="41"/>
      <c r="AC119" s="40"/>
      <c r="AD119" s="40"/>
      <c r="AE119" s="40"/>
      <c r="AF119" s="40"/>
      <c r="AG119" s="41"/>
      <c r="AH119" s="40"/>
      <c r="AI119" s="42"/>
    </row>
    <row r="120" spans="1:35" s="5" customFormat="1" ht="21" x14ac:dyDescent="0.2">
      <c r="A120" s="13">
        <f>A119+1</f>
        <v>28</v>
      </c>
      <c r="B120" s="24" t="s">
        <v>422</v>
      </c>
      <c r="C120" s="14" t="s">
        <v>1568</v>
      </c>
      <c r="D120" s="14" t="s">
        <v>1416</v>
      </c>
      <c r="E120" s="224" t="s">
        <v>3059</v>
      </c>
      <c r="F120" s="157">
        <v>2</v>
      </c>
      <c r="G120" s="228">
        <v>42270</v>
      </c>
      <c r="H120" s="227">
        <v>42270</v>
      </c>
      <c r="I120" s="73">
        <f ca="1">G120-TODAY()</f>
        <v>-1792</v>
      </c>
      <c r="J120" s="61"/>
      <c r="K120" s="61"/>
      <c r="L120" s="17"/>
      <c r="M120" s="18"/>
      <c r="N120" s="8"/>
      <c r="O120" s="9"/>
      <c r="P120" s="8"/>
      <c r="Q120" s="8"/>
      <c r="R120" s="8"/>
      <c r="S120" s="8"/>
      <c r="T120" s="9"/>
      <c r="U120" s="8"/>
      <c r="V120" s="19"/>
      <c r="W120" s="37"/>
      <c r="X120" s="37"/>
      <c r="Y120" s="38"/>
      <c r="Z120" s="39"/>
      <c r="AA120" s="40"/>
      <c r="AB120" s="41"/>
      <c r="AC120" s="40"/>
      <c r="AD120" s="40"/>
      <c r="AE120" s="40"/>
      <c r="AF120" s="40"/>
      <c r="AG120" s="41"/>
      <c r="AH120" s="40"/>
      <c r="AI120" s="42"/>
    </row>
    <row r="121" spans="1:35" s="5" customFormat="1" ht="21" hidden="1" x14ac:dyDescent="0.2">
      <c r="A121" s="13">
        <f>A120+1</f>
        <v>29</v>
      </c>
      <c r="B121" s="25" t="s">
        <v>1566</v>
      </c>
      <c r="C121" s="14" t="s">
        <v>1568</v>
      </c>
      <c r="D121" s="14" t="s">
        <v>1577</v>
      </c>
      <c r="E121" s="224"/>
      <c r="F121" s="157">
        <v>2</v>
      </c>
      <c r="G121" s="61">
        <v>41827</v>
      </c>
      <c r="H121" s="62"/>
      <c r="I121" s="73"/>
      <c r="J121" s="61" t="s">
        <v>1581</v>
      </c>
      <c r="K121" s="61">
        <v>41827</v>
      </c>
      <c r="L121" s="17" t="s">
        <v>1580</v>
      </c>
      <c r="M121" s="61">
        <v>41828</v>
      </c>
      <c r="N121" s="46" t="s">
        <v>1693</v>
      </c>
      <c r="O121" s="26">
        <v>41858</v>
      </c>
      <c r="P121" s="66" t="s">
        <v>1481</v>
      </c>
      <c r="Q121" s="15" t="s">
        <v>1585</v>
      </c>
      <c r="R121" s="62">
        <v>41829</v>
      </c>
      <c r="S121" s="71" t="s">
        <v>1598</v>
      </c>
      <c r="T121" s="62">
        <v>41833</v>
      </c>
      <c r="U121" s="66" t="s">
        <v>1465</v>
      </c>
      <c r="V121" s="19" t="s">
        <v>1442</v>
      </c>
      <c r="W121" s="37"/>
      <c r="X121" s="37"/>
      <c r="Y121" s="38"/>
      <c r="Z121" s="39"/>
      <c r="AA121" s="40"/>
      <c r="AB121" s="41"/>
      <c r="AC121" s="40"/>
      <c r="AD121" s="40"/>
      <c r="AE121" s="40"/>
      <c r="AF121" s="40"/>
      <c r="AG121" s="41"/>
      <c r="AH121" s="40"/>
      <c r="AI121" s="42"/>
    </row>
    <row r="122" spans="1:35" s="5" customFormat="1" ht="21" hidden="1" x14ac:dyDescent="0.2">
      <c r="A122" s="13">
        <f>A121+1</f>
        <v>30</v>
      </c>
      <c r="B122" s="25" t="s">
        <v>1567</v>
      </c>
      <c r="C122" s="14" t="s">
        <v>1569</v>
      </c>
      <c r="D122" s="14" t="s">
        <v>1578</v>
      </c>
      <c r="E122" s="224"/>
      <c r="F122" s="157">
        <v>2</v>
      </c>
      <c r="G122" s="61">
        <v>41827</v>
      </c>
      <c r="H122" s="62"/>
      <c r="I122" s="73"/>
      <c r="J122" s="61" t="s">
        <v>1581</v>
      </c>
      <c r="K122" s="61">
        <v>41827</v>
      </c>
      <c r="L122" s="17" t="s">
        <v>1580</v>
      </c>
      <c r="M122" s="61">
        <v>41828</v>
      </c>
      <c r="N122" s="46" t="s">
        <v>1693</v>
      </c>
      <c r="O122" s="26">
        <v>41858</v>
      </c>
      <c r="P122" s="66" t="s">
        <v>1481</v>
      </c>
      <c r="Q122" s="15" t="s">
        <v>1585</v>
      </c>
      <c r="R122" s="62">
        <v>41829</v>
      </c>
      <c r="S122" s="71" t="s">
        <v>1598</v>
      </c>
      <c r="T122" s="62">
        <v>41833</v>
      </c>
      <c r="U122" s="66" t="s">
        <v>1465</v>
      </c>
      <c r="V122" s="19" t="s">
        <v>1442</v>
      </c>
      <c r="W122" s="37"/>
      <c r="X122" s="37"/>
      <c r="Y122" s="38"/>
      <c r="Z122" s="39"/>
      <c r="AA122" s="40"/>
      <c r="AB122" s="41"/>
      <c r="AC122" s="40"/>
      <c r="AD122" s="40"/>
      <c r="AE122" s="40"/>
      <c r="AF122" s="40"/>
      <c r="AG122" s="41"/>
      <c r="AH122" s="40"/>
      <c r="AI122" s="42"/>
    </row>
    <row r="123" spans="1:35" s="5" customFormat="1" ht="32.25" customHeight="1" x14ac:dyDescent="0.2">
      <c r="A123" s="13">
        <f>A122+1</f>
        <v>31</v>
      </c>
      <c r="B123" s="356" t="s">
        <v>3088</v>
      </c>
      <c r="C123" s="347" t="s">
        <v>2231</v>
      </c>
      <c r="D123" s="347" t="s">
        <v>2232</v>
      </c>
      <c r="E123" s="46" t="s">
        <v>1432</v>
      </c>
      <c r="F123" s="157">
        <v>2</v>
      </c>
      <c r="G123" s="61" t="s">
        <v>1442</v>
      </c>
      <c r="H123" s="62"/>
      <c r="I123" s="73" t="s">
        <v>1442</v>
      </c>
      <c r="J123" s="61" t="s">
        <v>2233</v>
      </c>
      <c r="K123" s="61">
        <v>41998</v>
      </c>
      <c r="L123" s="17" t="s">
        <v>2234</v>
      </c>
      <c r="M123" s="18">
        <v>42011</v>
      </c>
      <c r="N123" s="46" t="s">
        <v>2246</v>
      </c>
      <c r="O123" s="26">
        <v>42026</v>
      </c>
      <c r="P123" s="17">
        <v>2</v>
      </c>
      <c r="Q123" s="208" t="s">
        <v>2243</v>
      </c>
      <c r="R123" s="62">
        <v>41647</v>
      </c>
      <c r="S123" s="71" t="s">
        <v>2245</v>
      </c>
      <c r="T123" s="26">
        <v>42015</v>
      </c>
      <c r="U123" s="66" t="s">
        <v>1369</v>
      </c>
      <c r="V123" s="70" t="s">
        <v>1442</v>
      </c>
      <c r="W123" s="37"/>
      <c r="X123" s="37"/>
      <c r="Y123" s="38"/>
      <c r="Z123" s="39"/>
      <c r="AA123" s="40"/>
      <c r="AB123" s="41"/>
      <c r="AC123" s="40"/>
      <c r="AD123" s="40"/>
      <c r="AE123" s="40"/>
      <c r="AF123" s="40"/>
      <c r="AG123" s="41"/>
      <c r="AH123" s="40"/>
      <c r="AI123" s="42"/>
    </row>
    <row r="124" spans="1:35" s="5" customFormat="1" ht="33" customHeight="1" x14ac:dyDescent="0.2">
      <c r="A124" s="13"/>
      <c r="B124" s="358"/>
      <c r="C124" s="348"/>
      <c r="D124" s="348"/>
      <c r="E124" s="290">
        <v>0</v>
      </c>
      <c r="F124" s="295" t="s">
        <v>1442</v>
      </c>
      <c r="G124" s="61" t="s">
        <v>1442</v>
      </c>
      <c r="H124" s="62"/>
      <c r="I124" s="73"/>
      <c r="J124" s="61" t="s">
        <v>3089</v>
      </c>
      <c r="K124" s="61">
        <v>42333</v>
      </c>
      <c r="L124" s="17" t="s">
        <v>3090</v>
      </c>
      <c r="M124" s="18">
        <v>42334</v>
      </c>
      <c r="N124" s="290" t="s">
        <v>3113</v>
      </c>
      <c r="O124" s="26">
        <v>42337</v>
      </c>
      <c r="P124" s="17">
        <v>1</v>
      </c>
      <c r="Q124" s="17" t="s">
        <v>3108</v>
      </c>
      <c r="R124" s="62">
        <v>42336</v>
      </c>
      <c r="S124" s="300" t="s">
        <v>3131</v>
      </c>
      <c r="T124" s="26">
        <v>42351</v>
      </c>
      <c r="U124" s="66" t="s">
        <v>1369</v>
      </c>
      <c r="V124" s="70" t="s">
        <v>1442</v>
      </c>
      <c r="W124" s="37"/>
      <c r="X124" s="37"/>
      <c r="Y124" s="38"/>
      <c r="Z124" s="39"/>
      <c r="AA124" s="40"/>
      <c r="AB124" s="41"/>
      <c r="AC124" s="40"/>
      <c r="AD124" s="40"/>
      <c r="AE124" s="40"/>
      <c r="AF124" s="40"/>
      <c r="AG124" s="41"/>
      <c r="AH124" s="40"/>
      <c r="AI124" s="42"/>
    </row>
    <row r="125" spans="1:35" s="5" customFormat="1" ht="33" customHeight="1" x14ac:dyDescent="0.2">
      <c r="A125" s="13">
        <v>99</v>
      </c>
      <c r="B125" s="24" t="s">
        <v>2733</v>
      </c>
      <c r="C125" s="14" t="s">
        <v>2734</v>
      </c>
      <c r="D125" s="14" t="s">
        <v>2735</v>
      </c>
      <c r="E125" s="46" t="s">
        <v>1432</v>
      </c>
      <c r="F125" s="157" t="s">
        <v>1442</v>
      </c>
      <c r="G125" s="61" t="s">
        <v>1442</v>
      </c>
      <c r="H125" s="62"/>
      <c r="I125" s="73" t="s">
        <v>1442</v>
      </c>
      <c r="J125" s="61" t="s">
        <v>2737</v>
      </c>
      <c r="K125" s="61">
        <v>42243</v>
      </c>
      <c r="L125" s="17" t="s">
        <v>2738</v>
      </c>
      <c r="M125" s="18">
        <v>42248</v>
      </c>
      <c r="N125" s="46" t="s">
        <v>2880</v>
      </c>
      <c r="O125" s="26">
        <v>42256</v>
      </c>
      <c r="P125" s="17">
        <v>1</v>
      </c>
      <c r="Q125" s="17" t="s">
        <v>2782</v>
      </c>
      <c r="R125" s="62">
        <v>42249</v>
      </c>
      <c r="S125" s="290" t="s">
        <v>3104</v>
      </c>
      <c r="T125" s="26">
        <v>42333</v>
      </c>
      <c r="U125" s="17" t="s">
        <v>1369</v>
      </c>
      <c r="V125" s="70" t="s">
        <v>1442</v>
      </c>
      <c r="W125" s="37"/>
      <c r="X125" s="37"/>
      <c r="Y125" s="38"/>
      <c r="Z125" s="39"/>
      <c r="AA125" s="40"/>
      <c r="AB125" s="41"/>
      <c r="AC125" s="40"/>
      <c r="AD125" s="40"/>
      <c r="AE125" s="40"/>
      <c r="AF125" s="40"/>
      <c r="AG125" s="41"/>
      <c r="AH125" s="40"/>
      <c r="AI125" s="42"/>
    </row>
    <row r="126" spans="1:35" s="5" customFormat="1" ht="33" customHeight="1" x14ac:dyDescent="0.2">
      <c r="A126" s="13"/>
      <c r="B126" s="24"/>
      <c r="C126" s="14"/>
      <c r="D126" s="14"/>
      <c r="E126" s="15"/>
      <c r="F126" s="157"/>
      <c r="G126" s="61"/>
      <c r="H126" s="62"/>
      <c r="I126" s="73"/>
      <c r="J126" s="61"/>
      <c r="K126" s="61"/>
      <c r="L126" s="17"/>
      <c r="M126" s="18"/>
      <c r="N126" s="8"/>
      <c r="O126" s="9"/>
      <c r="P126" s="8"/>
      <c r="Q126" s="8"/>
      <c r="R126" s="8"/>
      <c r="S126" s="8"/>
      <c r="T126" s="9"/>
      <c r="U126" s="8"/>
      <c r="V126" s="19"/>
      <c r="W126" s="37"/>
      <c r="X126" s="37"/>
      <c r="Y126" s="38"/>
      <c r="Z126" s="39"/>
      <c r="AA126" s="40"/>
      <c r="AB126" s="41"/>
      <c r="AC126" s="40"/>
      <c r="AD126" s="40"/>
      <c r="AE126" s="40"/>
      <c r="AF126" s="40"/>
      <c r="AG126" s="41"/>
      <c r="AH126" s="40"/>
      <c r="AI126" s="42"/>
    </row>
    <row r="127" spans="1:35" s="5" customFormat="1" ht="33" customHeight="1" x14ac:dyDescent="0.2">
      <c r="A127" s="13"/>
      <c r="B127" s="24"/>
      <c r="C127" s="14"/>
      <c r="D127" s="14"/>
      <c r="E127" s="15"/>
      <c r="F127" s="157"/>
      <c r="G127" s="61"/>
      <c r="H127" s="62"/>
      <c r="I127" s="73"/>
      <c r="J127" s="61"/>
      <c r="K127" s="61"/>
      <c r="L127" s="17"/>
      <c r="M127" s="18"/>
      <c r="N127" s="8"/>
      <c r="O127" s="9"/>
      <c r="P127" s="8"/>
      <c r="Q127" s="8"/>
      <c r="R127" s="8"/>
      <c r="S127" s="8"/>
      <c r="T127" s="9"/>
      <c r="U127" s="8"/>
      <c r="V127" s="19"/>
      <c r="W127" s="37"/>
      <c r="X127" s="37"/>
      <c r="Y127" s="38"/>
      <c r="Z127" s="39"/>
      <c r="AA127" s="40"/>
      <c r="AB127" s="41"/>
      <c r="AC127" s="40"/>
      <c r="AD127" s="40"/>
      <c r="AE127" s="40"/>
      <c r="AF127" s="40"/>
      <c r="AG127" s="41"/>
      <c r="AH127" s="40"/>
      <c r="AI127" s="42"/>
    </row>
    <row r="128" spans="1:35" s="5" customFormat="1" ht="33" customHeight="1" x14ac:dyDescent="0.2">
      <c r="A128" s="13"/>
      <c r="B128" s="24"/>
      <c r="C128" s="14"/>
      <c r="D128" s="14"/>
      <c r="E128" s="15"/>
      <c r="F128" s="157"/>
      <c r="G128" s="61"/>
      <c r="H128" s="62"/>
      <c r="I128" s="73"/>
      <c r="J128" s="61"/>
      <c r="K128" s="61"/>
      <c r="L128" s="17"/>
      <c r="M128" s="18"/>
      <c r="N128" s="8"/>
      <c r="O128" s="9"/>
      <c r="P128" s="8"/>
      <c r="Q128" s="8"/>
      <c r="R128" s="8"/>
      <c r="S128" s="8"/>
      <c r="T128" s="9"/>
      <c r="U128" s="8"/>
      <c r="V128" s="19"/>
      <c r="W128" s="37"/>
      <c r="X128" s="37"/>
      <c r="Y128" s="38"/>
      <c r="Z128" s="39"/>
      <c r="AA128" s="40"/>
      <c r="AB128" s="41"/>
      <c r="AC128" s="40"/>
      <c r="AD128" s="40"/>
      <c r="AE128" s="40"/>
      <c r="AF128" s="40"/>
      <c r="AG128" s="41"/>
      <c r="AH128" s="40"/>
      <c r="AI128" s="42"/>
    </row>
    <row r="129" spans="1:35" s="5" customFormat="1" ht="33" customHeight="1" x14ac:dyDescent="0.2">
      <c r="A129" s="13"/>
      <c r="B129" s="24"/>
      <c r="C129" s="14"/>
      <c r="D129" s="14"/>
      <c r="E129" s="15"/>
      <c r="F129" s="157"/>
      <c r="G129" s="61"/>
      <c r="H129" s="62"/>
      <c r="I129" s="73"/>
      <c r="J129" s="61"/>
      <c r="K129" s="61"/>
      <c r="L129" s="17"/>
      <c r="M129" s="18"/>
      <c r="N129" s="8"/>
      <c r="O129" s="9"/>
      <c r="P129" s="8"/>
      <c r="Q129" s="8"/>
      <c r="R129" s="8"/>
      <c r="S129" s="8"/>
      <c r="T129" s="9"/>
      <c r="U129" s="8"/>
      <c r="V129" s="19"/>
      <c r="W129" s="37"/>
      <c r="X129" s="37"/>
      <c r="Y129" s="38"/>
      <c r="Z129" s="39"/>
      <c r="AA129" s="40"/>
      <c r="AB129" s="41"/>
      <c r="AC129" s="40"/>
      <c r="AD129" s="40"/>
      <c r="AE129" s="40"/>
      <c r="AF129" s="40"/>
      <c r="AG129" s="41"/>
      <c r="AH129" s="40"/>
      <c r="AI129" s="42"/>
    </row>
    <row r="130" spans="1:35" s="5" customFormat="1" ht="33" customHeight="1" x14ac:dyDescent="0.2">
      <c r="A130" s="13"/>
      <c r="B130" s="24"/>
      <c r="C130" s="14"/>
      <c r="D130" s="14"/>
      <c r="E130" s="15"/>
      <c r="F130" s="157"/>
      <c r="G130" s="61"/>
      <c r="H130" s="62"/>
      <c r="I130" s="73"/>
      <c r="J130" s="61"/>
      <c r="K130" s="61"/>
      <c r="L130" s="17"/>
      <c r="M130" s="18"/>
      <c r="N130" s="8"/>
      <c r="O130" s="9"/>
      <c r="P130" s="8"/>
      <c r="Q130" s="8"/>
      <c r="R130" s="8"/>
      <c r="S130" s="8"/>
      <c r="T130" s="9"/>
      <c r="U130" s="8"/>
      <c r="V130" s="19"/>
      <c r="W130" s="37"/>
      <c r="X130" s="37"/>
      <c r="Y130" s="38"/>
      <c r="Z130" s="39"/>
      <c r="AA130" s="40"/>
      <c r="AB130" s="41"/>
      <c r="AC130" s="40"/>
      <c r="AD130" s="40"/>
      <c r="AE130" s="40"/>
      <c r="AF130" s="40"/>
      <c r="AG130" s="41"/>
      <c r="AH130" s="40"/>
      <c r="AI130" s="42"/>
    </row>
    <row r="131" spans="1:35" s="5" customFormat="1" ht="33" customHeight="1" x14ac:dyDescent="0.2">
      <c r="A131" s="13"/>
      <c r="B131" s="24"/>
      <c r="C131" s="14"/>
      <c r="D131" s="14"/>
      <c r="E131" s="15"/>
      <c r="F131" s="157"/>
      <c r="G131" s="61"/>
      <c r="H131" s="62"/>
      <c r="I131" s="73"/>
      <c r="J131" s="61"/>
      <c r="K131" s="61"/>
      <c r="L131" s="17"/>
      <c r="M131" s="18"/>
      <c r="N131" s="8"/>
      <c r="O131" s="9"/>
      <c r="P131" s="8"/>
      <c r="Q131" s="8"/>
      <c r="R131" s="8"/>
      <c r="S131" s="8"/>
      <c r="T131" s="9"/>
      <c r="U131" s="8"/>
      <c r="V131" s="19"/>
      <c r="W131" s="37"/>
      <c r="X131" s="37"/>
      <c r="Y131" s="38"/>
      <c r="Z131" s="39"/>
      <c r="AA131" s="40"/>
      <c r="AB131" s="41"/>
      <c r="AC131" s="40"/>
      <c r="AD131" s="40"/>
      <c r="AE131" s="40"/>
      <c r="AF131" s="40"/>
      <c r="AG131" s="41"/>
      <c r="AH131" s="40"/>
      <c r="AI131" s="42"/>
    </row>
    <row r="132" spans="1:35" s="5" customFormat="1" ht="33" customHeight="1" x14ac:dyDescent="0.2">
      <c r="A132" s="13"/>
      <c r="B132" s="24"/>
      <c r="C132" s="14"/>
      <c r="D132" s="14"/>
      <c r="E132" s="15"/>
      <c r="F132" s="157"/>
      <c r="G132" s="61"/>
      <c r="H132" s="62"/>
      <c r="I132" s="73"/>
      <c r="J132" s="61"/>
      <c r="K132" s="61"/>
      <c r="L132" s="17"/>
      <c r="M132" s="18"/>
      <c r="N132" s="8"/>
      <c r="O132" s="9"/>
      <c r="P132" s="8"/>
      <c r="Q132" s="8"/>
      <c r="R132" s="8"/>
      <c r="S132" s="8"/>
      <c r="T132" s="9"/>
      <c r="U132" s="8"/>
      <c r="V132" s="19"/>
      <c r="W132" s="37"/>
      <c r="X132" s="37"/>
      <c r="Y132" s="38"/>
      <c r="Z132" s="39"/>
      <c r="AA132" s="40"/>
      <c r="AB132" s="41"/>
      <c r="AC132" s="40"/>
      <c r="AD132" s="40"/>
      <c r="AE132" s="40"/>
      <c r="AF132" s="40"/>
      <c r="AG132" s="41"/>
      <c r="AH132" s="40"/>
      <c r="AI132" s="42"/>
    </row>
    <row r="133" spans="1:35" s="5" customFormat="1" ht="33" customHeight="1" x14ac:dyDescent="0.2">
      <c r="A133" s="13"/>
      <c r="B133" s="24"/>
      <c r="C133" s="14"/>
      <c r="D133" s="14"/>
      <c r="E133" s="15"/>
      <c r="F133" s="157"/>
      <c r="G133" s="61"/>
      <c r="H133" s="62"/>
      <c r="I133" s="73"/>
      <c r="J133" s="61"/>
      <c r="K133" s="61"/>
      <c r="L133" s="17"/>
      <c r="M133" s="18"/>
      <c r="N133" s="8"/>
      <c r="O133" s="9"/>
      <c r="P133" s="8"/>
      <c r="Q133" s="8"/>
      <c r="R133" s="8"/>
      <c r="S133" s="8"/>
      <c r="T133" s="9"/>
      <c r="U133" s="8"/>
      <c r="V133" s="19"/>
      <c r="W133" s="37"/>
      <c r="X133" s="37"/>
      <c r="Y133" s="38"/>
      <c r="Z133" s="39"/>
      <c r="AA133" s="40"/>
      <c r="AB133" s="41"/>
      <c r="AC133" s="40"/>
      <c r="AD133" s="40"/>
      <c r="AE133" s="40"/>
      <c r="AF133" s="40"/>
      <c r="AG133" s="41"/>
      <c r="AH133" s="40"/>
      <c r="AI133" s="42"/>
    </row>
    <row r="134" spans="1:35" s="5" customFormat="1" ht="33" customHeight="1" x14ac:dyDescent="0.2">
      <c r="A134" s="13"/>
      <c r="B134" s="24"/>
      <c r="C134" s="14"/>
      <c r="D134" s="14"/>
      <c r="E134" s="15"/>
      <c r="F134" s="157"/>
      <c r="G134" s="61"/>
      <c r="H134" s="62"/>
      <c r="I134" s="73"/>
      <c r="J134" s="61"/>
      <c r="K134" s="61"/>
      <c r="L134" s="17"/>
      <c r="M134" s="18"/>
      <c r="N134" s="8"/>
      <c r="O134" s="9"/>
      <c r="P134" s="8"/>
      <c r="Q134" s="8"/>
      <c r="R134" s="8"/>
      <c r="S134" s="8"/>
      <c r="T134" s="9"/>
      <c r="U134" s="8"/>
      <c r="V134" s="19"/>
      <c r="W134" s="37"/>
      <c r="X134" s="37"/>
      <c r="Y134" s="38"/>
      <c r="Z134" s="39"/>
      <c r="AA134" s="40"/>
      <c r="AB134" s="41"/>
      <c r="AC134" s="40"/>
      <c r="AD134" s="40"/>
      <c r="AE134" s="40"/>
      <c r="AF134" s="40"/>
      <c r="AG134" s="41"/>
      <c r="AH134" s="40"/>
      <c r="AI134" s="42"/>
    </row>
    <row r="135" spans="1:35" s="5" customFormat="1" ht="33" customHeight="1" x14ac:dyDescent="0.2">
      <c r="A135" s="13"/>
      <c r="B135" s="24"/>
      <c r="C135" s="14"/>
      <c r="D135" s="14"/>
      <c r="E135" s="15"/>
      <c r="F135" s="157"/>
      <c r="G135" s="61"/>
      <c r="H135" s="62"/>
      <c r="I135" s="73"/>
      <c r="J135" s="61"/>
      <c r="K135" s="61"/>
      <c r="L135" s="17"/>
      <c r="M135" s="18"/>
      <c r="N135" s="8"/>
      <c r="O135" s="9"/>
      <c r="P135" s="8"/>
      <c r="Q135" s="8"/>
      <c r="R135" s="8"/>
      <c r="S135" s="8"/>
      <c r="T135" s="9"/>
      <c r="U135" s="8"/>
      <c r="V135" s="19"/>
      <c r="W135" s="37"/>
      <c r="X135" s="37"/>
      <c r="Y135" s="38"/>
      <c r="Z135" s="39"/>
      <c r="AA135" s="40"/>
      <c r="AB135" s="41"/>
      <c r="AC135" s="40"/>
      <c r="AD135" s="40"/>
      <c r="AE135" s="40"/>
      <c r="AF135" s="40"/>
      <c r="AG135" s="41"/>
      <c r="AH135" s="40"/>
      <c r="AI135" s="42"/>
    </row>
    <row r="136" spans="1:35" s="5" customFormat="1" ht="33" customHeight="1" x14ac:dyDescent="0.2">
      <c r="A136" s="13"/>
      <c r="B136" s="24"/>
      <c r="C136" s="14"/>
      <c r="D136" s="14"/>
      <c r="E136" s="15"/>
      <c r="F136" s="157"/>
      <c r="G136" s="61"/>
      <c r="H136" s="62"/>
      <c r="I136" s="73"/>
      <c r="J136" s="61"/>
      <c r="K136" s="61"/>
      <c r="L136" s="17"/>
      <c r="M136" s="18"/>
      <c r="N136" s="8"/>
      <c r="O136" s="9"/>
      <c r="P136" s="8"/>
      <c r="Q136" s="8"/>
      <c r="R136" s="8"/>
      <c r="S136" s="8"/>
      <c r="T136" s="9"/>
      <c r="U136" s="8"/>
      <c r="V136" s="19"/>
      <c r="W136" s="37"/>
      <c r="X136" s="37"/>
      <c r="Y136" s="38"/>
      <c r="Z136" s="39"/>
      <c r="AA136" s="40"/>
      <c r="AB136" s="41"/>
      <c r="AC136" s="40"/>
      <c r="AD136" s="40"/>
      <c r="AE136" s="40"/>
      <c r="AF136" s="40"/>
      <c r="AG136" s="41"/>
      <c r="AH136" s="40"/>
      <c r="AI136" s="42"/>
    </row>
    <row r="137" spans="1:35" s="5" customFormat="1" ht="33" customHeight="1" x14ac:dyDescent="0.2">
      <c r="A137" s="13"/>
      <c r="B137" s="24"/>
      <c r="C137" s="14"/>
      <c r="D137" s="14"/>
      <c r="E137" s="15"/>
      <c r="F137" s="157"/>
      <c r="G137" s="61"/>
      <c r="H137" s="62"/>
      <c r="I137" s="73"/>
      <c r="J137" s="61"/>
      <c r="K137" s="61"/>
      <c r="L137" s="17"/>
      <c r="M137" s="18"/>
      <c r="N137" s="8"/>
      <c r="O137" s="9"/>
      <c r="P137" s="8"/>
      <c r="Q137" s="8"/>
      <c r="R137" s="8"/>
      <c r="S137" s="8"/>
      <c r="T137" s="9"/>
      <c r="U137" s="8"/>
      <c r="V137" s="19"/>
      <c r="W137" s="37"/>
      <c r="X137" s="37"/>
      <c r="Y137" s="38"/>
      <c r="Z137" s="39"/>
      <c r="AA137" s="40"/>
      <c r="AB137" s="41"/>
      <c r="AC137" s="40"/>
      <c r="AD137" s="40"/>
      <c r="AE137" s="40"/>
      <c r="AF137" s="40"/>
      <c r="AG137" s="41"/>
      <c r="AH137" s="40"/>
      <c r="AI137" s="42"/>
    </row>
    <row r="138" spans="1:35" s="5" customFormat="1" ht="33" customHeight="1" x14ac:dyDescent="0.2">
      <c r="A138" s="13"/>
      <c r="B138" s="24"/>
      <c r="C138" s="14"/>
      <c r="D138" s="14"/>
      <c r="E138" s="15"/>
      <c r="F138" s="157"/>
      <c r="G138" s="61"/>
      <c r="H138" s="62"/>
      <c r="I138" s="73"/>
      <c r="J138" s="61"/>
      <c r="K138" s="61"/>
      <c r="L138" s="17"/>
      <c r="M138" s="18"/>
      <c r="N138" s="8"/>
      <c r="O138" s="9"/>
      <c r="P138" s="8"/>
      <c r="Q138" s="8"/>
      <c r="R138" s="8"/>
      <c r="S138" s="8"/>
      <c r="T138" s="9"/>
      <c r="U138" s="8"/>
      <c r="V138" s="19"/>
      <c r="W138" s="37"/>
      <c r="X138" s="37"/>
      <c r="Y138" s="38"/>
      <c r="Z138" s="39"/>
      <c r="AA138" s="40"/>
      <c r="AB138" s="41"/>
      <c r="AC138" s="40"/>
      <c r="AD138" s="40"/>
      <c r="AE138" s="40"/>
      <c r="AF138" s="40"/>
      <c r="AG138" s="41"/>
      <c r="AH138" s="40"/>
      <c r="AI138" s="42"/>
    </row>
    <row r="139" spans="1:35" s="5" customFormat="1" ht="33" customHeight="1" x14ac:dyDescent="0.2">
      <c r="A139" s="13"/>
      <c r="B139" s="24"/>
      <c r="C139" s="14"/>
      <c r="D139" s="14"/>
      <c r="E139" s="15"/>
      <c r="F139" s="22"/>
      <c r="G139" s="61"/>
      <c r="H139" s="62"/>
      <c r="I139" s="73"/>
      <c r="J139" s="16"/>
      <c r="K139" s="16"/>
      <c r="L139" s="17"/>
      <c r="M139" s="18"/>
      <c r="N139" s="8"/>
      <c r="O139" s="9"/>
      <c r="P139" s="8"/>
      <c r="Q139" s="8"/>
      <c r="R139" s="8"/>
      <c r="S139" s="8"/>
      <c r="T139" s="9"/>
      <c r="U139" s="8"/>
      <c r="V139" s="19"/>
      <c r="W139" s="37"/>
      <c r="X139" s="37"/>
      <c r="Y139" s="38"/>
      <c r="Z139" s="39"/>
      <c r="AA139" s="40"/>
      <c r="AB139" s="41"/>
      <c r="AC139" s="40"/>
      <c r="AD139" s="40"/>
      <c r="AE139" s="40"/>
      <c r="AF139" s="40"/>
      <c r="AG139" s="41"/>
      <c r="AH139" s="40"/>
      <c r="AI139" s="42"/>
    </row>
    <row r="140" spans="1:35" ht="15" x14ac:dyDescent="0.25">
      <c r="B140" s="159"/>
      <c r="W140" s="37"/>
      <c r="X140" s="37"/>
      <c r="Y140" s="38"/>
      <c r="Z140" s="39"/>
      <c r="AA140" s="40"/>
      <c r="AB140" s="41"/>
      <c r="AC140" s="40"/>
      <c r="AD140" s="40"/>
      <c r="AE140" s="40"/>
      <c r="AF140" s="40"/>
      <c r="AG140" s="41"/>
      <c r="AH140" s="40"/>
      <c r="AI140" s="42"/>
    </row>
    <row r="141" spans="1:35" x14ac:dyDescent="0.2">
      <c r="W141" s="37"/>
      <c r="X141" s="37"/>
      <c r="Y141" s="38"/>
      <c r="Z141" s="39"/>
      <c r="AA141" s="40"/>
      <c r="AB141" s="41"/>
      <c r="AC141" s="40"/>
      <c r="AD141" s="40"/>
      <c r="AE141" s="40"/>
      <c r="AF141" s="40"/>
      <c r="AG141" s="41"/>
      <c r="AH141" s="40"/>
      <c r="AI141" s="42"/>
    </row>
    <row r="142" spans="1:35" x14ac:dyDescent="0.2">
      <c r="W142" s="37"/>
      <c r="X142" s="37"/>
      <c r="Y142" s="38"/>
      <c r="Z142" s="39"/>
      <c r="AA142" s="40"/>
      <c r="AB142" s="41"/>
      <c r="AC142" s="40"/>
      <c r="AD142" s="40"/>
      <c r="AE142" s="40"/>
      <c r="AF142" s="40"/>
      <c r="AG142" s="41"/>
      <c r="AH142" s="40"/>
      <c r="AI142" s="42"/>
    </row>
    <row r="143" spans="1:35" x14ac:dyDescent="0.2">
      <c r="W143" s="37"/>
      <c r="X143" s="37"/>
      <c r="Y143" s="38"/>
      <c r="Z143" s="39"/>
      <c r="AA143" s="40"/>
      <c r="AB143" s="41"/>
      <c r="AC143" s="40"/>
      <c r="AD143" s="40"/>
      <c r="AE143" s="40"/>
      <c r="AF143" s="40"/>
      <c r="AG143" s="41"/>
      <c r="AH143" s="40"/>
      <c r="AI143" s="42"/>
    </row>
    <row r="144" spans="1:35" x14ac:dyDescent="0.2">
      <c r="W144" s="37"/>
      <c r="X144" s="37"/>
      <c r="Y144" s="38"/>
      <c r="Z144" s="39"/>
      <c r="AA144" s="40"/>
      <c r="AB144" s="41"/>
      <c r="AC144" s="40"/>
      <c r="AD144" s="40"/>
      <c r="AE144" s="40"/>
      <c r="AF144" s="40"/>
      <c r="AG144" s="41"/>
      <c r="AH144" s="40"/>
      <c r="AI144" s="42"/>
    </row>
    <row r="145" spans="23:35" x14ac:dyDescent="0.2">
      <c r="W145" s="37"/>
      <c r="X145" s="37"/>
      <c r="Y145" s="38"/>
      <c r="Z145" s="39"/>
      <c r="AA145" s="40"/>
      <c r="AB145" s="41"/>
      <c r="AC145" s="40"/>
      <c r="AD145" s="40"/>
      <c r="AE145" s="40"/>
      <c r="AF145" s="40"/>
      <c r="AG145" s="41"/>
      <c r="AH145" s="40"/>
      <c r="AI145" s="42"/>
    </row>
    <row r="146" spans="23:35" x14ac:dyDescent="0.2">
      <c r="W146" s="37"/>
      <c r="X146" s="37"/>
      <c r="Y146" s="38"/>
      <c r="Z146" s="39"/>
      <c r="AA146" s="40"/>
      <c r="AB146" s="41"/>
      <c r="AC146" s="40"/>
      <c r="AD146" s="40"/>
      <c r="AE146" s="40"/>
      <c r="AF146" s="40"/>
      <c r="AG146" s="41"/>
      <c r="AH146" s="40"/>
      <c r="AI146" s="42"/>
    </row>
    <row r="147" spans="23:35" x14ac:dyDescent="0.2">
      <c r="W147" s="37"/>
      <c r="X147" s="37"/>
      <c r="Y147" s="38"/>
      <c r="Z147" s="39"/>
      <c r="AA147" s="40"/>
      <c r="AB147" s="41"/>
      <c r="AC147" s="40"/>
      <c r="AD147" s="40"/>
      <c r="AE147" s="40"/>
      <c r="AF147" s="40"/>
      <c r="AG147" s="41"/>
      <c r="AH147" s="40"/>
      <c r="AI147" s="42"/>
    </row>
    <row r="148" spans="23:35" x14ac:dyDescent="0.2">
      <c r="W148" s="37"/>
      <c r="X148" s="37"/>
      <c r="Y148" s="38"/>
      <c r="Z148" s="39"/>
      <c r="AA148" s="40"/>
      <c r="AB148" s="41"/>
      <c r="AC148" s="40"/>
      <c r="AD148" s="40"/>
      <c r="AE148" s="40"/>
      <c r="AF148" s="40"/>
      <c r="AG148" s="41"/>
      <c r="AH148" s="40"/>
      <c r="AI148" s="42"/>
    </row>
    <row r="149" spans="23:35" x14ac:dyDescent="0.2">
      <c r="W149" s="37"/>
      <c r="X149" s="37"/>
      <c r="Y149" s="38"/>
      <c r="Z149" s="39"/>
      <c r="AA149" s="40"/>
      <c r="AB149" s="41"/>
      <c r="AC149" s="40"/>
      <c r="AD149" s="40"/>
      <c r="AE149" s="40"/>
      <c r="AF149" s="40"/>
      <c r="AG149" s="41"/>
      <c r="AH149" s="40"/>
      <c r="AI149" s="42"/>
    </row>
    <row r="150" spans="23:35" x14ac:dyDescent="0.2">
      <c r="W150" s="37"/>
      <c r="X150" s="37"/>
      <c r="Y150" s="38"/>
      <c r="Z150" s="39"/>
      <c r="AA150" s="40"/>
      <c r="AB150" s="41"/>
      <c r="AC150" s="40"/>
      <c r="AD150" s="40"/>
      <c r="AE150" s="40"/>
      <c r="AF150" s="40"/>
      <c r="AG150" s="41"/>
      <c r="AH150" s="40"/>
      <c r="AI150" s="42"/>
    </row>
    <row r="151" spans="23:35" x14ac:dyDescent="0.2">
      <c r="W151" s="37"/>
      <c r="X151" s="37"/>
      <c r="Y151" s="38"/>
      <c r="Z151" s="39"/>
      <c r="AA151" s="40"/>
      <c r="AB151" s="41"/>
      <c r="AC151" s="40"/>
      <c r="AD151" s="40"/>
      <c r="AE151" s="40"/>
      <c r="AF151" s="40"/>
      <c r="AG151" s="41"/>
      <c r="AH151" s="40"/>
      <c r="AI151" s="42"/>
    </row>
    <row r="152" spans="23:35" x14ac:dyDescent="0.2">
      <c r="W152" s="37"/>
      <c r="X152" s="37"/>
      <c r="Y152" s="38"/>
      <c r="Z152" s="39"/>
      <c r="AA152" s="40"/>
      <c r="AB152" s="41"/>
      <c r="AC152" s="40"/>
      <c r="AD152" s="40"/>
      <c r="AE152" s="40"/>
      <c r="AF152" s="40"/>
      <c r="AG152" s="41"/>
      <c r="AH152" s="40"/>
      <c r="AI152" s="42"/>
    </row>
    <row r="153" spans="23:35" x14ac:dyDescent="0.2">
      <c r="W153" s="37"/>
      <c r="X153" s="37"/>
      <c r="Y153" s="38"/>
      <c r="Z153" s="39"/>
      <c r="AA153" s="40"/>
      <c r="AB153" s="41"/>
      <c r="AC153" s="40"/>
      <c r="AD153" s="40"/>
      <c r="AE153" s="40"/>
      <c r="AF153" s="40"/>
      <c r="AG153" s="41"/>
      <c r="AH153" s="40"/>
      <c r="AI153" s="42"/>
    </row>
    <row r="154" spans="23:35" x14ac:dyDescent="0.2">
      <c r="W154" s="37"/>
      <c r="X154" s="37"/>
      <c r="Y154" s="38"/>
      <c r="Z154" s="39"/>
      <c r="AA154" s="40"/>
      <c r="AB154" s="41"/>
      <c r="AC154" s="40"/>
      <c r="AD154" s="40"/>
      <c r="AE154" s="40"/>
      <c r="AF154" s="40"/>
      <c r="AG154" s="41"/>
      <c r="AH154" s="40"/>
      <c r="AI154" s="42"/>
    </row>
    <row r="155" spans="23:35" x14ac:dyDescent="0.2">
      <c r="W155" s="37"/>
      <c r="X155" s="37"/>
      <c r="Y155" s="38"/>
      <c r="Z155" s="39"/>
      <c r="AA155" s="40"/>
      <c r="AB155" s="41"/>
      <c r="AC155" s="40"/>
      <c r="AD155" s="40"/>
      <c r="AE155" s="40"/>
      <c r="AF155" s="40"/>
      <c r="AG155" s="41"/>
      <c r="AH155" s="40"/>
      <c r="AI155" s="42"/>
    </row>
    <row r="156" spans="23:35" x14ac:dyDescent="0.2">
      <c r="W156" s="37"/>
      <c r="X156" s="37"/>
      <c r="Y156" s="38"/>
      <c r="Z156" s="39"/>
      <c r="AA156" s="40"/>
      <c r="AB156" s="41"/>
      <c r="AC156" s="40"/>
      <c r="AD156" s="40"/>
      <c r="AE156" s="40"/>
      <c r="AF156" s="40"/>
      <c r="AG156" s="41"/>
      <c r="AH156" s="40"/>
      <c r="AI156" s="42"/>
    </row>
    <row r="157" spans="23:35" x14ac:dyDescent="0.2">
      <c r="W157" s="37"/>
      <c r="X157" s="37"/>
      <c r="Y157" s="38"/>
      <c r="Z157" s="39"/>
      <c r="AA157" s="40"/>
      <c r="AB157" s="41"/>
      <c r="AC157" s="40"/>
      <c r="AD157" s="40"/>
      <c r="AE157" s="40"/>
      <c r="AF157" s="40"/>
      <c r="AG157" s="41"/>
      <c r="AH157" s="40"/>
      <c r="AI157" s="42"/>
    </row>
    <row r="158" spans="23:35" x14ac:dyDescent="0.2">
      <c r="W158" s="37"/>
      <c r="X158" s="37"/>
      <c r="Y158" s="38"/>
      <c r="Z158" s="39"/>
      <c r="AA158" s="40"/>
      <c r="AB158" s="41"/>
      <c r="AC158" s="40"/>
      <c r="AD158" s="40"/>
      <c r="AE158" s="40"/>
      <c r="AF158" s="40"/>
      <c r="AG158" s="41"/>
      <c r="AH158" s="40"/>
      <c r="AI158" s="42"/>
    </row>
    <row r="159" spans="23:35" x14ac:dyDescent="0.2">
      <c r="W159" s="37"/>
      <c r="X159" s="37"/>
      <c r="Y159" s="38"/>
      <c r="Z159" s="39"/>
      <c r="AA159" s="40"/>
      <c r="AB159" s="41"/>
      <c r="AC159" s="40"/>
      <c r="AD159" s="40"/>
      <c r="AE159" s="40"/>
      <c r="AF159" s="40"/>
      <c r="AG159" s="41"/>
      <c r="AH159" s="40"/>
      <c r="AI159" s="42"/>
    </row>
    <row r="160" spans="23:35" x14ac:dyDescent="0.2">
      <c r="W160" s="37"/>
      <c r="X160" s="37"/>
      <c r="Y160" s="38"/>
      <c r="Z160" s="39"/>
      <c r="AA160" s="40"/>
      <c r="AB160" s="41"/>
      <c r="AC160" s="40"/>
      <c r="AD160" s="40"/>
      <c r="AE160" s="40"/>
      <c r="AF160" s="40"/>
      <c r="AG160" s="41"/>
      <c r="AH160" s="40"/>
      <c r="AI160" s="42"/>
    </row>
    <row r="161" spans="23:35" x14ac:dyDescent="0.2">
      <c r="W161" s="37"/>
      <c r="X161" s="37"/>
      <c r="Y161" s="38"/>
      <c r="Z161" s="39"/>
      <c r="AA161" s="40"/>
      <c r="AB161" s="41"/>
      <c r="AC161" s="40"/>
      <c r="AD161" s="40"/>
      <c r="AE161" s="40"/>
      <c r="AF161" s="40"/>
      <c r="AG161" s="41"/>
      <c r="AH161" s="40"/>
      <c r="AI161" s="42"/>
    </row>
    <row r="162" spans="23:35" x14ac:dyDescent="0.2">
      <c r="W162" s="37"/>
      <c r="X162" s="37"/>
      <c r="Y162" s="43"/>
      <c r="Z162" s="39"/>
      <c r="AA162" s="40"/>
      <c r="AB162" s="41"/>
      <c r="AC162" s="40"/>
      <c r="AD162" s="44"/>
      <c r="AE162" s="44"/>
      <c r="AF162" s="44"/>
      <c r="AG162" s="45"/>
      <c r="AH162" s="40"/>
      <c r="AI162" s="42"/>
    </row>
    <row r="163" spans="23:35" x14ac:dyDescent="0.2">
      <c r="W163" s="37"/>
      <c r="X163" s="37"/>
      <c r="Y163" s="43"/>
      <c r="Z163" s="39"/>
      <c r="AA163" s="40"/>
      <c r="AB163" s="41"/>
      <c r="AC163" s="40"/>
      <c r="AD163" s="44"/>
      <c r="AE163" s="44"/>
      <c r="AF163" s="44"/>
      <c r="AG163" s="45"/>
      <c r="AH163" s="40"/>
      <c r="AI163" s="42"/>
    </row>
  </sheetData>
  <mergeCells count="104">
    <mergeCell ref="A27:A28"/>
    <mergeCell ref="B27:B28"/>
    <mergeCell ref="C27:C28"/>
    <mergeCell ref="D27:D28"/>
    <mergeCell ref="A55:A56"/>
    <mergeCell ref="B55:B56"/>
    <mergeCell ref="C55:C56"/>
    <mergeCell ref="D55:D56"/>
    <mergeCell ref="B37:B39"/>
    <mergeCell ref="C37:C39"/>
    <mergeCell ref="D37:D39"/>
    <mergeCell ref="V5:V8"/>
    <mergeCell ref="N6:P6"/>
    <mergeCell ref="A60:A61"/>
    <mergeCell ref="B60:B61"/>
    <mergeCell ref="C60:C61"/>
    <mergeCell ref="D60:D61"/>
    <mergeCell ref="F60:F61"/>
    <mergeCell ref="A5:A8"/>
    <mergeCell ref="B5:B8"/>
    <mergeCell ref="C5:C8"/>
    <mergeCell ref="D5:D8"/>
    <mergeCell ref="E5:E8"/>
    <mergeCell ref="F5:F8"/>
    <mergeCell ref="G5:G8"/>
    <mergeCell ref="J7:K7"/>
    <mergeCell ref="Q6:U6"/>
    <mergeCell ref="J5:M5"/>
    <mergeCell ref="Q5:U5"/>
    <mergeCell ref="N5:P5"/>
    <mergeCell ref="N7:P7"/>
    <mergeCell ref="Q7:R7"/>
    <mergeCell ref="S7:U7"/>
    <mergeCell ref="L7:M7"/>
    <mergeCell ref="J6:M6"/>
    <mergeCell ref="Y5:Z5"/>
    <mergeCell ref="AA5:AC5"/>
    <mergeCell ref="AD5:AH5"/>
    <mergeCell ref="AI5:AI8"/>
    <mergeCell ref="AA7:AC7"/>
    <mergeCell ref="AD7:AE7"/>
    <mergeCell ref="AF7:AH7"/>
    <mergeCell ref="W6:Z6"/>
    <mergeCell ref="AA6:AC6"/>
    <mergeCell ref="AD6:AE6"/>
    <mergeCell ref="AF6:AH6"/>
    <mergeCell ref="W7:X7"/>
    <mergeCell ref="Y7:Z7"/>
    <mergeCell ref="AD4:AG4"/>
    <mergeCell ref="AH4:AI4"/>
    <mergeCell ref="AD3:AG3"/>
    <mergeCell ref="AH3:AI3"/>
    <mergeCell ref="AD2:AG2"/>
    <mergeCell ref="AH2:AI2"/>
    <mergeCell ref="AD1:AG1"/>
    <mergeCell ref="AH1:AI1"/>
    <mergeCell ref="C3:P3"/>
    <mergeCell ref="Q3:T3"/>
    <mergeCell ref="U3:V3"/>
    <mergeCell ref="C4:P4"/>
    <mergeCell ref="Q4:T4"/>
    <mergeCell ref="U4:V4"/>
    <mergeCell ref="C1:P1"/>
    <mergeCell ref="Q1:T1"/>
    <mergeCell ref="U1:V1"/>
    <mergeCell ref="C2:P2"/>
    <mergeCell ref="Q2:T2"/>
    <mergeCell ref="U2:V2"/>
    <mergeCell ref="B90:B91"/>
    <mergeCell ref="C90:C91"/>
    <mergeCell ref="D90:D91"/>
    <mergeCell ref="I5:I8"/>
    <mergeCell ref="B12:B13"/>
    <mergeCell ref="C12:C13"/>
    <mergeCell ref="D12:D13"/>
    <mergeCell ref="B9:B10"/>
    <mergeCell ref="C9:C10"/>
    <mergeCell ref="D9:D10"/>
    <mergeCell ref="H5:H8"/>
    <mergeCell ref="D68:D70"/>
    <mergeCell ref="B123:B124"/>
    <mergeCell ref="C123:C124"/>
    <mergeCell ref="D123:D124"/>
    <mergeCell ref="B94:B95"/>
    <mergeCell ref="C94:C95"/>
    <mergeCell ref="D94:D95"/>
    <mergeCell ref="B92:B93"/>
    <mergeCell ref="C92:C93"/>
    <mergeCell ref="D92:D93"/>
    <mergeCell ref="A68:A70"/>
    <mergeCell ref="A73:A74"/>
    <mergeCell ref="B73:B74"/>
    <mergeCell ref="B68:B70"/>
    <mergeCell ref="C68:C70"/>
    <mergeCell ref="A78:A89"/>
    <mergeCell ref="B78:B89"/>
    <mergeCell ref="C78:C89"/>
    <mergeCell ref="D78:D89"/>
    <mergeCell ref="A76:A77"/>
    <mergeCell ref="B76:B77"/>
    <mergeCell ref="C76:C77"/>
    <mergeCell ref="D76:D77"/>
    <mergeCell ref="C73:C74"/>
    <mergeCell ref="D73:D74"/>
  </mergeCells>
  <conditionalFormatting sqref="I72:I78 I83:I85 I24 I123:I139 I44:I45 I36 I96:I98 I32:I33 I40:I42 I49:I54 I102:I119 I57:I59">
    <cfRule type="cellIs" dxfId="3" priority="2" operator="lessThan">
      <formula>1</formula>
    </cfRule>
  </conditionalFormatting>
  <conditionalFormatting sqref="I120">
    <cfRule type="cellIs" dxfId="2" priority="1" operator="lessThan">
      <formula>1</formula>
    </cfRule>
  </conditionalFormatting>
  <hyperlinks>
    <hyperlink ref="S60" r:id="rId1"/>
    <hyperlink ref="S61" r:id="rId2"/>
    <hyperlink ref="N61" r:id="rId3"/>
    <hyperlink ref="E81" r:id="rId4"/>
    <hyperlink ref="S79" r:id="rId5"/>
    <hyperlink ref="E12" r:id="rId6"/>
    <hyperlink ref="N81" r:id="rId7"/>
    <hyperlink ref="N79" r:id="rId8"/>
    <hyperlink ref="N60" r:id="rId9"/>
    <hyperlink ref="S80" r:id="rId10"/>
    <hyperlink ref="S81" r:id="rId11"/>
    <hyperlink ref="E9" r:id="rId12"/>
    <hyperlink ref="S12" r:id="rId13" display="GM/60295/0286"/>
    <hyperlink ref="E13" r:id="rId14"/>
    <hyperlink ref="S9" r:id="rId15"/>
    <hyperlink ref="N12" r:id="rId16"/>
    <hyperlink ref="S121" r:id="rId17"/>
    <hyperlink ref="S122" r:id="rId18"/>
    <hyperlink ref="E10" r:id="rId19"/>
    <hyperlink ref="N10" r:id="rId20"/>
    <hyperlink ref="S13" r:id="rId21"/>
    <hyperlink ref="E11" r:id="rId22"/>
    <hyperlink ref="S10" r:id="rId23"/>
    <hyperlink ref="N63" r:id="rId24"/>
    <hyperlink ref="S63" r:id="rId25"/>
    <hyperlink ref="N11" r:id="rId26"/>
    <hyperlink ref="E79" r:id="rId27"/>
    <hyperlink ref="E80" r:id="rId28"/>
    <hyperlink ref="E14" r:id="rId29"/>
    <hyperlink ref="N121" r:id="rId30"/>
    <hyperlink ref="N122" r:id="rId31"/>
    <hyperlink ref="N80" r:id="rId32"/>
    <hyperlink ref="N13" r:id="rId33"/>
    <hyperlink ref="N9" r:id="rId34"/>
    <hyperlink ref="N14" r:id="rId35"/>
    <hyperlink ref="S14" r:id="rId36"/>
    <hyperlink ref="S11" r:id="rId37"/>
    <hyperlink ref="S66" r:id="rId38"/>
    <hyperlink ref="E82" r:id="rId39"/>
    <hyperlink ref="S82" r:id="rId40"/>
    <hyperlink ref="N66" r:id="rId41"/>
    <hyperlink ref="E43" r:id="rId42"/>
    <hyperlink ref="N82" r:id="rId43"/>
    <hyperlink ref="N43" r:id="rId44"/>
    <hyperlink ref="S43" r:id="rId45"/>
    <hyperlink ref="E123" r:id="rId46"/>
    <hyperlink ref="S123" r:id="rId47"/>
    <hyperlink ref="N123" r:id="rId48"/>
    <hyperlink ref="E35" r:id="rId49"/>
    <hyperlink ref="S35" r:id="rId50"/>
    <hyperlink ref="E25" r:id="rId51"/>
    <hyperlink ref="N35" r:id="rId52"/>
    <hyperlink ref="N25" r:id="rId53"/>
    <hyperlink ref="E90" r:id="rId54"/>
    <hyperlink ref="S90" r:id="rId55"/>
    <hyperlink ref="S25" r:id="rId56"/>
    <hyperlink ref="E92" r:id="rId57"/>
    <hyperlink ref="N90" r:id="rId58"/>
    <hyperlink ref="E91" r:id="rId59" display="\\npcc.local\fs\Departments\Offshore\Offshore Technical\ConstructionEngineering\ConstructionEnggProjects\PROJECTS\2207CAMPAING II\DOCUMENTS\NAVAL MARINE\STABILITY ANALYSIS\CC PIPES\2207-ZZ-CL-129 TRIP 1\Report\Rev 0"/>
    <hyperlink ref="S92" r:id="rId60"/>
    <hyperlink ref="E26" r:id="rId61"/>
    <hyperlink ref="N91" r:id="rId62"/>
    <hyperlink ref="N92" r:id="rId63"/>
    <hyperlink ref="E37" r:id="rId64"/>
    <hyperlink ref="E94" r:id="rId65"/>
    <hyperlink ref="E48" r:id="rId66"/>
    <hyperlink ref="N37" r:id="rId67"/>
    <hyperlink ref="S37" r:id="rId68" display="GM-60295-0739"/>
    <hyperlink ref="S94" r:id="rId69"/>
    <hyperlink ref="N48" r:id="rId70"/>
    <hyperlink ref="N94" r:id="rId71" display="TR-UFFDP1-13-05995"/>
    <hyperlink ref="E38" r:id="rId72" display="\\npcc.local\fs\Departments\Offshore\Offshore Technical\ConstructionEngineering\ConstructionEnggProjects\PROJECTS\2207CAMPAING II\DOCUMENTS\NAVAL MARINE\MOORIGN ANALYSIS\2207-ZZ-CL-112\Rev 0"/>
    <hyperlink ref="E47" r:id="rId73"/>
    <hyperlink ref="E95" r:id="rId74"/>
    <hyperlink ref="E99" r:id="rId75"/>
    <hyperlink ref="E100" r:id="rId76"/>
    <hyperlink ref="E125" r:id="rId77"/>
    <hyperlink ref="S99" r:id="rId78"/>
    <hyperlink ref="N95" r:id="rId79"/>
    <hyperlink ref="S38" r:id="rId80"/>
    <hyperlink ref="E39" r:id="rId81" display="\\npcc.local\fs\Departments\Offshore\Offshore Technical\ConstructionEngineering\ConstructionEnggProjects\PROJECTS\2207CAMPAING II\DOCUMENTS\NAVAL MARINE\MOORIGN ANALYSIS\2207-ZZ-CL-112\Rev 1\Report"/>
    <hyperlink ref="N99" r:id="rId82"/>
    <hyperlink ref="S39" r:id="rId83"/>
    <hyperlink ref="E34" r:id="rId84"/>
    <hyperlink ref="E101" r:id="rId85"/>
    <hyperlink ref="N125" r:id="rId86"/>
    <hyperlink ref="N100" r:id="rId87"/>
    <hyperlink ref="N39" r:id="rId88"/>
    <hyperlink ref="S34" r:id="rId89" display="GM-60295-0799"/>
    <hyperlink ref="N34" r:id="rId90"/>
    <hyperlink ref="N26" r:id="rId91"/>
    <hyperlink ref="N47" r:id="rId92"/>
    <hyperlink ref="N101" r:id="rId93"/>
    <hyperlink ref="N38" r:id="rId94"/>
    <hyperlink ref="S91" r:id="rId95"/>
    <hyperlink ref="S95" r:id="rId96"/>
    <hyperlink ref="S100" r:id="rId97"/>
    <hyperlink ref="S101" r:id="rId98"/>
    <hyperlink ref="E93" r:id="rId99" display="\\npcc.local\fs\Departments\Offshore\Offshore Technical\ConstructionEngineering\ConstructionEnggProjects\PROJECTS\2207CAMPAING II\DOCUMENTS\NAVAL MARINE\STABILITY ANALYSIS\CC PIPES\2207-ZZ-CL-130 TRIP 2\Report\Rev 0"/>
    <hyperlink ref="E124" r:id="rId100" display="\\npcc.local\fs\Departments\Offshore\Offshore Technical\ConstructionEngineering\ConstructionEnggProjects\PROJECTS\2207CAMPAING II\DOCUMENTS\NAVAL MARINE\STABILITY ANALYSIS\2207-ZZ-CL-156 Cable Tray Trip CB7\Rev 0\Report"/>
    <hyperlink ref="S47" r:id="rId101"/>
    <hyperlink ref="S48" r:id="rId102"/>
    <hyperlink ref="S125" r:id="rId103"/>
    <hyperlink ref="S26" r:id="rId104"/>
    <hyperlink ref="N93" r:id="rId105"/>
    <hyperlink ref="N124" r:id="rId106"/>
    <hyperlink ref="S93" r:id="rId107"/>
    <hyperlink ref="S124" r:id="rId108"/>
    <hyperlink ref="E68" r:id="rId109"/>
    <hyperlink ref="E55" r:id="rId110"/>
    <hyperlink ref="S55" r:id="rId111"/>
    <hyperlink ref="S68" r:id="rId112"/>
    <hyperlink ref="E69" r:id="rId113" display="CRS"/>
    <hyperlink ref="S69" r:id="rId114" display="GM-60295-0953"/>
    <hyperlink ref="N55" r:id="rId115"/>
    <hyperlink ref="N68" r:id="rId116"/>
    <hyperlink ref="E70" r:id="rId117" display="..\DOCUMENTS\NAVAL MARINE\MOORIGN ANALYSIS\2207-ZZ-CL-123\REV-0"/>
    <hyperlink ref="N70" r:id="rId118"/>
    <hyperlink ref="E71" r:id="rId119" display="..\DOCUMENTS\NAVAL MARINE\MOORIGN ANALYSIS\2207-ZZ-CL-123\REV-1"/>
    <hyperlink ref="E46" r:id="rId120"/>
    <hyperlink ref="N46" r:id="rId121"/>
    <hyperlink ref="S46" r:id="rId122" display="GM-60295-0794"/>
    <hyperlink ref="V46" r:id="rId123"/>
    <hyperlink ref="E73" r:id="rId124"/>
    <hyperlink ref="E75" r:id="rId125"/>
    <hyperlink ref="S73" r:id="rId126"/>
    <hyperlink ref="E74" r:id="rId127"/>
    <hyperlink ref="E56" r:id="rId128"/>
    <hyperlink ref="S74" r:id="rId129"/>
    <hyperlink ref="S75" r:id="rId130"/>
    <hyperlink ref="N73" r:id="rId131"/>
    <hyperlink ref="S56" r:id="rId132"/>
    <hyperlink ref="N75" r:id="rId133"/>
    <hyperlink ref="N74" r:id="rId134"/>
    <hyperlink ref="N71" r:id="rId135"/>
    <hyperlink ref="N56" r:id="rId136"/>
    <hyperlink ref="E78" r:id="rId137"/>
    <hyperlink ref="E76" r:id="rId138"/>
    <hyperlink ref="E77" r:id="rId139"/>
    <hyperlink ref="E89" r:id="rId140"/>
    <hyperlink ref="S77" r:id="rId141"/>
    <hyperlink ref="N77" r:id="rId142"/>
    <hyperlink ref="N89" r:id="rId143"/>
    <hyperlink ref="N78" r:id="rId144"/>
    <hyperlink ref="E27" r:id="rId145"/>
    <hyperlink ref="N27" r:id="rId146"/>
    <hyperlink ref="S27" r:id="rId147"/>
    <hyperlink ref="E28" r:id="rId148"/>
    <hyperlink ref="S28" r:id="rId149"/>
    <hyperlink ref="E29" r:id="rId150"/>
    <hyperlink ref="E30" r:id="rId151"/>
    <hyperlink ref="N28" r:id="rId152"/>
    <hyperlink ref="N30" r:id="rId153"/>
    <hyperlink ref="N29" r:id="rId154"/>
  </hyperlinks>
  <printOptions horizontalCentered="1"/>
  <pageMargins left="0.25" right="0.25" top="0.5" bottom="0.5" header="0.25" footer="0.25"/>
  <pageSetup paperSize="9" scale="65" orientation="landscape" r:id="rId155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5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I425"/>
  <sheetViews>
    <sheetView tabSelected="1" zoomScaleNormal="100" workbookViewId="0">
      <pane xSplit="6" ySplit="8" topLeftCell="G416" activePane="bottomRight" state="frozen"/>
      <selection pane="topRight" activeCell="G1" sqref="G1"/>
      <selection pane="bottomLeft" activeCell="A9" sqref="A9"/>
      <selection pane="bottomRight" activeCell="B430" sqref="B430"/>
    </sheetView>
  </sheetViews>
  <sheetFormatPr defaultColWidth="10.6640625" defaultRowHeight="12.75" x14ac:dyDescent="0.2"/>
  <cols>
    <col min="1" max="1" width="6.83203125" style="143" customWidth="1"/>
    <col min="2" max="2" width="47.83203125" style="143" customWidth="1"/>
    <col min="3" max="3" width="22.5" style="142" customWidth="1"/>
    <col min="4" max="4" width="22.83203125" style="142" customWidth="1"/>
    <col min="5" max="5" width="13.33203125" style="150" bestFit="1" customWidth="1"/>
    <col min="6" max="6" width="6.83203125" style="142" customWidth="1"/>
    <col min="7" max="7" width="12.83203125" style="142" customWidth="1"/>
    <col min="8" max="8" width="11.33203125" style="142" hidden="1" customWidth="1"/>
    <col min="9" max="9" width="17.6640625" style="142" bestFit="1" customWidth="1"/>
    <col min="10" max="10" width="24" style="142" bestFit="1" customWidth="1"/>
    <col min="11" max="11" width="9.6640625" style="142" bestFit="1" customWidth="1"/>
    <col min="12" max="12" width="21.1640625" style="143" bestFit="1" customWidth="1"/>
    <col min="13" max="13" width="13.1640625" style="144" customWidth="1"/>
    <col min="14" max="14" width="21.6640625" style="143" bestFit="1" customWidth="1"/>
    <col min="15" max="15" width="10.33203125" style="144" customWidth="1"/>
    <col min="16" max="16" width="11" style="143" bestFit="1" customWidth="1"/>
    <col min="17" max="17" width="25.5" style="143" bestFit="1" customWidth="1"/>
    <col min="18" max="18" width="10.5" style="143" bestFit="1" customWidth="1"/>
    <col min="19" max="19" width="17.6640625" style="151" customWidth="1"/>
    <col min="20" max="20" width="10.83203125" style="144" customWidth="1"/>
    <col min="21" max="21" width="13.83203125" style="143" bestFit="1" customWidth="1"/>
    <col min="22" max="22" width="22.83203125" style="143" customWidth="1"/>
    <col min="23" max="23" width="23.6640625" style="142" bestFit="1" customWidth="1"/>
    <col min="24" max="24" width="11.1640625" style="142" customWidth="1"/>
    <col min="25" max="25" width="21.1640625" style="143" bestFit="1" customWidth="1"/>
    <col min="26" max="26" width="10.83203125" style="144" customWidth="1"/>
    <col min="27" max="27" width="8.83203125" style="143" customWidth="1"/>
    <col min="28" max="28" width="10.83203125" style="144" customWidth="1"/>
    <col min="29" max="29" width="8.83203125" style="143" customWidth="1"/>
    <col min="30" max="32" width="12.5" style="143" customWidth="1"/>
    <col min="33" max="33" width="9.83203125" style="144" customWidth="1"/>
    <col min="34" max="34" width="8.83203125" style="143" customWidth="1"/>
    <col min="35" max="35" width="22.83203125" style="143" customWidth="1"/>
    <col min="36" max="16384" width="10.6640625" style="143"/>
  </cols>
  <sheetData>
    <row r="1" spans="1:35" s="78" customFormat="1" ht="20.100000000000001" customHeight="1" x14ac:dyDescent="0.2">
      <c r="A1" s="75" t="s">
        <v>1449</v>
      </c>
      <c r="B1" s="76"/>
      <c r="C1" s="536" t="s">
        <v>10</v>
      </c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537"/>
      <c r="Q1" s="77"/>
      <c r="R1" s="77"/>
      <c r="S1" s="544" t="s">
        <v>7</v>
      </c>
      <c r="T1" s="544"/>
      <c r="U1" s="562" t="s">
        <v>1430</v>
      </c>
      <c r="V1" s="563"/>
      <c r="AD1" s="544"/>
      <c r="AE1" s="544"/>
      <c r="AF1" s="544"/>
      <c r="AG1" s="544"/>
      <c r="AH1" s="562"/>
      <c r="AI1" s="563"/>
    </row>
    <row r="2" spans="1:35" s="78" customFormat="1" ht="20.100000000000001" customHeight="1" x14ac:dyDescent="0.2">
      <c r="A2" s="79"/>
      <c r="B2" s="80"/>
      <c r="C2" s="538" t="s">
        <v>23</v>
      </c>
      <c r="D2" s="539"/>
      <c r="E2" s="539"/>
      <c r="F2" s="539"/>
      <c r="G2" s="539"/>
      <c r="H2" s="539"/>
      <c r="I2" s="539"/>
      <c r="J2" s="539"/>
      <c r="K2" s="539"/>
      <c r="L2" s="539"/>
      <c r="M2" s="539"/>
      <c r="N2" s="539"/>
      <c r="O2" s="539"/>
      <c r="P2" s="539"/>
      <c r="Q2" s="81"/>
      <c r="R2" s="81"/>
      <c r="S2" s="545" t="s">
        <v>16</v>
      </c>
      <c r="T2" s="545"/>
      <c r="U2" s="564" t="s">
        <v>1431</v>
      </c>
      <c r="V2" s="565"/>
      <c r="AD2" s="545"/>
      <c r="AE2" s="545"/>
      <c r="AF2" s="545"/>
      <c r="AG2" s="545"/>
      <c r="AH2" s="564"/>
      <c r="AI2" s="565"/>
    </row>
    <row r="3" spans="1:35" s="78" customFormat="1" ht="20.100000000000001" customHeight="1" x14ac:dyDescent="0.2">
      <c r="A3" s="79"/>
      <c r="B3" s="80"/>
      <c r="C3" s="540" t="s">
        <v>24</v>
      </c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82"/>
      <c r="R3" s="83"/>
      <c r="S3" s="546" t="s">
        <v>9</v>
      </c>
      <c r="T3" s="546"/>
      <c r="U3" s="566" t="s">
        <v>1432</v>
      </c>
      <c r="V3" s="567"/>
      <c r="AD3" s="581"/>
      <c r="AE3" s="582"/>
      <c r="AF3" s="582"/>
      <c r="AG3" s="583"/>
      <c r="AH3" s="566"/>
      <c r="AI3" s="567"/>
    </row>
    <row r="4" spans="1:35" s="78" customFormat="1" ht="20.100000000000001" customHeight="1" thickBot="1" x14ac:dyDescent="0.25">
      <c r="A4" s="79"/>
      <c r="B4" s="80"/>
      <c r="C4" s="542" t="s">
        <v>19</v>
      </c>
      <c r="D4" s="543"/>
      <c r="E4" s="543"/>
      <c r="F4" s="543"/>
      <c r="G4" s="543"/>
      <c r="H4" s="543"/>
      <c r="I4" s="543"/>
      <c r="J4" s="543"/>
      <c r="K4" s="543"/>
      <c r="L4" s="543"/>
      <c r="M4" s="543"/>
      <c r="N4" s="543"/>
      <c r="O4" s="543"/>
      <c r="P4" s="543"/>
      <c r="Q4" s="82"/>
      <c r="R4" s="82"/>
      <c r="S4" s="546" t="s">
        <v>8</v>
      </c>
      <c r="T4" s="546"/>
      <c r="U4" s="568">
        <v>41723</v>
      </c>
      <c r="V4" s="569"/>
      <c r="AD4" s="546"/>
      <c r="AE4" s="546"/>
      <c r="AF4" s="546"/>
      <c r="AG4" s="546"/>
      <c r="AH4" s="568"/>
      <c r="AI4" s="569"/>
    </row>
    <row r="5" spans="1:35" s="86" customFormat="1" ht="15" customHeight="1" x14ac:dyDescent="0.2">
      <c r="A5" s="521" t="s">
        <v>0</v>
      </c>
      <c r="B5" s="524" t="s">
        <v>1</v>
      </c>
      <c r="C5" s="524" t="s">
        <v>17</v>
      </c>
      <c r="D5" s="529" t="s">
        <v>18</v>
      </c>
      <c r="E5" s="532" t="s">
        <v>15</v>
      </c>
      <c r="F5" s="555" t="s">
        <v>22</v>
      </c>
      <c r="G5" s="524" t="s">
        <v>12</v>
      </c>
      <c r="H5" s="524" t="s">
        <v>2372</v>
      </c>
      <c r="I5" s="524" t="s">
        <v>1540</v>
      </c>
      <c r="J5" s="84"/>
      <c r="K5" s="84"/>
      <c r="L5" s="532" t="s">
        <v>13</v>
      </c>
      <c r="M5" s="532"/>
      <c r="N5" s="532" t="s">
        <v>14</v>
      </c>
      <c r="O5" s="532"/>
      <c r="P5" s="532"/>
      <c r="Q5" s="558" t="s">
        <v>1371</v>
      </c>
      <c r="R5" s="559"/>
      <c r="S5" s="559"/>
      <c r="T5" s="559"/>
      <c r="U5" s="560"/>
      <c r="V5" s="578" t="s">
        <v>2</v>
      </c>
      <c r="W5" s="85"/>
      <c r="X5" s="85"/>
      <c r="Y5" s="570" t="s">
        <v>13</v>
      </c>
      <c r="Z5" s="570"/>
      <c r="AA5" s="570" t="s">
        <v>14</v>
      </c>
      <c r="AB5" s="570"/>
      <c r="AC5" s="570"/>
      <c r="AD5" s="570" t="s">
        <v>1371</v>
      </c>
      <c r="AE5" s="570"/>
      <c r="AF5" s="570"/>
      <c r="AG5" s="570"/>
      <c r="AH5" s="570"/>
      <c r="AI5" s="571" t="s">
        <v>2</v>
      </c>
    </row>
    <row r="6" spans="1:35" s="86" customFormat="1" ht="24.95" customHeight="1" x14ac:dyDescent="0.2">
      <c r="A6" s="522"/>
      <c r="B6" s="525"/>
      <c r="C6" s="527"/>
      <c r="D6" s="530"/>
      <c r="E6" s="533"/>
      <c r="F6" s="556"/>
      <c r="G6" s="527"/>
      <c r="H6" s="527"/>
      <c r="I6" s="527"/>
      <c r="J6" s="547" t="s">
        <v>4</v>
      </c>
      <c r="K6" s="548"/>
      <c r="L6" s="548"/>
      <c r="M6" s="549"/>
      <c r="N6" s="550" t="s">
        <v>5</v>
      </c>
      <c r="O6" s="550"/>
      <c r="P6" s="551"/>
      <c r="Q6" s="547" t="s">
        <v>5</v>
      </c>
      <c r="R6" s="548"/>
      <c r="S6" s="548"/>
      <c r="T6" s="548"/>
      <c r="U6" s="549"/>
      <c r="V6" s="579"/>
      <c r="W6" s="585" t="s">
        <v>4</v>
      </c>
      <c r="X6" s="586"/>
      <c r="Y6" s="586"/>
      <c r="Z6" s="587"/>
      <c r="AA6" s="588" t="s">
        <v>5</v>
      </c>
      <c r="AB6" s="588"/>
      <c r="AC6" s="588"/>
      <c r="AD6" s="577" t="s">
        <v>4</v>
      </c>
      <c r="AE6" s="577"/>
      <c r="AF6" s="575" t="s">
        <v>5</v>
      </c>
      <c r="AG6" s="575"/>
      <c r="AH6" s="576"/>
      <c r="AI6" s="572"/>
    </row>
    <row r="7" spans="1:35" s="86" customFormat="1" ht="24.95" customHeight="1" x14ac:dyDescent="0.2">
      <c r="A7" s="522"/>
      <c r="B7" s="525"/>
      <c r="C7" s="527"/>
      <c r="D7" s="530"/>
      <c r="E7" s="533"/>
      <c r="F7" s="556"/>
      <c r="G7" s="530"/>
      <c r="H7" s="527"/>
      <c r="I7" s="527"/>
      <c r="J7" s="547" t="s">
        <v>1433</v>
      </c>
      <c r="K7" s="549"/>
      <c r="L7" s="548" t="s">
        <v>1434</v>
      </c>
      <c r="M7" s="549"/>
      <c r="N7" s="552" t="s">
        <v>1435</v>
      </c>
      <c r="O7" s="553"/>
      <c r="P7" s="554"/>
      <c r="Q7" s="561" t="s">
        <v>1437</v>
      </c>
      <c r="R7" s="561"/>
      <c r="S7" s="561" t="s">
        <v>1438</v>
      </c>
      <c r="T7" s="561"/>
      <c r="U7" s="561"/>
      <c r="V7" s="579"/>
      <c r="W7" s="585" t="s">
        <v>1433</v>
      </c>
      <c r="X7" s="587"/>
      <c r="Y7" s="586" t="s">
        <v>1434</v>
      </c>
      <c r="Z7" s="587"/>
      <c r="AA7" s="574" t="s">
        <v>1435</v>
      </c>
      <c r="AB7" s="575"/>
      <c r="AC7" s="576"/>
      <c r="AD7" s="577" t="s">
        <v>1437</v>
      </c>
      <c r="AE7" s="577"/>
      <c r="AF7" s="577" t="s">
        <v>1438</v>
      </c>
      <c r="AG7" s="577"/>
      <c r="AH7" s="577"/>
      <c r="AI7" s="572"/>
    </row>
    <row r="8" spans="1:35" s="86" customFormat="1" ht="15" customHeight="1" thickBot="1" x14ac:dyDescent="0.25">
      <c r="A8" s="523"/>
      <c r="B8" s="526"/>
      <c r="C8" s="528"/>
      <c r="D8" s="531"/>
      <c r="E8" s="534"/>
      <c r="F8" s="557"/>
      <c r="G8" s="528"/>
      <c r="H8" s="528"/>
      <c r="I8" s="528"/>
      <c r="J8" s="87" t="s">
        <v>6</v>
      </c>
      <c r="K8" s="88" t="s">
        <v>3</v>
      </c>
      <c r="L8" s="87" t="s">
        <v>6</v>
      </c>
      <c r="M8" s="88" t="s">
        <v>3</v>
      </c>
      <c r="N8" s="87" t="s">
        <v>6</v>
      </c>
      <c r="O8" s="88" t="s">
        <v>3</v>
      </c>
      <c r="P8" s="89" t="s">
        <v>11</v>
      </c>
      <c r="Q8" s="87" t="s">
        <v>6</v>
      </c>
      <c r="R8" s="88" t="s">
        <v>3</v>
      </c>
      <c r="S8" s="87" t="s">
        <v>6</v>
      </c>
      <c r="T8" s="88" t="s">
        <v>3</v>
      </c>
      <c r="U8" s="87" t="s">
        <v>11</v>
      </c>
      <c r="V8" s="580"/>
      <c r="W8" s="90" t="s">
        <v>6</v>
      </c>
      <c r="X8" s="91" t="s">
        <v>3</v>
      </c>
      <c r="Y8" s="90" t="s">
        <v>6</v>
      </c>
      <c r="Z8" s="91" t="s">
        <v>3</v>
      </c>
      <c r="AA8" s="90" t="s">
        <v>6</v>
      </c>
      <c r="AB8" s="91" t="s">
        <v>3</v>
      </c>
      <c r="AC8" s="90" t="s">
        <v>11</v>
      </c>
      <c r="AD8" s="92" t="s">
        <v>6</v>
      </c>
      <c r="AE8" s="91" t="s">
        <v>3</v>
      </c>
      <c r="AF8" s="92" t="s">
        <v>6</v>
      </c>
      <c r="AG8" s="91" t="s">
        <v>3</v>
      </c>
      <c r="AH8" s="90" t="s">
        <v>11</v>
      </c>
      <c r="AI8" s="573"/>
    </row>
    <row r="9" spans="1:35" s="112" customFormat="1" ht="18" customHeight="1" x14ac:dyDescent="0.2">
      <c r="A9" s="93">
        <v>1</v>
      </c>
      <c r="B9" s="94" t="s">
        <v>547</v>
      </c>
      <c r="C9" s="95" t="s">
        <v>814</v>
      </c>
      <c r="D9" s="96" t="s">
        <v>1093</v>
      </c>
      <c r="E9" s="97" t="s">
        <v>1369</v>
      </c>
      <c r="F9" s="98">
        <v>3</v>
      </c>
      <c r="G9" s="99">
        <v>41796</v>
      </c>
      <c r="H9" s="99"/>
      <c r="I9" s="72"/>
      <c r="J9" s="99" t="s">
        <v>1440</v>
      </c>
      <c r="K9" s="99">
        <v>41730</v>
      </c>
      <c r="L9" s="100" t="s">
        <v>1439</v>
      </c>
      <c r="M9" s="99">
        <v>41738</v>
      </c>
      <c r="N9" s="101"/>
      <c r="O9" s="102"/>
      <c r="P9" s="101"/>
      <c r="Q9" s="103" t="s">
        <v>1446</v>
      </c>
      <c r="R9" s="99">
        <v>41742</v>
      </c>
      <c r="S9" s="97" t="s">
        <v>1487</v>
      </c>
      <c r="T9" s="104">
        <v>41795</v>
      </c>
      <c r="U9" s="105" t="s">
        <v>1465</v>
      </c>
      <c r="V9" s="106"/>
      <c r="W9" s="107"/>
      <c r="X9" s="107"/>
      <c r="Y9" s="108"/>
      <c r="Z9" s="107"/>
      <c r="AA9" s="109"/>
      <c r="AB9" s="110"/>
      <c r="AC9" s="109"/>
      <c r="AD9" s="109"/>
      <c r="AE9" s="109"/>
      <c r="AF9" s="109"/>
      <c r="AG9" s="110"/>
      <c r="AH9" s="109"/>
      <c r="AI9" s="111"/>
    </row>
    <row r="10" spans="1:35" s="112" customFormat="1" ht="24.95" customHeight="1" x14ac:dyDescent="0.2">
      <c r="A10" s="93">
        <f t="shared" ref="A10:A73" si="0">A9+1</f>
        <v>2</v>
      </c>
      <c r="B10" s="94" t="s">
        <v>548</v>
      </c>
      <c r="C10" s="95" t="s">
        <v>815</v>
      </c>
      <c r="D10" s="96" t="s">
        <v>1094</v>
      </c>
      <c r="E10" s="113" t="s">
        <v>1369</v>
      </c>
      <c r="F10" s="98">
        <v>3</v>
      </c>
      <c r="G10" s="99">
        <v>41796</v>
      </c>
      <c r="H10" s="99"/>
      <c r="I10" s="72"/>
      <c r="J10" s="99" t="s">
        <v>1440</v>
      </c>
      <c r="K10" s="99">
        <v>41730</v>
      </c>
      <c r="L10" s="114" t="s">
        <v>1439</v>
      </c>
      <c r="M10" s="99">
        <v>41738</v>
      </c>
      <c r="N10" s="101"/>
      <c r="O10" s="102"/>
      <c r="P10" s="115"/>
      <c r="Q10" s="116" t="s">
        <v>1446</v>
      </c>
      <c r="R10" s="117">
        <v>41742</v>
      </c>
      <c r="S10" s="97" t="s">
        <v>1489</v>
      </c>
      <c r="T10" s="104">
        <v>41795</v>
      </c>
      <c r="U10" s="105" t="s">
        <v>1465</v>
      </c>
      <c r="V10" s="106"/>
      <c r="W10" s="118"/>
      <c r="X10" s="118"/>
      <c r="Y10" s="119"/>
      <c r="Z10" s="120"/>
      <c r="AA10" s="121"/>
      <c r="AB10" s="122"/>
      <c r="AC10" s="121"/>
      <c r="AD10" s="121"/>
      <c r="AE10" s="121"/>
      <c r="AF10" s="121"/>
      <c r="AG10" s="122"/>
      <c r="AH10" s="121"/>
      <c r="AI10" s="123"/>
    </row>
    <row r="11" spans="1:35" s="112" customFormat="1" ht="24.95" customHeight="1" x14ac:dyDescent="0.2">
      <c r="A11" s="93">
        <f t="shared" si="0"/>
        <v>3</v>
      </c>
      <c r="B11" s="94" t="s">
        <v>549</v>
      </c>
      <c r="C11" s="95" t="s">
        <v>816</v>
      </c>
      <c r="D11" s="96" t="s">
        <v>1095</v>
      </c>
      <c r="E11" s="124" t="s">
        <v>1441</v>
      </c>
      <c r="F11" s="98">
        <v>3</v>
      </c>
      <c r="G11" s="99">
        <v>41796</v>
      </c>
      <c r="H11" s="99"/>
      <c r="I11" s="72"/>
      <c r="J11" s="125" t="s">
        <v>1442</v>
      </c>
      <c r="K11" s="125" t="s">
        <v>1442</v>
      </c>
      <c r="L11" s="126" t="s">
        <v>1442</v>
      </c>
      <c r="M11" s="127" t="s">
        <v>1442</v>
      </c>
      <c r="N11" s="128" t="s">
        <v>1442</v>
      </c>
      <c r="O11" s="127" t="s">
        <v>1442</v>
      </c>
      <c r="P11" s="129" t="s">
        <v>1442</v>
      </c>
      <c r="Q11" s="126" t="s">
        <v>1442</v>
      </c>
      <c r="R11" s="130" t="s">
        <v>1442</v>
      </c>
      <c r="S11" s="128" t="s">
        <v>1442</v>
      </c>
      <c r="T11" s="127" t="s">
        <v>1442</v>
      </c>
      <c r="U11" s="128" t="s">
        <v>1442</v>
      </c>
      <c r="V11" s="106" t="s">
        <v>1441</v>
      </c>
      <c r="W11" s="118"/>
      <c r="X11" s="118"/>
      <c r="Y11" s="119"/>
      <c r="Z11" s="120"/>
      <c r="AA11" s="121"/>
      <c r="AB11" s="122"/>
      <c r="AC11" s="121"/>
      <c r="AD11" s="121"/>
      <c r="AE11" s="121"/>
      <c r="AF11" s="121"/>
      <c r="AG11" s="122"/>
      <c r="AH11" s="121"/>
      <c r="AI11" s="123"/>
    </row>
    <row r="12" spans="1:35" s="112" customFormat="1" ht="24.95" customHeight="1" x14ac:dyDescent="0.2">
      <c r="A12" s="93">
        <f t="shared" si="0"/>
        <v>4</v>
      </c>
      <c r="B12" s="94" t="s">
        <v>550</v>
      </c>
      <c r="C12" s="95" t="s">
        <v>817</v>
      </c>
      <c r="D12" s="96" t="s">
        <v>1096</v>
      </c>
      <c r="E12" s="113" t="s">
        <v>1369</v>
      </c>
      <c r="F12" s="98">
        <v>3</v>
      </c>
      <c r="G12" s="99">
        <v>41796</v>
      </c>
      <c r="H12" s="99"/>
      <c r="I12" s="72"/>
      <c r="J12" s="99" t="s">
        <v>1440</v>
      </c>
      <c r="K12" s="99">
        <v>41730</v>
      </c>
      <c r="L12" s="131" t="s">
        <v>1439</v>
      </c>
      <c r="M12" s="99">
        <v>41738</v>
      </c>
      <c r="N12" s="114"/>
      <c r="O12" s="104"/>
      <c r="P12" s="132"/>
      <c r="Q12" s="116" t="s">
        <v>1446</v>
      </c>
      <c r="R12" s="117">
        <v>41742</v>
      </c>
      <c r="S12" s="97" t="s">
        <v>1523</v>
      </c>
      <c r="T12" s="104">
        <v>41795</v>
      </c>
      <c r="U12" s="105" t="s">
        <v>1465</v>
      </c>
      <c r="V12" s="106"/>
      <c r="W12" s="118"/>
      <c r="X12" s="118"/>
      <c r="Y12" s="119"/>
      <c r="Z12" s="120"/>
      <c r="AA12" s="121"/>
      <c r="AB12" s="122"/>
      <c r="AC12" s="121"/>
      <c r="AD12" s="121"/>
      <c r="AE12" s="121"/>
      <c r="AF12" s="121"/>
      <c r="AG12" s="122"/>
      <c r="AH12" s="121"/>
      <c r="AI12" s="123"/>
    </row>
    <row r="13" spans="1:35" s="112" customFormat="1" ht="24.95" customHeight="1" x14ac:dyDescent="0.2">
      <c r="A13" s="93">
        <f t="shared" si="0"/>
        <v>5</v>
      </c>
      <c r="B13" s="94" t="s">
        <v>551</v>
      </c>
      <c r="C13" s="95" t="s">
        <v>818</v>
      </c>
      <c r="D13" s="96" t="s">
        <v>1097</v>
      </c>
      <c r="E13" s="124" t="s">
        <v>1441</v>
      </c>
      <c r="F13" s="98">
        <v>3</v>
      </c>
      <c r="G13" s="99">
        <v>41796</v>
      </c>
      <c r="H13" s="99"/>
      <c r="I13" s="72"/>
      <c r="J13" s="125" t="s">
        <v>1442</v>
      </c>
      <c r="K13" s="125" t="s">
        <v>1442</v>
      </c>
      <c r="L13" s="126" t="s">
        <v>1442</v>
      </c>
      <c r="M13" s="127" t="s">
        <v>1442</v>
      </c>
      <c r="N13" s="128" t="s">
        <v>1442</v>
      </c>
      <c r="O13" s="127" t="s">
        <v>1442</v>
      </c>
      <c r="P13" s="129" t="s">
        <v>1442</v>
      </c>
      <c r="Q13" s="126" t="s">
        <v>1442</v>
      </c>
      <c r="R13" s="130" t="s">
        <v>1442</v>
      </c>
      <c r="S13" s="128" t="s">
        <v>1442</v>
      </c>
      <c r="T13" s="127" t="s">
        <v>1442</v>
      </c>
      <c r="U13" s="128" t="s">
        <v>1442</v>
      </c>
      <c r="V13" s="106" t="s">
        <v>1441</v>
      </c>
      <c r="W13" s="118"/>
      <c r="X13" s="118"/>
      <c r="Y13" s="119"/>
      <c r="Z13" s="120"/>
      <c r="AA13" s="121"/>
      <c r="AB13" s="122"/>
      <c r="AC13" s="121"/>
      <c r="AD13" s="121"/>
      <c r="AE13" s="121"/>
      <c r="AF13" s="121"/>
      <c r="AG13" s="122"/>
      <c r="AH13" s="121"/>
      <c r="AI13" s="123"/>
    </row>
    <row r="14" spans="1:35" s="112" customFormat="1" ht="24.95" customHeight="1" x14ac:dyDescent="0.2">
      <c r="A14" s="93">
        <f t="shared" si="0"/>
        <v>6</v>
      </c>
      <c r="B14" s="94" t="s">
        <v>552</v>
      </c>
      <c r="C14" s="95" t="s">
        <v>819</v>
      </c>
      <c r="D14" s="96" t="s">
        <v>1098</v>
      </c>
      <c r="E14" s="113" t="s">
        <v>1369</v>
      </c>
      <c r="F14" s="98">
        <v>3</v>
      </c>
      <c r="G14" s="99">
        <v>41765</v>
      </c>
      <c r="H14" s="99"/>
      <c r="I14" s="72"/>
      <c r="J14" s="99" t="s">
        <v>1440</v>
      </c>
      <c r="K14" s="99">
        <v>41730</v>
      </c>
      <c r="L14" s="131" t="s">
        <v>1439</v>
      </c>
      <c r="M14" s="99">
        <v>41738</v>
      </c>
      <c r="N14" s="114"/>
      <c r="O14" s="104"/>
      <c r="P14" s="132"/>
      <c r="Q14" s="116" t="s">
        <v>1446</v>
      </c>
      <c r="R14" s="117">
        <v>41742</v>
      </c>
      <c r="S14" s="97" t="s">
        <v>1488</v>
      </c>
      <c r="T14" s="104">
        <v>41795</v>
      </c>
      <c r="U14" s="105" t="s">
        <v>1465</v>
      </c>
      <c r="V14" s="106"/>
      <c r="W14" s="118"/>
      <c r="X14" s="118"/>
      <c r="Y14" s="119"/>
      <c r="Z14" s="120"/>
      <c r="AA14" s="121"/>
      <c r="AB14" s="122"/>
      <c r="AC14" s="121"/>
      <c r="AD14" s="121"/>
      <c r="AE14" s="121"/>
      <c r="AF14" s="121"/>
      <c r="AG14" s="122"/>
      <c r="AH14" s="121"/>
      <c r="AI14" s="123"/>
    </row>
    <row r="15" spans="1:35" s="112" customFormat="1" ht="24.95" customHeight="1" x14ac:dyDescent="0.2">
      <c r="A15" s="93">
        <f t="shared" si="0"/>
        <v>7</v>
      </c>
      <c r="B15" s="94" t="s">
        <v>553</v>
      </c>
      <c r="C15" s="95" t="s">
        <v>820</v>
      </c>
      <c r="D15" s="96" t="s">
        <v>1099</v>
      </c>
      <c r="E15" s="113" t="s">
        <v>1369</v>
      </c>
      <c r="F15" s="98">
        <v>3</v>
      </c>
      <c r="G15" s="99">
        <v>41765</v>
      </c>
      <c r="H15" s="99"/>
      <c r="I15" s="72"/>
      <c r="J15" s="99" t="s">
        <v>1440</v>
      </c>
      <c r="K15" s="99">
        <v>41730</v>
      </c>
      <c r="L15" s="131" t="s">
        <v>1439</v>
      </c>
      <c r="M15" s="99">
        <v>41738</v>
      </c>
      <c r="N15" s="114"/>
      <c r="O15" s="104"/>
      <c r="P15" s="132"/>
      <c r="Q15" s="116" t="s">
        <v>1446</v>
      </c>
      <c r="R15" s="117">
        <v>41742</v>
      </c>
      <c r="S15" s="97" t="s">
        <v>1490</v>
      </c>
      <c r="T15" s="104">
        <v>41795</v>
      </c>
      <c r="U15" s="105" t="s">
        <v>1465</v>
      </c>
      <c r="V15" s="106"/>
      <c r="W15" s="118"/>
      <c r="X15" s="118"/>
      <c r="Y15" s="119"/>
      <c r="Z15" s="120"/>
      <c r="AA15" s="121"/>
      <c r="AB15" s="122"/>
      <c r="AC15" s="121"/>
      <c r="AD15" s="121"/>
      <c r="AE15" s="121"/>
      <c r="AF15" s="121"/>
      <c r="AG15" s="122"/>
      <c r="AH15" s="121"/>
      <c r="AI15" s="123"/>
    </row>
    <row r="16" spans="1:35" s="112" customFormat="1" ht="24.95" customHeight="1" x14ac:dyDescent="0.2">
      <c r="A16" s="93">
        <f t="shared" si="0"/>
        <v>8</v>
      </c>
      <c r="B16" s="94" t="s">
        <v>554</v>
      </c>
      <c r="C16" s="95" t="s">
        <v>821</v>
      </c>
      <c r="D16" s="96" t="s">
        <v>1100</v>
      </c>
      <c r="E16" s="124" t="s">
        <v>1441</v>
      </c>
      <c r="F16" s="98">
        <v>3</v>
      </c>
      <c r="G16" s="99">
        <v>41765</v>
      </c>
      <c r="H16" s="99"/>
      <c r="I16" s="72"/>
      <c r="J16" s="125" t="s">
        <v>1442</v>
      </c>
      <c r="K16" s="125" t="s">
        <v>1442</v>
      </c>
      <c r="L16" s="126" t="s">
        <v>1442</v>
      </c>
      <c r="M16" s="127" t="s">
        <v>1442</v>
      </c>
      <c r="N16" s="128" t="s">
        <v>1442</v>
      </c>
      <c r="O16" s="127" t="s">
        <v>1442</v>
      </c>
      <c r="P16" s="129" t="s">
        <v>1442</v>
      </c>
      <c r="Q16" s="126" t="s">
        <v>1442</v>
      </c>
      <c r="R16" s="130" t="s">
        <v>1442</v>
      </c>
      <c r="S16" s="128" t="s">
        <v>1442</v>
      </c>
      <c r="T16" s="127" t="s">
        <v>1442</v>
      </c>
      <c r="U16" s="128" t="s">
        <v>1442</v>
      </c>
      <c r="V16" s="106" t="s">
        <v>1441</v>
      </c>
      <c r="W16" s="118"/>
      <c r="X16" s="118"/>
      <c r="Y16" s="119"/>
      <c r="Z16" s="120"/>
      <c r="AA16" s="121"/>
      <c r="AB16" s="122"/>
      <c r="AC16" s="121"/>
      <c r="AD16" s="121"/>
      <c r="AE16" s="121"/>
      <c r="AF16" s="121"/>
      <c r="AG16" s="122"/>
      <c r="AH16" s="121"/>
      <c r="AI16" s="123"/>
    </row>
    <row r="17" spans="1:35" s="112" customFormat="1" ht="24.95" customHeight="1" x14ac:dyDescent="0.2">
      <c r="A17" s="93">
        <f t="shared" si="0"/>
        <v>9</v>
      </c>
      <c r="B17" s="94" t="s">
        <v>555</v>
      </c>
      <c r="C17" s="95" t="s">
        <v>822</v>
      </c>
      <c r="D17" s="96" t="s">
        <v>1101</v>
      </c>
      <c r="E17" s="113" t="s">
        <v>1369</v>
      </c>
      <c r="F17" s="98">
        <v>3</v>
      </c>
      <c r="G17" s="99">
        <v>41765</v>
      </c>
      <c r="H17" s="99"/>
      <c r="I17" s="72"/>
      <c r="J17" s="99" t="s">
        <v>1440</v>
      </c>
      <c r="K17" s="99">
        <v>41730</v>
      </c>
      <c r="L17" s="131" t="s">
        <v>1439</v>
      </c>
      <c r="M17" s="99">
        <v>41738</v>
      </c>
      <c r="N17" s="114"/>
      <c r="O17" s="104"/>
      <c r="P17" s="132"/>
      <c r="Q17" s="116" t="s">
        <v>1446</v>
      </c>
      <c r="R17" s="117">
        <v>41742</v>
      </c>
      <c r="S17" s="97" t="s">
        <v>1524</v>
      </c>
      <c r="T17" s="104">
        <v>41795</v>
      </c>
      <c r="U17" s="105" t="s">
        <v>1465</v>
      </c>
      <c r="V17" s="106"/>
      <c r="W17" s="118"/>
      <c r="X17" s="118"/>
      <c r="Y17" s="119"/>
      <c r="Z17" s="120"/>
      <c r="AA17" s="121"/>
      <c r="AB17" s="122"/>
      <c r="AC17" s="121"/>
      <c r="AD17" s="121"/>
      <c r="AE17" s="121"/>
      <c r="AF17" s="121"/>
      <c r="AG17" s="122"/>
      <c r="AH17" s="121"/>
      <c r="AI17" s="123"/>
    </row>
    <row r="18" spans="1:35" s="112" customFormat="1" ht="24.95" customHeight="1" x14ac:dyDescent="0.2">
      <c r="A18" s="93">
        <f t="shared" si="0"/>
        <v>10</v>
      </c>
      <c r="B18" s="94" t="s">
        <v>556</v>
      </c>
      <c r="C18" s="95" t="s">
        <v>823</v>
      </c>
      <c r="D18" s="96" t="s">
        <v>1102</v>
      </c>
      <c r="E18" s="124" t="s">
        <v>1441</v>
      </c>
      <c r="F18" s="98">
        <v>3</v>
      </c>
      <c r="G18" s="99">
        <v>41765</v>
      </c>
      <c r="H18" s="99"/>
      <c r="I18" s="72"/>
      <c r="J18" s="125" t="s">
        <v>1442</v>
      </c>
      <c r="K18" s="125" t="s">
        <v>1442</v>
      </c>
      <c r="L18" s="126" t="s">
        <v>1442</v>
      </c>
      <c r="M18" s="127" t="s">
        <v>1442</v>
      </c>
      <c r="N18" s="128" t="s">
        <v>1442</v>
      </c>
      <c r="O18" s="127" t="s">
        <v>1442</v>
      </c>
      <c r="P18" s="129" t="s">
        <v>1442</v>
      </c>
      <c r="Q18" s="126" t="s">
        <v>1442</v>
      </c>
      <c r="R18" s="130" t="s">
        <v>1442</v>
      </c>
      <c r="S18" s="128" t="s">
        <v>1442</v>
      </c>
      <c r="T18" s="127" t="s">
        <v>1442</v>
      </c>
      <c r="U18" s="128" t="s">
        <v>1442</v>
      </c>
      <c r="V18" s="106" t="s">
        <v>1441</v>
      </c>
      <c r="W18" s="118"/>
      <c r="X18" s="118"/>
      <c r="Y18" s="119"/>
      <c r="Z18" s="120"/>
      <c r="AA18" s="121"/>
      <c r="AB18" s="122"/>
      <c r="AC18" s="121"/>
      <c r="AD18" s="121"/>
      <c r="AE18" s="121"/>
      <c r="AF18" s="121"/>
      <c r="AG18" s="122"/>
      <c r="AH18" s="121"/>
      <c r="AI18" s="123"/>
    </row>
    <row r="19" spans="1:35" s="112" customFormat="1" ht="24.95" customHeight="1" x14ac:dyDescent="0.2">
      <c r="A19" s="93">
        <f t="shared" si="0"/>
        <v>11</v>
      </c>
      <c r="B19" s="94" t="s">
        <v>557</v>
      </c>
      <c r="C19" s="95" t="s">
        <v>824</v>
      </c>
      <c r="D19" s="96" t="s">
        <v>1103</v>
      </c>
      <c r="E19" s="113" t="s">
        <v>1369</v>
      </c>
      <c r="F19" s="98">
        <v>3</v>
      </c>
      <c r="G19" s="99">
        <v>41801</v>
      </c>
      <c r="H19" s="99"/>
      <c r="I19" s="72"/>
      <c r="J19" s="99" t="s">
        <v>1440</v>
      </c>
      <c r="K19" s="99">
        <v>41730</v>
      </c>
      <c r="L19" s="131" t="s">
        <v>1439</v>
      </c>
      <c r="M19" s="99">
        <v>41738</v>
      </c>
      <c r="N19" s="114"/>
      <c r="O19" s="104"/>
      <c r="P19" s="132"/>
      <c r="Q19" s="116" t="s">
        <v>1446</v>
      </c>
      <c r="R19" s="117">
        <v>41742</v>
      </c>
      <c r="S19" s="97" t="s">
        <v>1512</v>
      </c>
      <c r="T19" s="104">
        <v>41795</v>
      </c>
      <c r="U19" s="105" t="s">
        <v>1465</v>
      </c>
      <c r="V19" s="106"/>
      <c r="W19" s="118"/>
      <c r="X19" s="118"/>
      <c r="Y19" s="119"/>
      <c r="Z19" s="120"/>
      <c r="AA19" s="121"/>
      <c r="AB19" s="122"/>
      <c r="AC19" s="121"/>
      <c r="AD19" s="121"/>
      <c r="AE19" s="121"/>
      <c r="AF19" s="121"/>
      <c r="AG19" s="122"/>
      <c r="AH19" s="121"/>
      <c r="AI19" s="123"/>
    </row>
    <row r="20" spans="1:35" s="112" customFormat="1" ht="24.95" customHeight="1" x14ac:dyDescent="0.2">
      <c r="A20" s="93">
        <f t="shared" si="0"/>
        <v>12</v>
      </c>
      <c r="B20" s="94" t="s">
        <v>558</v>
      </c>
      <c r="C20" s="95" t="s">
        <v>825</v>
      </c>
      <c r="D20" s="96" t="s">
        <v>1104</v>
      </c>
      <c r="E20" s="113" t="s">
        <v>1369</v>
      </c>
      <c r="F20" s="98">
        <v>3</v>
      </c>
      <c r="G20" s="99">
        <v>41801</v>
      </c>
      <c r="H20" s="99"/>
      <c r="I20" s="72"/>
      <c r="J20" s="99" t="s">
        <v>1440</v>
      </c>
      <c r="K20" s="99">
        <v>41730</v>
      </c>
      <c r="L20" s="131" t="s">
        <v>1439</v>
      </c>
      <c r="M20" s="99">
        <v>41738</v>
      </c>
      <c r="N20" s="114"/>
      <c r="O20" s="104"/>
      <c r="P20" s="132"/>
      <c r="Q20" s="116" t="s">
        <v>1446</v>
      </c>
      <c r="R20" s="117">
        <v>41742</v>
      </c>
      <c r="S20" s="97" t="s">
        <v>1491</v>
      </c>
      <c r="T20" s="104">
        <v>41795</v>
      </c>
      <c r="U20" s="105" t="s">
        <v>1465</v>
      </c>
      <c r="V20" s="106"/>
      <c r="W20" s="118"/>
      <c r="X20" s="118"/>
      <c r="Y20" s="119"/>
      <c r="Z20" s="120"/>
      <c r="AA20" s="121"/>
      <c r="AB20" s="122"/>
      <c r="AC20" s="121"/>
      <c r="AD20" s="121"/>
      <c r="AE20" s="121"/>
      <c r="AF20" s="121"/>
      <c r="AG20" s="122"/>
      <c r="AH20" s="121"/>
      <c r="AI20" s="123"/>
    </row>
    <row r="21" spans="1:35" s="112" customFormat="1" ht="24.95" customHeight="1" x14ac:dyDescent="0.2">
      <c r="A21" s="93">
        <f t="shared" si="0"/>
        <v>13</v>
      </c>
      <c r="B21" s="94" t="s">
        <v>559</v>
      </c>
      <c r="C21" s="95" t="s">
        <v>826</v>
      </c>
      <c r="D21" s="96" t="s">
        <v>1105</v>
      </c>
      <c r="E21" s="124" t="s">
        <v>1441</v>
      </c>
      <c r="F21" s="98">
        <v>3</v>
      </c>
      <c r="G21" s="99">
        <v>41801</v>
      </c>
      <c r="H21" s="99"/>
      <c r="I21" s="72"/>
      <c r="J21" s="125" t="s">
        <v>1442</v>
      </c>
      <c r="K21" s="125" t="s">
        <v>1442</v>
      </c>
      <c r="L21" s="126" t="s">
        <v>1442</v>
      </c>
      <c r="M21" s="127" t="s">
        <v>1442</v>
      </c>
      <c r="N21" s="128" t="s">
        <v>1442</v>
      </c>
      <c r="O21" s="127" t="s">
        <v>1442</v>
      </c>
      <c r="P21" s="129" t="s">
        <v>1442</v>
      </c>
      <c r="Q21" s="126" t="s">
        <v>1442</v>
      </c>
      <c r="R21" s="130" t="s">
        <v>1442</v>
      </c>
      <c r="S21" s="128" t="s">
        <v>1442</v>
      </c>
      <c r="T21" s="127" t="s">
        <v>1442</v>
      </c>
      <c r="U21" s="128" t="s">
        <v>1442</v>
      </c>
      <c r="V21" s="106" t="s">
        <v>1441</v>
      </c>
      <c r="W21" s="118"/>
      <c r="X21" s="118"/>
      <c r="Y21" s="119"/>
      <c r="Z21" s="120"/>
      <c r="AA21" s="121"/>
      <c r="AB21" s="122"/>
      <c r="AC21" s="121"/>
      <c r="AD21" s="121"/>
      <c r="AE21" s="121"/>
      <c r="AF21" s="121"/>
      <c r="AG21" s="122"/>
      <c r="AH21" s="121"/>
      <c r="AI21" s="123"/>
    </row>
    <row r="22" spans="1:35" s="112" customFormat="1" ht="24.95" customHeight="1" x14ac:dyDescent="0.2">
      <c r="A22" s="93">
        <f t="shared" si="0"/>
        <v>14</v>
      </c>
      <c r="B22" s="94" t="s">
        <v>560</v>
      </c>
      <c r="C22" s="95" t="s">
        <v>827</v>
      </c>
      <c r="D22" s="96" t="s">
        <v>1106</v>
      </c>
      <c r="E22" s="113" t="s">
        <v>1369</v>
      </c>
      <c r="F22" s="98">
        <v>3</v>
      </c>
      <c r="G22" s="99">
        <v>41801</v>
      </c>
      <c r="H22" s="99"/>
      <c r="I22" s="72"/>
      <c r="J22" s="99" t="s">
        <v>1440</v>
      </c>
      <c r="K22" s="99">
        <v>41730</v>
      </c>
      <c r="L22" s="131" t="s">
        <v>1439</v>
      </c>
      <c r="M22" s="99">
        <v>41738</v>
      </c>
      <c r="N22" s="114"/>
      <c r="O22" s="104"/>
      <c r="P22" s="132"/>
      <c r="Q22" s="116" t="s">
        <v>1446</v>
      </c>
      <c r="R22" s="117">
        <v>41742</v>
      </c>
      <c r="S22" s="97" t="s">
        <v>1525</v>
      </c>
      <c r="T22" s="104">
        <v>41795</v>
      </c>
      <c r="U22" s="105" t="s">
        <v>1465</v>
      </c>
      <c r="V22" s="106"/>
      <c r="W22" s="118"/>
      <c r="X22" s="118"/>
      <c r="Y22" s="119"/>
      <c r="Z22" s="120"/>
      <c r="AA22" s="121"/>
      <c r="AB22" s="122"/>
      <c r="AC22" s="121"/>
      <c r="AD22" s="121"/>
      <c r="AE22" s="121"/>
      <c r="AF22" s="121"/>
      <c r="AG22" s="122"/>
      <c r="AH22" s="121"/>
      <c r="AI22" s="123"/>
    </row>
    <row r="23" spans="1:35" s="112" customFormat="1" ht="24.95" customHeight="1" x14ac:dyDescent="0.2">
      <c r="A23" s="93">
        <f t="shared" si="0"/>
        <v>15</v>
      </c>
      <c r="B23" s="94" t="s">
        <v>561</v>
      </c>
      <c r="C23" s="95" t="s">
        <v>828</v>
      </c>
      <c r="D23" s="96" t="s">
        <v>1107</v>
      </c>
      <c r="E23" s="124" t="s">
        <v>1441</v>
      </c>
      <c r="F23" s="98">
        <v>3</v>
      </c>
      <c r="G23" s="99">
        <v>41801</v>
      </c>
      <c r="H23" s="99"/>
      <c r="I23" s="72"/>
      <c r="J23" s="125" t="s">
        <v>1442</v>
      </c>
      <c r="K23" s="125" t="s">
        <v>1442</v>
      </c>
      <c r="L23" s="126" t="s">
        <v>1442</v>
      </c>
      <c r="M23" s="127" t="s">
        <v>1442</v>
      </c>
      <c r="N23" s="128" t="s">
        <v>1442</v>
      </c>
      <c r="O23" s="127" t="s">
        <v>1442</v>
      </c>
      <c r="P23" s="129" t="s">
        <v>1442</v>
      </c>
      <c r="Q23" s="126" t="s">
        <v>1442</v>
      </c>
      <c r="R23" s="130" t="s">
        <v>1442</v>
      </c>
      <c r="S23" s="128" t="s">
        <v>1442</v>
      </c>
      <c r="T23" s="127" t="s">
        <v>1442</v>
      </c>
      <c r="U23" s="128" t="s">
        <v>1442</v>
      </c>
      <c r="V23" s="106" t="s">
        <v>1441</v>
      </c>
      <c r="W23" s="118"/>
      <c r="X23" s="118"/>
      <c r="Y23" s="119"/>
      <c r="Z23" s="120"/>
      <c r="AA23" s="121"/>
      <c r="AB23" s="122"/>
      <c r="AC23" s="121"/>
      <c r="AD23" s="121"/>
      <c r="AE23" s="121"/>
      <c r="AF23" s="121"/>
      <c r="AG23" s="122"/>
      <c r="AH23" s="121"/>
      <c r="AI23" s="123"/>
    </row>
    <row r="24" spans="1:35" s="112" customFormat="1" ht="24.95" customHeight="1" x14ac:dyDescent="0.2">
      <c r="A24" s="93">
        <f t="shared" si="0"/>
        <v>16</v>
      </c>
      <c r="B24" s="94" t="s">
        <v>562</v>
      </c>
      <c r="C24" s="95" t="s">
        <v>829</v>
      </c>
      <c r="D24" s="96" t="s">
        <v>1108</v>
      </c>
      <c r="E24" s="113" t="s">
        <v>1369</v>
      </c>
      <c r="F24" s="98">
        <v>3</v>
      </c>
      <c r="G24" s="99">
        <v>41746</v>
      </c>
      <c r="H24" s="99"/>
      <c r="I24" s="72"/>
      <c r="J24" s="99" t="s">
        <v>1440</v>
      </c>
      <c r="K24" s="99">
        <v>41730</v>
      </c>
      <c r="L24" s="131" t="s">
        <v>1439</v>
      </c>
      <c r="M24" s="99">
        <v>41738</v>
      </c>
      <c r="N24" s="114"/>
      <c r="O24" s="104"/>
      <c r="P24" s="132"/>
      <c r="Q24" s="116" t="s">
        <v>1446</v>
      </c>
      <c r="R24" s="117">
        <v>41742</v>
      </c>
      <c r="S24" s="97" t="s">
        <v>1492</v>
      </c>
      <c r="T24" s="104">
        <v>41795</v>
      </c>
      <c r="U24" s="105" t="s">
        <v>1465</v>
      </c>
      <c r="V24" s="106"/>
      <c r="W24" s="118"/>
      <c r="X24" s="118"/>
      <c r="Y24" s="119"/>
      <c r="Z24" s="120"/>
      <c r="AA24" s="121"/>
      <c r="AB24" s="122"/>
      <c r="AC24" s="121"/>
      <c r="AD24" s="121"/>
      <c r="AE24" s="121"/>
      <c r="AF24" s="121"/>
      <c r="AG24" s="122"/>
      <c r="AH24" s="121"/>
      <c r="AI24" s="123"/>
    </row>
    <row r="25" spans="1:35" s="112" customFormat="1" ht="24.95" customHeight="1" x14ac:dyDescent="0.2">
      <c r="A25" s="93">
        <f t="shared" si="0"/>
        <v>17</v>
      </c>
      <c r="B25" s="94" t="s">
        <v>563</v>
      </c>
      <c r="C25" s="95" t="s">
        <v>830</v>
      </c>
      <c r="D25" s="96" t="s">
        <v>1109</v>
      </c>
      <c r="E25" s="113" t="s">
        <v>1369</v>
      </c>
      <c r="F25" s="98">
        <v>3</v>
      </c>
      <c r="G25" s="99">
        <v>41746</v>
      </c>
      <c r="H25" s="99"/>
      <c r="I25" s="72"/>
      <c r="J25" s="99" t="s">
        <v>1440</v>
      </c>
      <c r="K25" s="99">
        <v>41730</v>
      </c>
      <c r="L25" s="131" t="s">
        <v>1439</v>
      </c>
      <c r="M25" s="99">
        <v>41738</v>
      </c>
      <c r="N25" s="114"/>
      <c r="O25" s="104"/>
      <c r="P25" s="132"/>
      <c r="Q25" s="116" t="s">
        <v>1446</v>
      </c>
      <c r="R25" s="117">
        <v>41742</v>
      </c>
      <c r="S25" s="97" t="s">
        <v>1493</v>
      </c>
      <c r="T25" s="104">
        <v>41795</v>
      </c>
      <c r="U25" s="105" t="s">
        <v>1465</v>
      </c>
      <c r="V25" s="106"/>
      <c r="W25" s="118"/>
      <c r="X25" s="118"/>
      <c r="Y25" s="119"/>
      <c r="Z25" s="120"/>
      <c r="AA25" s="121"/>
      <c r="AB25" s="122"/>
      <c r="AC25" s="121"/>
      <c r="AD25" s="121"/>
      <c r="AE25" s="121"/>
      <c r="AF25" s="121"/>
      <c r="AG25" s="122"/>
      <c r="AH25" s="121"/>
      <c r="AI25" s="123"/>
    </row>
    <row r="26" spans="1:35" s="112" customFormat="1" ht="24.95" customHeight="1" x14ac:dyDescent="0.2">
      <c r="A26" s="93">
        <f t="shared" si="0"/>
        <v>18</v>
      </c>
      <c r="B26" s="94" t="s">
        <v>564</v>
      </c>
      <c r="C26" s="95" t="s">
        <v>831</v>
      </c>
      <c r="D26" s="96" t="s">
        <v>1110</v>
      </c>
      <c r="E26" s="124" t="s">
        <v>1441</v>
      </c>
      <c r="F26" s="98">
        <v>3</v>
      </c>
      <c r="G26" s="99">
        <v>41746</v>
      </c>
      <c r="H26" s="99"/>
      <c r="I26" s="72"/>
      <c r="J26" s="125" t="s">
        <v>1442</v>
      </c>
      <c r="K26" s="125" t="s">
        <v>1442</v>
      </c>
      <c r="L26" s="126" t="s">
        <v>1442</v>
      </c>
      <c r="M26" s="127" t="s">
        <v>1442</v>
      </c>
      <c r="N26" s="128" t="s">
        <v>1442</v>
      </c>
      <c r="O26" s="127" t="s">
        <v>1442</v>
      </c>
      <c r="P26" s="129" t="s">
        <v>1442</v>
      </c>
      <c r="Q26" s="126" t="s">
        <v>1442</v>
      </c>
      <c r="R26" s="130" t="s">
        <v>1442</v>
      </c>
      <c r="S26" s="128" t="s">
        <v>1442</v>
      </c>
      <c r="T26" s="127" t="s">
        <v>1442</v>
      </c>
      <c r="U26" s="128" t="s">
        <v>1442</v>
      </c>
      <c r="V26" s="106" t="s">
        <v>1441</v>
      </c>
      <c r="W26" s="118"/>
      <c r="X26" s="118"/>
      <c r="Y26" s="119"/>
      <c r="Z26" s="120"/>
      <c r="AA26" s="121"/>
      <c r="AB26" s="122"/>
      <c r="AC26" s="121"/>
      <c r="AD26" s="121"/>
      <c r="AE26" s="121"/>
      <c r="AF26" s="121"/>
      <c r="AG26" s="122"/>
      <c r="AH26" s="121"/>
      <c r="AI26" s="123"/>
    </row>
    <row r="27" spans="1:35" s="112" customFormat="1" ht="24.95" customHeight="1" x14ac:dyDescent="0.2">
      <c r="A27" s="93">
        <f t="shared" si="0"/>
        <v>19</v>
      </c>
      <c r="B27" s="94" t="s">
        <v>565</v>
      </c>
      <c r="C27" s="95" t="s">
        <v>832</v>
      </c>
      <c r="D27" s="96" t="s">
        <v>1111</v>
      </c>
      <c r="E27" s="113" t="s">
        <v>1369</v>
      </c>
      <c r="F27" s="98">
        <v>3</v>
      </c>
      <c r="G27" s="99">
        <v>41746</v>
      </c>
      <c r="H27" s="99"/>
      <c r="I27" s="72"/>
      <c r="J27" s="99" t="s">
        <v>1440</v>
      </c>
      <c r="K27" s="99">
        <v>41730</v>
      </c>
      <c r="L27" s="131" t="s">
        <v>1439</v>
      </c>
      <c r="M27" s="99">
        <v>41738</v>
      </c>
      <c r="N27" s="114"/>
      <c r="O27" s="104"/>
      <c r="P27" s="132"/>
      <c r="Q27" s="116" t="s">
        <v>1446</v>
      </c>
      <c r="R27" s="117">
        <v>41742</v>
      </c>
      <c r="S27" s="97" t="s">
        <v>1513</v>
      </c>
      <c r="T27" s="104">
        <v>41795</v>
      </c>
      <c r="U27" s="105" t="s">
        <v>1465</v>
      </c>
      <c r="V27" s="106"/>
      <c r="W27" s="118"/>
      <c r="X27" s="118"/>
      <c r="Y27" s="119"/>
      <c r="Z27" s="120"/>
      <c r="AA27" s="121"/>
      <c r="AB27" s="122"/>
      <c r="AC27" s="121"/>
      <c r="AD27" s="121"/>
      <c r="AE27" s="121"/>
      <c r="AF27" s="121"/>
      <c r="AG27" s="122"/>
      <c r="AH27" s="121"/>
      <c r="AI27" s="123"/>
    </row>
    <row r="28" spans="1:35" s="112" customFormat="1" ht="24.95" customHeight="1" x14ac:dyDescent="0.2">
      <c r="A28" s="93">
        <f t="shared" si="0"/>
        <v>20</v>
      </c>
      <c r="B28" s="94" t="s">
        <v>566</v>
      </c>
      <c r="C28" s="95" t="s">
        <v>833</v>
      </c>
      <c r="D28" s="96" t="s">
        <v>1112</v>
      </c>
      <c r="E28" s="124" t="s">
        <v>1441</v>
      </c>
      <c r="F28" s="98">
        <v>3</v>
      </c>
      <c r="G28" s="99">
        <v>41746</v>
      </c>
      <c r="H28" s="99"/>
      <c r="I28" s="72"/>
      <c r="J28" s="125" t="s">
        <v>1442</v>
      </c>
      <c r="K28" s="125" t="s">
        <v>1442</v>
      </c>
      <c r="L28" s="126" t="s">
        <v>1442</v>
      </c>
      <c r="M28" s="127" t="s">
        <v>1442</v>
      </c>
      <c r="N28" s="128" t="s">
        <v>1442</v>
      </c>
      <c r="O28" s="127" t="s">
        <v>1442</v>
      </c>
      <c r="P28" s="129" t="s">
        <v>1442</v>
      </c>
      <c r="Q28" s="126" t="s">
        <v>1442</v>
      </c>
      <c r="R28" s="130" t="s">
        <v>1442</v>
      </c>
      <c r="S28" s="128" t="s">
        <v>1442</v>
      </c>
      <c r="T28" s="127" t="s">
        <v>1442</v>
      </c>
      <c r="U28" s="128" t="s">
        <v>1442</v>
      </c>
      <c r="V28" s="106" t="s">
        <v>1441</v>
      </c>
      <c r="W28" s="118"/>
      <c r="X28" s="118"/>
      <c r="Y28" s="119"/>
      <c r="Z28" s="120"/>
      <c r="AA28" s="121"/>
      <c r="AB28" s="122"/>
      <c r="AC28" s="121"/>
      <c r="AD28" s="121"/>
      <c r="AE28" s="121"/>
      <c r="AF28" s="121"/>
      <c r="AG28" s="122"/>
      <c r="AH28" s="121"/>
      <c r="AI28" s="123"/>
    </row>
    <row r="29" spans="1:35" s="112" customFormat="1" ht="24.95" customHeight="1" x14ac:dyDescent="0.2">
      <c r="A29" s="93">
        <f t="shared" si="0"/>
        <v>21</v>
      </c>
      <c r="B29" s="94" t="s">
        <v>567</v>
      </c>
      <c r="C29" s="95" t="s">
        <v>834</v>
      </c>
      <c r="D29" s="96" t="s">
        <v>1113</v>
      </c>
      <c r="E29" s="113" t="s">
        <v>1369</v>
      </c>
      <c r="F29" s="98">
        <v>3</v>
      </c>
      <c r="G29" s="99">
        <v>41752</v>
      </c>
      <c r="H29" s="99"/>
      <c r="I29" s="72"/>
      <c r="J29" s="99" t="s">
        <v>1440</v>
      </c>
      <c r="K29" s="99">
        <v>41730</v>
      </c>
      <c r="L29" s="131" t="s">
        <v>1439</v>
      </c>
      <c r="M29" s="99">
        <v>41738</v>
      </c>
      <c r="N29" s="114"/>
      <c r="O29" s="104"/>
      <c r="P29" s="132"/>
      <c r="Q29" s="116" t="s">
        <v>1446</v>
      </c>
      <c r="R29" s="117">
        <v>41742</v>
      </c>
      <c r="S29" s="97" t="s">
        <v>1494</v>
      </c>
      <c r="T29" s="104">
        <v>41795</v>
      </c>
      <c r="U29" s="105" t="s">
        <v>1465</v>
      </c>
      <c r="V29" s="106"/>
      <c r="W29" s="118"/>
      <c r="X29" s="118"/>
      <c r="Y29" s="119"/>
      <c r="Z29" s="120"/>
      <c r="AA29" s="121"/>
      <c r="AB29" s="122"/>
      <c r="AC29" s="121"/>
      <c r="AD29" s="121"/>
      <c r="AE29" s="121"/>
      <c r="AF29" s="121"/>
      <c r="AG29" s="122"/>
      <c r="AH29" s="121"/>
      <c r="AI29" s="123"/>
    </row>
    <row r="30" spans="1:35" s="112" customFormat="1" ht="24.95" customHeight="1" x14ac:dyDescent="0.2">
      <c r="A30" s="93">
        <f t="shared" si="0"/>
        <v>22</v>
      </c>
      <c r="B30" s="94" t="s">
        <v>568</v>
      </c>
      <c r="C30" s="95" t="s">
        <v>835</v>
      </c>
      <c r="D30" s="96" t="s">
        <v>1114</v>
      </c>
      <c r="E30" s="113" t="s">
        <v>1369</v>
      </c>
      <c r="F30" s="98">
        <v>3</v>
      </c>
      <c r="G30" s="99">
        <v>41752</v>
      </c>
      <c r="H30" s="99"/>
      <c r="I30" s="72"/>
      <c r="J30" s="99" t="s">
        <v>1440</v>
      </c>
      <c r="K30" s="99">
        <v>41730</v>
      </c>
      <c r="L30" s="131" t="s">
        <v>1439</v>
      </c>
      <c r="M30" s="99">
        <v>41738</v>
      </c>
      <c r="N30" s="114"/>
      <c r="O30" s="104"/>
      <c r="P30" s="132"/>
      <c r="Q30" s="116" t="s">
        <v>1446</v>
      </c>
      <c r="R30" s="117">
        <v>41742</v>
      </c>
      <c r="S30" s="97" t="s">
        <v>1495</v>
      </c>
      <c r="T30" s="104">
        <v>41795</v>
      </c>
      <c r="U30" s="105" t="s">
        <v>1465</v>
      </c>
      <c r="V30" s="106"/>
      <c r="W30" s="118"/>
      <c r="X30" s="118"/>
      <c r="Y30" s="119"/>
      <c r="Z30" s="120"/>
      <c r="AA30" s="121"/>
      <c r="AB30" s="122"/>
      <c r="AC30" s="121"/>
      <c r="AD30" s="121"/>
      <c r="AE30" s="121"/>
      <c r="AF30" s="121"/>
      <c r="AG30" s="122"/>
      <c r="AH30" s="121"/>
      <c r="AI30" s="123"/>
    </row>
    <row r="31" spans="1:35" s="112" customFormat="1" ht="24.95" customHeight="1" x14ac:dyDescent="0.2">
      <c r="A31" s="93">
        <f t="shared" si="0"/>
        <v>23</v>
      </c>
      <c r="B31" s="94" t="s">
        <v>569</v>
      </c>
      <c r="C31" s="95" t="s">
        <v>836</v>
      </c>
      <c r="D31" s="96" t="s">
        <v>1115</v>
      </c>
      <c r="E31" s="124" t="s">
        <v>1441</v>
      </c>
      <c r="F31" s="98">
        <v>3</v>
      </c>
      <c r="G31" s="99">
        <v>41752</v>
      </c>
      <c r="H31" s="99"/>
      <c r="I31" s="72"/>
      <c r="J31" s="125" t="s">
        <v>1442</v>
      </c>
      <c r="K31" s="125" t="s">
        <v>1442</v>
      </c>
      <c r="L31" s="126" t="s">
        <v>1442</v>
      </c>
      <c r="M31" s="127" t="s">
        <v>1442</v>
      </c>
      <c r="N31" s="128" t="s">
        <v>1442</v>
      </c>
      <c r="O31" s="127" t="s">
        <v>1442</v>
      </c>
      <c r="P31" s="129" t="s">
        <v>1442</v>
      </c>
      <c r="Q31" s="126" t="s">
        <v>1442</v>
      </c>
      <c r="R31" s="130" t="s">
        <v>1442</v>
      </c>
      <c r="S31" s="128" t="s">
        <v>1442</v>
      </c>
      <c r="T31" s="127" t="s">
        <v>1442</v>
      </c>
      <c r="U31" s="128" t="s">
        <v>1442</v>
      </c>
      <c r="V31" s="106" t="s">
        <v>1441</v>
      </c>
      <c r="W31" s="118"/>
      <c r="X31" s="118"/>
      <c r="Y31" s="119"/>
      <c r="Z31" s="120"/>
      <c r="AA31" s="121"/>
      <c r="AB31" s="122"/>
      <c r="AC31" s="121"/>
      <c r="AD31" s="121"/>
      <c r="AE31" s="121"/>
      <c r="AF31" s="121"/>
      <c r="AG31" s="122"/>
      <c r="AH31" s="121"/>
      <c r="AI31" s="123"/>
    </row>
    <row r="32" spans="1:35" s="112" customFormat="1" ht="24.95" customHeight="1" x14ac:dyDescent="0.2">
      <c r="A32" s="93">
        <f t="shared" si="0"/>
        <v>24</v>
      </c>
      <c r="B32" s="94" t="s">
        <v>570</v>
      </c>
      <c r="C32" s="95" t="s">
        <v>837</v>
      </c>
      <c r="D32" s="96" t="s">
        <v>1116</v>
      </c>
      <c r="E32" s="113" t="s">
        <v>1369</v>
      </c>
      <c r="F32" s="98">
        <v>3</v>
      </c>
      <c r="G32" s="99">
        <v>41752</v>
      </c>
      <c r="H32" s="99"/>
      <c r="I32" s="72"/>
      <c r="J32" s="99" t="s">
        <v>1440</v>
      </c>
      <c r="K32" s="99">
        <v>41730</v>
      </c>
      <c r="L32" s="131" t="s">
        <v>1439</v>
      </c>
      <c r="M32" s="99">
        <v>41738</v>
      </c>
      <c r="N32" s="114"/>
      <c r="O32" s="104"/>
      <c r="P32" s="132"/>
      <c r="Q32" s="116" t="s">
        <v>1446</v>
      </c>
      <c r="R32" s="117">
        <v>41742</v>
      </c>
      <c r="S32" s="97" t="s">
        <v>1514</v>
      </c>
      <c r="T32" s="104">
        <v>41795</v>
      </c>
      <c r="U32" s="105" t="s">
        <v>1465</v>
      </c>
      <c r="V32" s="106"/>
      <c r="W32" s="118"/>
      <c r="X32" s="118"/>
      <c r="Y32" s="119"/>
      <c r="Z32" s="120"/>
      <c r="AA32" s="121"/>
      <c r="AB32" s="122"/>
      <c r="AC32" s="121"/>
      <c r="AD32" s="121"/>
      <c r="AE32" s="121"/>
      <c r="AF32" s="121"/>
      <c r="AG32" s="122"/>
      <c r="AH32" s="121"/>
      <c r="AI32" s="123"/>
    </row>
    <row r="33" spans="1:35" s="112" customFormat="1" ht="24.95" customHeight="1" x14ac:dyDescent="0.2">
      <c r="A33" s="93">
        <f t="shared" si="0"/>
        <v>25</v>
      </c>
      <c r="B33" s="94" t="s">
        <v>571</v>
      </c>
      <c r="C33" s="95" t="s">
        <v>838</v>
      </c>
      <c r="D33" s="96" t="s">
        <v>1117</v>
      </c>
      <c r="E33" s="124" t="s">
        <v>1441</v>
      </c>
      <c r="F33" s="98">
        <v>3</v>
      </c>
      <c r="G33" s="99">
        <v>41752</v>
      </c>
      <c r="H33" s="99"/>
      <c r="I33" s="72"/>
      <c r="J33" s="125" t="s">
        <v>1442</v>
      </c>
      <c r="K33" s="125" t="s">
        <v>1442</v>
      </c>
      <c r="L33" s="126" t="s">
        <v>1442</v>
      </c>
      <c r="M33" s="127" t="s">
        <v>1442</v>
      </c>
      <c r="N33" s="128" t="s">
        <v>1442</v>
      </c>
      <c r="O33" s="127" t="s">
        <v>1442</v>
      </c>
      <c r="P33" s="129" t="s">
        <v>1442</v>
      </c>
      <c r="Q33" s="126" t="s">
        <v>1442</v>
      </c>
      <c r="R33" s="130" t="s">
        <v>1442</v>
      </c>
      <c r="S33" s="128" t="s">
        <v>1442</v>
      </c>
      <c r="T33" s="127" t="s">
        <v>1442</v>
      </c>
      <c r="U33" s="128" t="s">
        <v>1442</v>
      </c>
      <c r="V33" s="106" t="s">
        <v>1441</v>
      </c>
      <c r="W33" s="118"/>
      <c r="X33" s="118"/>
      <c r="Y33" s="119"/>
      <c r="Z33" s="120"/>
      <c r="AA33" s="121"/>
      <c r="AB33" s="122"/>
      <c r="AC33" s="121"/>
      <c r="AD33" s="121"/>
      <c r="AE33" s="121"/>
      <c r="AF33" s="121"/>
      <c r="AG33" s="122"/>
      <c r="AH33" s="121"/>
      <c r="AI33" s="123"/>
    </row>
    <row r="34" spans="1:35" s="112" customFormat="1" ht="24.95" customHeight="1" x14ac:dyDescent="0.2">
      <c r="A34" s="93">
        <f t="shared" si="0"/>
        <v>26</v>
      </c>
      <c r="B34" s="94" t="s">
        <v>572</v>
      </c>
      <c r="C34" s="95" t="s">
        <v>839</v>
      </c>
      <c r="D34" s="96" t="s">
        <v>1118</v>
      </c>
      <c r="E34" s="113" t="s">
        <v>1369</v>
      </c>
      <c r="F34" s="98">
        <v>3</v>
      </c>
      <c r="G34" s="99">
        <v>41758</v>
      </c>
      <c r="H34" s="99"/>
      <c r="I34" s="72"/>
      <c r="J34" s="99" t="s">
        <v>1440</v>
      </c>
      <c r="K34" s="99">
        <v>41730</v>
      </c>
      <c r="L34" s="131" t="s">
        <v>1439</v>
      </c>
      <c r="M34" s="99">
        <v>41738</v>
      </c>
      <c r="N34" s="114"/>
      <c r="O34" s="104"/>
      <c r="P34" s="132"/>
      <c r="Q34" s="116" t="s">
        <v>1446</v>
      </c>
      <c r="R34" s="117">
        <v>41742</v>
      </c>
      <c r="S34" s="97" t="s">
        <v>1496</v>
      </c>
      <c r="T34" s="104">
        <v>41795</v>
      </c>
      <c r="U34" s="105" t="s">
        <v>1465</v>
      </c>
      <c r="V34" s="106"/>
      <c r="W34" s="118"/>
      <c r="X34" s="118"/>
      <c r="Y34" s="119"/>
      <c r="Z34" s="120"/>
      <c r="AA34" s="121"/>
      <c r="AB34" s="122"/>
      <c r="AC34" s="121"/>
      <c r="AD34" s="121"/>
      <c r="AE34" s="121"/>
      <c r="AF34" s="121"/>
      <c r="AG34" s="122"/>
      <c r="AH34" s="121"/>
      <c r="AI34" s="123"/>
    </row>
    <row r="35" spans="1:35" s="112" customFormat="1" ht="24.95" customHeight="1" x14ac:dyDescent="0.2">
      <c r="A35" s="93">
        <f t="shared" si="0"/>
        <v>27</v>
      </c>
      <c r="B35" s="94" t="s">
        <v>573</v>
      </c>
      <c r="C35" s="95" t="s">
        <v>840</v>
      </c>
      <c r="D35" s="96" t="s">
        <v>1119</v>
      </c>
      <c r="E35" s="113" t="s">
        <v>1369</v>
      </c>
      <c r="F35" s="98">
        <v>3</v>
      </c>
      <c r="G35" s="99">
        <v>41758</v>
      </c>
      <c r="H35" s="99"/>
      <c r="I35" s="72"/>
      <c r="J35" s="99" t="s">
        <v>1440</v>
      </c>
      <c r="K35" s="99">
        <v>41730</v>
      </c>
      <c r="L35" s="131" t="s">
        <v>1439</v>
      </c>
      <c r="M35" s="99">
        <v>41738</v>
      </c>
      <c r="N35" s="114"/>
      <c r="O35" s="104"/>
      <c r="P35" s="132"/>
      <c r="Q35" s="116" t="s">
        <v>1446</v>
      </c>
      <c r="R35" s="117">
        <v>41742</v>
      </c>
      <c r="S35" s="97" t="s">
        <v>1497</v>
      </c>
      <c r="T35" s="104">
        <v>41795</v>
      </c>
      <c r="U35" s="105" t="s">
        <v>1465</v>
      </c>
      <c r="V35" s="106"/>
      <c r="W35" s="118"/>
      <c r="X35" s="118"/>
      <c r="Y35" s="119"/>
      <c r="Z35" s="120"/>
      <c r="AA35" s="121"/>
      <c r="AB35" s="122"/>
      <c r="AC35" s="121"/>
      <c r="AD35" s="121"/>
      <c r="AE35" s="121"/>
      <c r="AF35" s="121"/>
      <c r="AG35" s="122"/>
      <c r="AH35" s="121"/>
      <c r="AI35" s="123"/>
    </row>
    <row r="36" spans="1:35" s="112" customFormat="1" ht="24.95" customHeight="1" x14ac:dyDescent="0.2">
      <c r="A36" s="93">
        <f t="shared" si="0"/>
        <v>28</v>
      </c>
      <c r="B36" s="94" t="s">
        <v>574</v>
      </c>
      <c r="C36" s="95" t="s">
        <v>841</v>
      </c>
      <c r="D36" s="96" t="s">
        <v>1120</v>
      </c>
      <c r="E36" s="124" t="s">
        <v>1441</v>
      </c>
      <c r="F36" s="98">
        <v>3</v>
      </c>
      <c r="G36" s="99">
        <v>41758</v>
      </c>
      <c r="H36" s="99"/>
      <c r="I36" s="72"/>
      <c r="J36" s="125" t="s">
        <v>1442</v>
      </c>
      <c r="K36" s="125" t="s">
        <v>1442</v>
      </c>
      <c r="L36" s="126" t="s">
        <v>1442</v>
      </c>
      <c r="M36" s="127" t="s">
        <v>1442</v>
      </c>
      <c r="N36" s="128" t="s">
        <v>1442</v>
      </c>
      <c r="O36" s="127" t="s">
        <v>1442</v>
      </c>
      <c r="P36" s="129" t="s">
        <v>1442</v>
      </c>
      <c r="Q36" s="126" t="s">
        <v>1442</v>
      </c>
      <c r="R36" s="130" t="s">
        <v>1442</v>
      </c>
      <c r="S36" s="128" t="s">
        <v>1442</v>
      </c>
      <c r="T36" s="127" t="s">
        <v>1442</v>
      </c>
      <c r="U36" s="128" t="s">
        <v>1442</v>
      </c>
      <c r="V36" s="106" t="s">
        <v>1441</v>
      </c>
      <c r="W36" s="118"/>
      <c r="X36" s="118"/>
      <c r="Y36" s="119"/>
      <c r="Z36" s="120"/>
      <c r="AA36" s="121"/>
      <c r="AB36" s="122"/>
      <c r="AC36" s="121"/>
      <c r="AD36" s="121"/>
      <c r="AE36" s="121"/>
      <c r="AF36" s="121"/>
      <c r="AG36" s="122"/>
      <c r="AH36" s="121"/>
      <c r="AI36" s="123"/>
    </row>
    <row r="37" spans="1:35" s="112" customFormat="1" ht="24.95" customHeight="1" x14ac:dyDescent="0.2">
      <c r="A37" s="93">
        <f t="shared" si="0"/>
        <v>29</v>
      </c>
      <c r="B37" s="94" t="s">
        <v>575</v>
      </c>
      <c r="C37" s="95" t="s">
        <v>842</v>
      </c>
      <c r="D37" s="96" t="s">
        <v>1121</v>
      </c>
      <c r="E37" s="113" t="s">
        <v>1369</v>
      </c>
      <c r="F37" s="98">
        <v>3</v>
      </c>
      <c r="G37" s="99">
        <v>41758</v>
      </c>
      <c r="H37" s="99"/>
      <c r="I37" s="72"/>
      <c r="J37" s="99" t="s">
        <v>1440</v>
      </c>
      <c r="K37" s="99">
        <v>41730</v>
      </c>
      <c r="L37" s="131" t="s">
        <v>1439</v>
      </c>
      <c r="M37" s="99">
        <v>41738</v>
      </c>
      <c r="N37" s="114"/>
      <c r="O37" s="104"/>
      <c r="P37" s="132"/>
      <c r="Q37" s="116" t="s">
        <v>1446</v>
      </c>
      <c r="R37" s="117">
        <v>41742</v>
      </c>
      <c r="S37" s="133" t="s">
        <v>1515</v>
      </c>
      <c r="T37" s="104">
        <v>41795</v>
      </c>
      <c r="U37" s="105" t="s">
        <v>1465</v>
      </c>
      <c r="V37" s="106"/>
      <c r="W37" s="118"/>
      <c r="X37" s="118"/>
      <c r="Y37" s="119"/>
      <c r="Z37" s="120"/>
      <c r="AA37" s="121"/>
      <c r="AB37" s="122"/>
      <c r="AC37" s="121"/>
      <c r="AD37" s="121"/>
      <c r="AE37" s="121"/>
      <c r="AF37" s="121"/>
      <c r="AG37" s="122"/>
      <c r="AH37" s="121"/>
      <c r="AI37" s="123"/>
    </row>
    <row r="38" spans="1:35" s="112" customFormat="1" ht="24.95" customHeight="1" x14ac:dyDescent="0.2">
      <c r="A38" s="93">
        <f t="shared" si="0"/>
        <v>30</v>
      </c>
      <c r="B38" s="94" t="s">
        <v>576</v>
      </c>
      <c r="C38" s="95" t="s">
        <v>843</v>
      </c>
      <c r="D38" s="96" t="s">
        <v>1122</v>
      </c>
      <c r="E38" s="124" t="s">
        <v>1441</v>
      </c>
      <c r="F38" s="98">
        <v>3</v>
      </c>
      <c r="G38" s="99">
        <v>41758</v>
      </c>
      <c r="H38" s="99"/>
      <c r="I38" s="72"/>
      <c r="J38" s="125" t="s">
        <v>1442</v>
      </c>
      <c r="K38" s="125" t="s">
        <v>1442</v>
      </c>
      <c r="L38" s="126" t="s">
        <v>1442</v>
      </c>
      <c r="M38" s="127" t="s">
        <v>1442</v>
      </c>
      <c r="N38" s="128" t="s">
        <v>1442</v>
      </c>
      <c r="O38" s="127" t="s">
        <v>1442</v>
      </c>
      <c r="P38" s="129" t="s">
        <v>1442</v>
      </c>
      <c r="Q38" s="126" t="s">
        <v>1442</v>
      </c>
      <c r="R38" s="130" t="s">
        <v>1442</v>
      </c>
      <c r="S38" s="128" t="s">
        <v>1442</v>
      </c>
      <c r="T38" s="127" t="s">
        <v>1442</v>
      </c>
      <c r="U38" s="128" t="s">
        <v>1442</v>
      </c>
      <c r="V38" s="106" t="s">
        <v>1441</v>
      </c>
      <c r="W38" s="118"/>
      <c r="X38" s="118"/>
      <c r="Y38" s="119"/>
      <c r="Z38" s="120"/>
      <c r="AA38" s="121"/>
      <c r="AB38" s="122"/>
      <c r="AC38" s="121"/>
      <c r="AD38" s="121"/>
      <c r="AE38" s="121"/>
      <c r="AF38" s="121"/>
      <c r="AG38" s="122"/>
      <c r="AH38" s="121"/>
      <c r="AI38" s="123"/>
    </row>
    <row r="39" spans="1:35" s="112" customFormat="1" ht="24.95" customHeight="1" x14ac:dyDescent="0.2">
      <c r="A39" s="93">
        <f t="shared" si="0"/>
        <v>31</v>
      </c>
      <c r="B39" s="94" t="s">
        <v>577</v>
      </c>
      <c r="C39" s="95" t="s">
        <v>844</v>
      </c>
      <c r="D39" s="96" t="s">
        <v>1123</v>
      </c>
      <c r="E39" s="113" t="s">
        <v>1369</v>
      </c>
      <c r="F39" s="98">
        <v>3</v>
      </c>
      <c r="G39" s="99">
        <v>41821</v>
      </c>
      <c r="H39" s="99"/>
      <c r="I39" s="72"/>
      <c r="J39" s="99" t="s">
        <v>1440</v>
      </c>
      <c r="K39" s="99">
        <v>41730</v>
      </c>
      <c r="L39" s="131" t="s">
        <v>1439</v>
      </c>
      <c r="M39" s="99">
        <v>41738</v>
      </c>
      <c r="N39" s="114"/>
      <c r="O39" s="104"/>
      <c r="P39" s="132"/>
      <c r="Q39" s="116" t="s">
        <v>1446</v>
      </c>
      <c r="R39" s="117">
        <v>41742</v>
      </c>
      <c r="S39" s="97" t="s">
        <v>1498</v>
      </c>
      <c r="T39" s="104">
        <v>41795</v>
      </c>
      <c r="U39" s="105" t="s">
        <v>1465</v>
      </c>
      <c r="V39" s="106"/>
      <c r="W39" s="118"/>
      <c r="X39" s="118"/>
      <c r="Y39" s="119"/>
      <c r="Z39" s="120"/>
      <c r="AA39" s="121"/>
      <c r="AB39" s="122"/>
      <c r="AC39" s="121"/>
      <c r="AD39" s="121"/>
      <c r="AE39" s="121"/>
      <c r="AF39" s="121"/>
      <c r="AG39" s="122"/>
      <c r="AH39" s="121"/>
      <c r="AI39" s="123"/>
    </row>
    <row r="40" spans="1:35" s="112" customFormat="1" ht="24.95" customHeight="1" x14ac:dyDescent="0.2">
      <c r="A40" s="93">
        <f t="shared" si="0"/>
        <v>32</v>
      </c>
      <c r="B40" s="94" t="s">
        <v>578</v>
      </c>
      <c r="C40" s="95" t="s">
        <v>845</v>
      </c>
      <c r="D40" s="96" t="s">
        <v>1124</v>
      </c>
      <c r="E40" s="113" t="s">
        <v>1369</v>
      </c>
      <c r="F40" s="98">
        <v>3</v>
      </c>
      <c r="G40" s="99">
        <v>41821</v>
      </c>
      <c r="H40" s="99"/>
      <c r="I40" s="72"/>
      <c r="J40" s="99" t="s">
        <v>1440</v>
      </c>
      <c r="K40" s="99">
        <v>41730</v>
      </c>
      <c r="L40" s="131" t="s">
        <v>1439</v>
      </c>
      <c r="M40" s="99">
        <v>41738</v>
      </c>
      <c r="N40" s="114"/>
      <c r="O40" s="104"/>
      <c r="P40" s="132"/>
      <c r="Q40" s="116" t="s">
        <v>1446</v>
      </c>
      <c r="R40" s="117">
        <v>41742</v>
      </c>
      <c r="S40" s="97" t="s">
        <v>1499</v>
      </c>
      <c r="T40" s="104">
        <v>41795</v>
      </c>
      <c r="U40" s="105" t="s">
        <v>1465</v>
      </c>
      <c r="V40" s="106"/>
      <c r="W40" s="118"/>
      <c r="X40" s="118"/>
      <c r="Y40" s="119"/>
      <c r="Z40" s="120"/>
      <c r="AA40" s="121"/>
      <c r="AB40" s="122"/>
      <c r="AC40" s="121"/>
      <c r="AD40" s="121"/>
      <c r="AE40" s="121"/>
      <c r="AF40" s="121"/>
      <c r="AG40" s="122"/>
      <c r="AH40" s="121"/>
      <c r="AI40" s="123"/>
    </row>
    <row r="41" spans="1:35" s="112" customFormat="1" ht="24.95" customHeight="1" x14ac:dyDescent="0.2">
      <c r="A41" s="93">
        <f t="shared" si="0"/>
        <v>33</v>
      </c>
      <c r="B41" s="94" t="s">
        <v>579</v>
      </c>
      <c r="C41" s="95" t="s">
        <v>846</v>
      </c>
      <c r="D41" s="96" t="s">
        <v>1125</v>
      </c>
      <c r="E41" s="124" t="s">
        <v>1441</v>
      </c>
      <c r="F41" s="98">
        <v>3</v>
      </c>
      <c r="G41" s="99">
        <v>41821</v>
      </c>
      <c r="H41" s="99"/>
      <c r="I41" s="72"/>
      <c r="J41" s="125" t="s">
        <v>1442</v>
      </c>
      <c r="K41" s="125" t="s">
        <v>1442</v>
      </c>
      <c r="L41" s="126" t="s">
        <v>1442</v>
      </c>
      <c r="M41" s="127" t="s">
        <v>1442</v>
      </c>
      <c r="N41" s="128" t="s">
        <v>1442</v>
      </c>
      <c r="O41" s="127" t="s">
        <v>1442</v>
      </c>
      <c r="P41" s="129" t="s">
        <v>1442</v>
      </c>
      <c r="Q41" s="126" t="s">
        <v>1442</v>
      </c>
      <c r="R41" s="130" t="s">
        <v>1442</v>
      </c>
      <c r="S41" s="128" t="s">
        <v>1442</v>
      </c>
      <c r="T41" s="127" t="s">
        <v>1442</v>
      </c>
      <c r="U41" s="128" t="s">
        <v>1442</v>
      </c>
      <c r="V41" s="106" t="s">
        <v>1441</v>
      </c>
      <c r="W41" s="118"/>
      <c r="X41" s="118"/>
      <c r="Y41" s="119"/>
      <c r="Z41" s="120"/>
      <c r="AA41" s="121"/>
      <c r="AB41" s="122"/>
      <c r="AC41" s="121"/>
      <c r="AD41" s="121"/>
      <c r="AE41" s="121"/>
      <c r="AF41" s="121"/>
      <c r="AG41" s="122"/>
      <c r="AH41" s="121"/>
      <c r="AI41" s="123"/>
    </row>
    <row r="42" spans="1:35" s="112" customFormat="1" ht="24.95" customHeight="1" x14ac:dyDescent="0.2">
      <c r="A42" s="93">
        <f t="shared" si="0"/>
        <v>34</v>
      </c>
      <c r="B42" s="94" t="s">
        <v>580</v>
      </c>
      <c r="C42" s="95" t="s">
        <v>847</v>
      </c>
      <c r="D42" s="96" t="s">
        <v>1126</v>
      </c>
      <c r="E42" s="113" t="s">
        <v>1369</v>
      </c>
      <c r="F42" s="98">
        <v>3</v>
      </c>
      <c r="G42" s="99">
        <v>41821</v>
      </c>
      <c r="H42" s="99"/>
      <c r="I42" s="72"/>
      <c r="J42" s="99" t="s">
        <v>1440</v>
      </c>
      <c r="K42" s="99">
        <v>41730</v>
      </c>
      <c r="L42" s="131" t="s">
        <v>1439</v>
      </c>
      <c r="M42" s="99">
        <v>41738</v>
      </c>
      <c r="N42" s="114"/>
      <c r="O42" s="104"/>
      <c r="P42" s="132"/>
      <c r="Q42" s="116" t="s">
        <v>1446</v>
      </c>
      <c r="R42" s="117">
        <v>41742</v>
      </c>
      <c r="S42" s="97" t="s">
        <v>1516</v>
      </c>
      <c r="T42" s="104">
        <v>41795</v>
      </c>
      <c r="U42" s="105" t="s">
        <v>1465</v>
      </c>
      <c r="V42" s="106"/>
      <c r="W42" s="118"/>
      <c r="X42" s="118"/>
      <c r="Y42" s="119"/>
      <c r="Z42" s="120"/>
      <c r="AA42" s="121"/>
      <c r="AB42" s="122"/>
      <c r="AC42" s="121"/>
      <c r="AD42" s="121"/>
      <c r="AE42" s="121"/>
      <c r="AF42" s="121"/>
      <c r="AG42" s="122"/>
      <c r="AH42" s="121"/>
      <c r="AI42" s="123"/>
    </row>
    <row r="43" spans="1:35" s="112" customFormat="1" ht="24.95" customHeight="1" x14ac:dyDescent="0.2">
      <c r="A43" s="93">
        <f t="shared" si="0"/>
        <v>35</v>
      </c>
      <c r="B43" s="94" t="s">
        <v>581</v>
      </c>
      <c r="C43" s="95" t="s">
        <v>848</v>
      </c>
      <c r="D43" s="96" t="s">
        <v>1127</v>
      </c>
      <c r="E43" s="124" t="s">
        <v>1441</v>
      </c>
      <c r="F43" s="98">
        <v>3</v>
      </c>
      <c r="G43" s="99">
        <v>41821</v>
      </c>
      <c r="H43" s="99"/>
      <c r="I43" s="72"/>
      <c r="J43" s="125" t="s">
        <v>1442</v>
      </c>
      <c r="K43" s="125" t="s">
        <v>1442</v>
      </c>
      <c r="L43" s="126" t="s">
        <v>1442</v>
      </c>
      <c r="M43" s="127" t="s">
        <v>1442</v>
      </c>
      <c r="N43" s="128" t="s">
        <v>1442</v>
      </c>
      <c r="O43" s="127" t="s">
        <v>1442</v>
      </c>
      <c r="P43" s="129" t="s">
        <v>1442</v>
      </c>
      <c r="Q43" s="126" t="s">
        <v>1442</v>
      </c>
      <c r="R43" s="130" t="s">
        <v>1442</v>
      </c>
      <c r="S43" s="128" t="s">
        <v>1442</v>
      </c>
      <c r="T43" s="127" t="s">
        <v>1442</v>
      </c>
      <c r="U43" s="128" t="s">
        <v>1442</v>
      </c>
      <c r="V43" s="106" t="s">
        <v>1441</v>
      </c>
      <c r="W43" s="118"/>
      <c r="X43" s="118"/>
      <c r="Y43" s="119"/>
      <c r="Z43" s="120"/>
      <c r="AA43" s="121"/>
      <c r="AB43" s="122"/>
      <c r="AC43" s="121"/>
      <c r="AD43" s="121"/>
      <c r="AE43" s="121"/>
      <c r="AF43" s="121"/>
      <c r="AG43" s="122"/>
      <c r="AH43" s="121"/>
      <c r="AI43" s="123"/>
    </row>
    <row r="44" spans="1:35" s="112" customFormat="1" ht="24.95" customHeight="1" x14ac:dyDescent="0.2">
      <c r="A44" s="93">
        <f t="shared" si="0"/>
        <v>36</v>
      </c>
      <c r="B44" s="94" t="s">
        <v>582</v>
      </c>
      <c r="C44" s="95" t="s">
        <v>849</v>
      </c>
      <c r="D44" s="96" t="s">
        <v>1128</v>
      </c>
      <c r="E44" s="113" t="s">
        <v>1369</v>
      </c>
      <c r="F44" s="98">
        <v>3</v>
      </c>
      <c r="G44" s="99">
        <v>41807</v>
      </c>
      <c r="H44" s="99"/>
      <c r="I44" s="72"/>
      <c r="J44" s="99" t="s">
        <v>1440</v>
      </c>
      <c r="K44" s="99">
        <v>41730</v>
      </c>
      <c r="L44" s="131" t="s">
        <v>1439</v>
      </c>
      <c r="M44" s="99">
        <v>41738</v>
      </c>
      <c r="N44" s="114"/>
      <c r="O44" s="104"/>
      <c r="P44" s="132"/>
      <c r="Q44" s="116" t="s">
        <v>1446</v>
      </c>
      <c r="R44" s="117">
        <v>41742</v>
      </c>
      <c r="S44" s="97" t="s">
        <v>1500</v>
      </c>
      <c r="T44" s="104">
        <v>41795</v>
      </c>
      <c r="U44" s="105" t="s">
        <v>1465</v>
      </c>
      <c r="V44" s="106"/>
      <c r="W44" s="118"/>
      <c r="X44" s="118"/>
      <c r="Y44" s="119"/>
      <c r="Z44" s="120"/>
      <c r="AA44" s="121"/>
      <c r="AB44" s="122"/>
      <c r="AC44" s="121"/>
      <c r="AD44" s="121"/>
      <c r="AE44" s="121"/>
      <c r="AF44" s="121"/>
      <c r="AG44" s="122"/>
      <c r="AH44" s="121"/>
      <c r="AI44" s="123"/>
    </row>
    <row r="45" spans="1:35" s="112" customFormat="1" ht="24.95" customHeight="1" x14ac:dyDescent="0.2">
      <c r="A45" s="93">
        <f t="shared" si="0"/>
        <v>37</v>
      </c>
      <c r="B45" s="94" t="s">
        <v>583</v>
      </c>
      <c r="C45" s="95" t="s">
        <v>850</v>
      </c>
      <c r="D45" s="96" t="s">
        <v>1129</v>
      </c>
      <c r="E45" s="113" t="s">
        <v>1369</v>
      </c>
      <c r="F45" s="98">
        <v>3</v>
      </c>
      <c r="G45" s="99">
        <v>41807</v>
      </c>
      <c r="H45" s="99"/>
      <c r="I45" s="72"/>
      <c r="J45" s="99" t="s">
        <v>1440</v>
      </c>
      <c r="K45" s="99">
        <v>41730</v>
      </c>
      <c r="L45" s="131" t="s">
        <v>1439</v>
      </c>
      <c r="M45" s="99">
        <v>41738</v>
      </c>
      <c r="N45" s="114"/>
      <c r="O45" s="104"/>
      <c r="P45" s="132"/>
      <c r="Q45" s="116" t="s">
        <v>1446</v>
      </c>
      <c r="R45" s="117">
        <v>41742</v>
      </c>
      <c r="S45" s="97" t="s">
        <v>1501</v>
      </c>
      <c r="T45" s="104">
        <v>41795</v>
      </c>
      <c r="U45" s="105" t="s">
        <v>1465</v>
      </c>
      <c r="V45" s="106"/>
      <c r="W45" s="118"/>
      <c r="X45" s="118"/>
      <c r="Y45" s="119"/>
      <c r="Z45" s="120"/>
      <c r="AA45" s="121"/>
      <c r="AB45" s="122"/>
      <c r="AC45" s="121"/>
      <c r="AD45" s="121"/>
      <c r="AE45" s="121"/>
      <c r="AF45" s="121"/>
      <c r="AG45" s="122"/>
      <c r="AH45" s="121"/>
      <c r="AI45" s="123"/>
    </row>
    <row r="46" spans="1:35" s="112" customFormat="1" ht="24.95" customHeight="1" x14ac:dyDescent="0.2">
      <c r="A46" s="93">
        <f t="shared" si="0"/>
        <v>38</v>
      </c>
      <c r="B46" s="94" t="s">
        <v>584</v>
      </c>
      <c r="C46" s="95" t="s">
        <v>851</v>
      </c>
      <c r="D46" s="96" t="s">
        <v>1130</v>
      </c>
      <c r="E46" s="124" t="s">
        <v>1441</v>
      </c>
      <c r="F46" s="98">
        <v>3</v>
      </c>
      <c r="G46" s="99">
        <v>41807</v>
      </c>
      <c r="H46" s="99"/>
      <c r="I46" s="72"/>
      <c r="J46" s="125" t="s">
        <v>1442</v>
      </c>
      <c r="K46" s="125" t="s">
        <v>1442</v>
      </c>
      <c r="L46" s="126" t="s">
        <v>1442</v>
      </c>
      <c r="M46" s="127" t="s">
        <v>1442</v>
      </c>
      <c r="N46" s="128" t="s">
        <v>1442</v>
      </c>
      <c r="O46" s="127" t="s">
        <v>1442</v>
      </c>
      <c r="P46" s="129" t="s">
        <v>1442</v>
      </c>
      <c r="Q46" s="126" t="s">
        <v>1442</v>
      </c>
      <c r="R46" s="130" t="s">
        <v>1442</v>
      </c>
      <c r="S46" s="128" t="s">
        <v>1442</v>
      </c>
      <c r="T46" s="127" t="s">
        <v>1442</v>
      </c>
      <c r="U46" s="128" t="s">
        <v>1442</v>
      </c>
      <c r="V46" s="106" t="s">
        <v>1441</v>
      </c>
      <c r="W46" s="118"/>
      <c r="X46" s="118"/>
      <c r="Y46" s="119"/>
      <c r="Z46" s="120"/>
      <c r="AA46" s="121"/>
      <c r="AB46" s="122"/>
      <c r="AC46" s="121"/>
      <c r="AD46" s="121"/>
      <c r="AE46" s="121"/>
      <c r="AF46" s="121"/>
      <c r="AG46" s="122"/>
      <c r="AH46" s="121"/>
      <c r="AI46" s="123"/>
    </row>
    <row r="47" spans="1:35" s="112" customFormat="1" ht="24.95" customHeight="1" x14ac:dyDescent="0.2">
      <c r="A47" s="93">
        <f t="shared" si="0"/>
        <v>39</v>
      </c>
      <c r="B47" s="94" t="s">
        <v>585</v>
      </c>
      <c r="C47" s="95" t="s">
        <v>852</v>
      </c>
      <c r="D47" s="96" t="s">
        <v>1131</v>
      </c>
      <c r="E47" s="113" t="s">
        <v>1369</v>
      </c>
      <c r="F47" s="98">
        <v>3</v>
      </c>
      <c r="G47" s="99">
        <v>41807</v>
      </c>
      <c r="H47" s="99"/>
      <c r="I47" s="72"/>
      <c r="J47" s="99" t="s">
        <v>1440</v>
      </c>
      <c r="K47" s="99">
        <v>41730</v>
      </c>
      <c r="L47" s="131" t="s">
        <v>1439</v>
      </c>
      <c r="M47" s="99">
        <v>41738</v>
      </c>
      <c r="N47" s="114"/>
      <c r="O47" s="104"/>
      <c r="P47" s="132"/>
      <c r="Q47" s="116" t="s">
        <v>1446</v>
      </c>
      <c r="R47" s="117">
        <v>41742</v>
      </c>
      <c r="S47" s="97" t="s">
        <v>1517</v>
      </c>
      <c r="T47" s="104">
        <v>41795</v>
      </c>
      <c r="U47" s="105" t="s">
        <v>1465</v>
      </c>
      <c r="V47" s="106"/>
      <c r="W47" s="118"/>
      <c r="X47" s="118"/>
      <c r="Y47" s="119"/>
      <c r="Z47" s="120"/>
      <c r="AA47" s="121"/>
      <c r="AB47" s="122"/>
      <c r="AC47" s="121"/>
      <c r="AD47" s="121"/>
      <c r="AE47" s="121"/>
      <c r="AF47" s="121"/>
      <c r="AG47" s="122"/>
      <c r="AH47" s="121"/>
      <c r="AI47" s="123"/>
    </row>
    <row r="48" spans="1:35" s="112" customFormat="1" ht="24.95" customHeight="1" x14ac:dyDescent="0.2">
      <c r="A48" s="93">
        <f t="shared" si="0"/>
        <v>40</v>
      </c>
      <c r="B48" s="94" t="s">
        <v>586</v>
      </c>
      <c r="C48" s="95" t="s">
        <v>853</v>
      </c>
      <c r="D48" s="96" t="s">
        <v>1132</v>
      </c>
      <c r="E48" s="124" t="s">
        <v>1441</v>
      </c>
      <c r="F48" s="98">
        <v>3</v>
      </c>
      <c r="G48" s="99">
        <v>41807</v>
      </c>
      <c r="H48" s="99"/>
      <c r="I48" s="72"/>
      <c r="J48" s="125" t="s">
        <v>1442</v>
      </c>
      <c r="K48" s="125" t="s">
        <v>1442</v>
      </c>
      <c r="L48" s="126" t="s">
        <v>1442</v>
      </c>
      <c r="M48" s="127" t="s">
        <v>1442</v>
      </c>
      <c r="N48" s="128" t="s">
        <v>1442</v>
      </c>
      <c r="O48" s="127" t="s">
        <v>1442</v>
      </c>
      <c r="P48" s="129" t="s">
        <v>1442</v>
      </c>
      <c r="Q48" s="126" t="s">
        <v>1442</v>
      </c>
      <c r="R48" s="130" t="s">
        <v>1442</v>
      </c>
      <c r="S48" s="128" t="s">
        <v>1442</v>
      </c>
      <c r="T48" s="127" t="s">
        <v>1442</v>
      </c>
      <c r="U48" s="128" t="s">
        <v>1442</v>
      </c>
      <c r="V48" s="106" t="s">
        <v>1441</v>
      </c>
      <c r="W48" s="118"/>
      <c r="X48" s="118"/>
      <c r="Y48" s="119"/>
      <c r="Z48" s="120"/>
      <c r="AA48" s="121"/>
      <c r="AB48" s="122"/>
      <c r="AC48" s="121"/>
      <c r="AD48" s="121"/>
      <c r="AE48" s="121"/>
      <c r="AF48" s="121"/>
      <c r="AG48" s="122"/>
      <c r="AH48" s="121"/>
      <c r="AI48" s="123"/>
    </row>
    <row r="49" spans="1:35" s="112" customFormat="1" ht="24.95" customHeight="1" x14ac:dyDescent="0.2">
      <c r="A49" s="93">
        <f t="shared" si="0"/>
        <v>41</v>
      </c>
      <c r="B49" s="94" t="s">
        <v>587</v>
      </c>
      <c r="C49" s="95" t="s">
        <v>854</v>
      </c>
      <c r="D49" s="96" t="s">
        <v>1133</v>
      </c>
      <c r="E49" s="113" t="s">
        <v>1369</v>
      </c>
      <c r="F49" s="98">
        <v>3</v>
      </c>
      <c r="G49" s="99">
        <v>41814</v>
      </c>
      <c r="H49" s="99"/>
      <c r="I49" s="72"/>
      <c r="J49" s="99" t="s">
        <v>1440</v>
      </c>
      <c r="K49" s="99">
        <v>41730</v>
      </c>
      <c r="L49" s="131" t="s">
        <v>1439</v>
      </c>
      <c r="M49" s="99">
        <v>41738</v>
      </c>
      <c r="N49" s="114"/>
      <c r="O49" s="104"/>
      <c r="P49" s="132"/>
      <c r="Q49" s="116" t="s">
        <v>1446</v>
      </c>
      <c r="R49" s="117">
        <v>41742</v>
      </c>
      <c r="S49" s="97" t="s">
        <v>1502</v>
      </c>
      <c r="T49" s="104">
        <v>41795</v>
      </c>
      <c r="U49" s="105" t="s">
        <v>1465</v>
      </c>
      <c r="V49" s="106"/>
      <c r="W49" s="118"/>
      <c r="X49" s="118"/>
      <c r="Y49" s="119"/>
      <c r="Z49" s="120"/>
      <c r="AA49" s="121"/>
      <c r="AB49" s="122"/>
      <c r="AC49" s="121"/>
      <c r="AD49" s="121"/>
      <c r="AE49" s="121"/>
      <c r="AF49" s="121"/>
      <c r="AG49" s="122"/>
      <c r="AH49" s="121"/>
      <c r="AI49" s="123"/>
    </row>
    <row r="50" spans="1:35" s="112" customFormat="1" ht="24.95" customHeight="1" x14ac:dyDescent="0.2">
      <c r="A50" s="93">
        <f t="shared" si="0"/>
        <v>42</v>
      </c>
      <c r="B50" s="94" t="s">
        <v>588</v>
      </c>
      <c r="C50" s="95" t="s">
        <v>855</v>
      </c>
      <c r="D50" s="96" t="s">
        <v>1134</v>
      </c>
      <c r="E50" s="113" t="s">
        <v>1369</v>
      </c>
      <c r="F50" s="98">
        <v>3</v>
      </c>
      <c r="G50" s="99">
        <v>41814</v>
      </c>
      <c r="H50" s="99"/>
      <c r="I50" s="72"/>
      <c r="J50" s="99" t="s">
        <v>1440</v>
      </c>
      <c r="K50" s="99">
        <v>41730</v>
      </c>
      <c r="L50" s="131" t="s">
        <v>1439</v>
      </c>
      <c r="M50" s="99">
        <v>41738</v>
      </c>
      <c r="N50" s="114"/>
      <c r="O50" s="104"/>
      <c r="P50" s="132"/>
      <c r="Q50" s="116" t="s">
        <v>1446</v>
      </c>
      <c r="R50" s="117">
        <v>41742</v>
      </c>
      <c r="S50" s="97" t="s">
        <v>1503</v>
      </c>
      <c r="T50" s="104">
        <v>41795</v>
      </c>
      <c r="U50" s="105" t="s">
        <v>1465</v>
      </c>
      <c r="V50" s="106"/>
      <c r="W50" s="118"/>
      <c r="X50" s="118"/>
      <c r="Y50" s="119"/>
      <c r="Z50" s="120"/>
      <c r="AA50" s="121"/>
      <c r="AB50" s="122"/>
      <c r="AC50" s="121"/>
      <c r="AD50" s="121"/>
      <c r="AE50" s="121"/>
      <c r="AF50" s="121"/>
      <c r="AG50" s="122"/>
      <c r="AH50" s="121"/>
      <c r="AI50" s="123"/>
    </row>
    <row r="51" spans="1:35" s="112" customFormat="1" ht="24.95" customHeight="1" x14ac:dyDescent="0.2">
      <c r="A51" s="93">
        <f t="shared" si="0"/>
        <v>43</v>
      </c>
      <c r="B51" s="94" t="s">
        <v>589</v>
      </c>
      <c r="C51" s="95" t="s">
        <v>856</v>
      </c>
      <c r="D51" s="96" t="s">
        <v>1135</v>
      </c>
      <c r="E51" s="124" t="s">
        <v>1441</v>
      </c>
      <c r="F51" s="98">
        <v>3</v>
      </c>
      <c r="G51" s="99">
        <v>41814</v>
      </c>
      <c r="H51" s="99"/>
      <c r="I51" s="72"/>
      <c r="J51" s="125" t="s">
        <v>1442</v>
      </c>
      <c r="K51" s="125" t="s">
        <v>1442</v>
      </c>
      <c r="L51" s="126" t="s">
        <v>1442</v>
      </c>
      <c r="M51" s="127" t="s">
        <v>1442</v>
      </c>
      <c r="N51" s="128" t="s">
        <v>1442</v>
      </c>
      <c r="O51" s="127" t="s">
        <v>1442</v>
      </c>
      <c r="P51" s="129" t="s">
        <v>1442</v>
      </c>
      <c r="Q51" s="126" t="s">
        <v>1442</v>
      </c>
      <c r="R51" s="130" t="s">
        <v>1442</v>
      </c>
      <c r="S51" s="128" t="s">
        <v>1442</v>
      </c>
      <c r="T51" s="127" t="s">
        <v>1442</v>
      </c>
      <c r="U51" s="128" t="s">
        <v>1442</v>
      </c>
      <c r="V51" s="106" t="s">
        <v>1441</v>
      </c>
      <c r="W51" s="118"/>
      <c r="X51" s="118"/>
      <c r="Y51" s="119"/>
      <c r="Z51" s="120"/>
      <c r="AA51" s="121"/>
      <c r="AB51" s="122"/>
      <c r="AC51" s="121"/>
      <c r="AD51" s="121"/>
      <c r="AE51" s="121"/>
      <c r="AF51" s="121"/>
      <c r="AG51" s="122"/>
      <c r="AH51" s="121"/>
      <c r="AI51" s="123"/>
    </row>
    <row r="52" spans="1:35" s="112" customFormat="1" ht="24.95" customHeight="1" x14ac:dyDescent="0.2">
      <c r="A52" s="93">
        <f t="shared" si="0"/>
        <v>44</v>
      </c>
      <c r="B52" s="94" t="s">
        <v>590</v>
      </c>
      <c r="C52" s="95" t="s">
        <v>857</v>
      </c>
      <c r="D52" s="96" t="s">
        <v>1136</v>
      </c>
      <c r="E52" s="113" t="s">
        <v>1369</v>
      </c>
      <c r="F52" s="98">
        <v>3</v>
      </c>
      <c r="G52" s="99">
        <v>41814</v>
      </c>
      <c r="H52" s="99"/>
      <c r="I52" s="72"/>
      <c r="J52" s="99" t="s">
        <v>1440</v>
      </c>
      <c r="K52" s="99">
        <v>41730</v>
      </c>
      <c r="L52" s="131" t="s">
        <v>1439</v>
      </c>
      <c r="M52" s="99">
        <v>41738</v>
      </c>
      <c r="N52" s="114"/>
      <c r="O52" s="104"/>
      <c r="P52" s="132"/>
      <c r="Q52" s="116" t="s">
        <v>1446</v>
      </c>
      <c r="R52" s="117">
        <v>41742</v>
      </c>
      <c r="S52" s="97" t="s">
        <v>1518</v>
      </c>
      <c r="T52" s="104">
        <v>41795</v>
      </c>
      <c r="U52" s="105" t="s">
        <v>1465</v>
      </c>
      <c r="V52" s="106"/>
      <c r="W52" s="118"/>
      <c r="X52" s="118"/>
      <c r="Y52" s="119"/>
      <c r="Z52" s="120"/>
      <c r="AA52" s="121"/>
      <c r="AB52" s="122"/>
      <c r="AC52" s="121"/>
      <c r="AD52" s="121"/>
      <c r="AE52" s="121"/>
      <c r="AF52" s="121"/>
      <c r="AG52" s="122"/>
      <c r="AH52" s="121"/>
      <c r="AI52" s="123"/>
    </row>
    <row r="53" spans="1:35" s="112" customFormat="1" ht="24.95" customHeight="1" x14ac:dyDescent="0.2">
      <c r="A53" s="93">
        <f t="shared" si="0"/>
        <v>45</v>
      </c>
      <c r="B53" s="94" t="s">
        <v>591</v>
      </c>
      <c r="C53" s="95" t="s">
        <v>858</v>
      </c>
      <c r="D53" s="96" t="s">
        <v>1137</v>
      </c>
      <c r="E53" s="124" t="s">
        <v>1441</v>
      </c>
      <c r="F53" s="98">
        <v>3</v>
      </c>
      <c r="G53" s="99">
        <v>41814</v>
      </c>
      <c r="H53" s="99"/>
      <c r="I53" s="72"/>
      <c r="J53" s="125" t="s">
        <v>1442</v>
      </c>
      <c r="K53" s="125" t="s">
        <v>1442</v>
      </c>
      <c r="L53" s="126" t="s">
        <v>1442</v>
      </c>
      <c r="M53" s="127" t="s">
        <v>1442</v>
      </c>
      <c r="N53" s="128" t="s">
        <v>1442</v>
      </c>
      <c r="O53" s="127" t="s">
        <v>1442</v>
      </c>
      <c r="P53" s="129" t="s">
        <v>1442</v>
      </c>
      <c r="Q53" s="126" t="s">
        <v>1442</v>
      </c>
      <c r="R53" s="130" t="s">
        <v>1442</v>
      </c>
      <c r="S53" s="128" t="s">
        <v>1442</v>
      </c>
      <c r="T53" s="127" t="s">
        <v>1442</v>
      </c>
      <c r="U53" s="128" t="s">
        <v>1442</v>
      </c>
      <c r="V53" s="106" t="s">
        <v>1441</v>
      </c>
      <c r="W53" s="118"/>
      <c r="X53" s="118"/>
      <c r="Y53" s="119"/>
      <c r="Z53" s="120"/>
      <c r="AA53" s="121"/>
      <c r="AB53" s="122"/>
      <c r="AC53" s="121"/>
      <c r="AD53" s="121"/>
      <c r="AE53" s="121"/>
      <c r="AF53" s="121"/>
      <c r="AG53" s="122"/>
      <c r="AH53" s="121"/>
      <c r="AI53" s="123"/>
    </row>
    <row r="54" spans="1:35" s="112" customFormat="1" ht="24.95" customHeight="1" x14ac:dyDescent="0.2">
      <c r="A54" s="93">
        <f t="shared" si="0"/>
        <v>46</v>
      </c>
      <c r="B54" s="94" t="s">
        <v>592</v>
      </c>
      <c r="C54" s="95" t="s">
        <v>859</v>
      </c>
      <c r="D54" s="96" t="s">
        <v>1138</v>
      </c>
      <c r="E54" s="113" t="s">
        <v>1369</v>
      </c>
      <c r="F54" s="98">
        <v>3</v>
      </c>
      <c r="G54" s="99">
        <v>41791</v>
      </c>
      <c r="H54" s="99"/>
      <c r="I54" s="72"/>
      <c r="J54" s="99" t="s">
        <v>1440</v>
      </c>
      <c r="K54" s="99">
        <v>41730</v>
      </c>
      <c r="L54" s="131" t="s">
        <v>1439</v>
      </c>
      <c r="M54" s="99">
        <v>41738</v>
      </c>
      <c r="N54" s="114"/>
      <c r="O54" s="104"/>
      <c r="P54" s="132"/>
      <c r="Q54" s="116" t="s">
        <v>1446</v>
      </c>
      <c r="R54" s="117">
        <v>41742</v>
      </c>
      <c r="S54" s="97" t="s">
        <v>1504</v>
      </c>
      <c r="T54" s="104">
        <v>41795</v>
      </c>
      <c r="U54" s="105" t="s">
        <v>1465</v>
      </c>
      <c r="V54" s="106"/>
      <c r="W54" s="118"/>
      <c r="X54" s="118"/>
      <c r="Y54" s="119"/>
      <c r="Z54" s="120"/>
      <c r="AA54" s="121"/>
      <c r="AB54" s="122"/>
      <c r="AC54" s="121"/>
      <c r="AD54" s="121"/>
      <c r="AE54" s="121"/>
      <c r="AF54" s="121"/>
      <c r="AG54" s="122"/>
      <c r="AH54" s="121"/>
      <c r="AI54" s="123"/>
    </row>
    <row r="55" spans="1:35" s="112" customFormat="1" ht="24.95" customHeight="1" x14ac:dyDescent="0.2">
      <c r="A55" s="93">
        <f t="shared" si="0"/>
        <v>47</v>
      </c>
      <c r="B55" s="94" t="s">
        <v>593</v>
      </c>
      <c r="C55" s="95" t="s">
        <v>860</v>
      </c>
      <c r="D55" s="96" t="s">
        <v>1139</v>
      </c>
      <c r="E55" s="113" t="s">
        <v>1369</v>
      </c>
      <c r="F55" s="98">
        <v>3</v>
      </c>
      <c r="G55" s="99">
        <v>41791</v>
      </c>
      <c r="H55" s="99"/>
      <c r="I55" s="72"/>
      <c r="J55" s="99" t="s">
        <v>1440</v>
      </c>
      <c r="K55" s="99">
        <v>41730</v>
      </c>
      <c r="L55" s="131" t="s">
        <v>1439</v>
      </c>
      <c r="M55" s="99">
        <v>41738</v>
      </c>
      <c r="N55" s="114"/>
      <c r="O55" s="104"/>
      <c r="P55" s="132"/>
      <c r="Q55" s="116" t="s">
        <v>1446</v>
      </c>
      <c r="R55" s="117">
        <v>41742</v>
      </c>
      <c r="S55" s="97" t="s">
        <v>1505</v>
      </c>
      <c r="T55" s="104">
        <v>41795</v>
      </c>
      <c r="U55" s="105" t="s">
        <v>1465</v>
      </c>
      <c r="V55" s="106"/>
      <c r="W55" s="118"/>
      <c r="X55" s="118"/>
      <c r="Y55" s="119"/>
      <c r="Z55" s="120"/>
      <c r="AA55" s="121"/>
      <c r="AB55" s="122"/>
      <c r="AC55" s="121"/>
      <c r="AD55" s="121"/>
      <c r="AE55" s="121"/>
      <c r="AF55" s="121"/>
      <c r="AG55" s="122"/>
      <c r="AH55" s="121"/>
      <c r="AI55" s="123"/>
    </row>
    <row r="56" spans="1:35" s="112" customFormat="1" ht="24.95" customHeight="1" x14ac:dyDescent="0.2">
      <c r="A56" s="93">
        <f t="shared" si="0"/>
        <v>48</v>
      </c>
      <c r="B56" s="94" t="s">
        <v>594</v>
      </c>
      <c r="C56" s="95" t="s">
        <v>861</v>
      </c>
      <c r="D56" s="96" t="s">
        <v>1140</v>
      </c>
      <c r="E56" s="124" t="s">
        <v>1441</v>
      </c>
      <c r="F56" s="98">
        <v>3</v>
      </c>
      <c r="G56" s="99">
        <v>41791</v>
      </c>
      <c r="H56" s="99"/>
      <c r="I56" s="72"/>
      <c r="J56" s="125" t="s">
        <v>1442</v>
      </c>
      <c r="K56" s="125" t="s">
        <v>1442</v>
      </c>
      <c r="L56" s="126" t="s">
        <v>1442</v>
      </c>
      <c r="M56" s="127" t="s">
        <v>1442</v>
      </c>
      <c r="N56" s="128" t="s">
        <v>1442</v>
      </c>
      <c r="O56" s="127" t="s">
        <v>1442</v>
      </c>
      <c r="P56" s="129" t="s">
        <v>1442</v>
      </c>
      <c r="Q56" s="126" t="s">
        <v>1442</v>
      </c>
      <c r="R56" s="130" t="s">
        <v>1442</v>
      </c>
      <c r="S56" s="128" t="s">
        <v>1442</v>
      </c>
      <c r="T56" s="127" t="s">
        <v>1442</v>
      </c>
      <c r="U56" s="128" t="s">
        <v>1442</v>
      </c>
      <c r="V56" s="106" t="s">
        <v>1441</v>
      </c>
      <c r="W56" s="118"/>
      <c r="X56" s="118"/>
      <c r="Y56" s="119"/>
      <c r="Z56" s="120"/>
      <c r="AA56" s="121"/>
      <c r="AB56" s="122"/>
      <c r="AC56" s="121"/>
      <c r="AD56" s="121"/>
      <c r="AE56" s="121"/>
      <c r="AF56" s="121"/>
      <c r="AG56" s="122"/>
      <c r="AH56" s="121"/>
      <c r="AI56" s="123"/>
    </row>
    <row r="57" spans="1:35" s="112" customFormat="1" ht="24.95" customHeight="1" x14ac:dyDescent="0.2">
      <c r="A57" s="93">
        <f t="shared" si="0"/>
        <v>49</v>
      </c>
      <c r="B57" s="94" t="s">
        <v>595</v>
      </c>
      <c r="C57" s="95" t="s">
        <v>862</v>
      </c>
      <c r="D57" s="96" t="s">
        <v>1141</v>
      </c>
      <c r="E57" s="113" t="s">
        <v>1369</v>
      </c>
      <c r="F57" s="98">
        <v>3</v>
      </c>
      <c r="G57" s="99">
        <v>41791</v>
      </c>
      <c r="H57" s="99"/>
      <c r="I57" s="72"/>
      <c r="J57" s="99" t="s">
        <v>1440</v>
      </c>
      <c r="K57" s="99">
        <v>41730</v>
      </c>
      <c r="L57" s="131" t="s">
        <v>1439</v>
      </c>
      <c r="M57" s="99">
        <v>41738</v>
      </c>
      <c r="N57" s="114"/>
      <c r="O57" s="104"/>
      <c r="P57" s="132"/>
      <c r="Q57" s="116" t="s">
        <v>1446</v>
      </c>
      <c r="R57" s="117">
        <v>41742</v>
      </c>
      <c r="S57" s="97" t="s">
        <v>1519</v>
      </c>
      <c r="T57" s="104">
        <v>41795</v>
      </c>
      <c r="U57" s="105" t="s">
        <v>1465</v>
      </c>
      <c r="V57" s="106"/>
      <c r="W57" s="118"/>
      <c r="X57" s="118"/>
      <c r="Y57" s="119"/>
      <c r="Z57" s="120"/>
      <c r="AA57" s="121"/>
      <c r="AB57" s="122"/>
      <c r="AC57" s="121"/>
      <c r="AD57" s="121"/>
      <c r="AE57" s="121"/>
      <c r="AF57" s="121"/>
      <c r="AG57" s="122"/>
      <c r="AH57" s="121"/>
      <c r="AI57" s="123"/>
    </row>
    <row r="58" spans="1:35" s="112" customFormat="1" ht="24.95" customHeight="1" x14ac:dyDescent="0.2">
      <c r="A58" s="93">
        <f t="shared" si="0"/>
        <v>50</v>
      </c>
      <c r="B58" s="94" t="s">
        <v>596</v>
      </c>
      <c r="C58" s="95" t="s">
        <v>863</v>
      </c>
      <c r="D58" s="96" t="s">
        <v>1142</v>
      </c>
      <c r="E58" s="124" t="s">
        <v>1441</v>
      </c>
      <c r="F58" s="98">
        <v>3</v>
      </c>
      <c r="G58" s="99">
        <v>41791</v>
      </c>
      <c r="H58" s="99"/>
      <c r="I58" s="72"/>
      <c r="J58" s="125" t="s">
        <v>1442</v>
      </c>
      <c r="K58" s="125" t="s">
        <v>1442</v>
      </c>
      <c r="L58" s="126" t="s">
        <v>1442</v>
      </c>
      <c r="M58" s="127" t="s">
        <v>1442</v>
      </c>
      <c r="N58" s="128" t="s">
        <v>1442</v>
      </c>
      <c r="O58" s="127" t="s">
        <v>1442</v>
      </c>
      <c r="P58" s="129" t="s">
        <v>1442</v>
      </c>
      <c r="Q58" s="126" t="s">
        <v>1442</v>
      </c>
      <c r="R58" s="130" t="s">
        <v>1442</v>
      </c>
      <c r="S58" s="128" t="s">
        <v>1442</v>
      </c>
      <c r="T58" s="127" t="s">
        <v>1442</v>
      </c>
      <c r="U58" s="128" t="s">
        <v>1442</v>
      </c>
      <c r="V58" s="106" t="s">
        <v>1441</v>
      </c>
      <c r="W58" s="118"/>
      <c r="X58" s="118"/>
      <c r="Y58" s="119"/>
      <c r="Z58" s="120"/>
      <c r="AA58" s="121"/>
      <c r="AB58" s="122"/>
      <c r="AC58" s="121"/>
      <c r="AD58" s="121"/>
      <c r="AE58" s="121"/>
      <c r="AF58" s="121"/>
      <c r="AG58" s="122"/>
      <c r="AH58" s="121"/>
      <c r="AI58" s="123"/>
    </row>
    <row r="59" spans="1:35" s="112" customFormat="1" ht="24.95" customHeight="1" x14ac:dyDescent="0.2">
      <c r="A59" s="93">
        <f t="shared" si="0"/>
        <v>51</v>
      </c>
      <c r="B59" s="94" t="s">
        <v>597</v>
      </c>
      <c r="C59" s="95" t="s">
        <v>864</v>
      </c>
      <c r="D59" s="96" t="s">
        <v>1143</v>
      </c>
      <c r="E59" s="113" t="s">
        <v>1369</v>
      </c>
      <c r="F59" s="98">
        <v>3</v>
      </c>
      <c r="G59" s="99">
        <v>41786</v>
      </c>
      <c r="H59" s="99"/>
      <c r="I59" s="72"/>
      <c r="J59" s="99" t="s">
        <v>1440</v>
      </c>
      <c r="K59" s="99">
        <v>41730</v>
      </c>
      <c r="L59" s="131" t="s">
        <v>1439</v>
      </c>
      <c r="M59" s="99">
        <v>41738</v>
      </c>
      <c r="N59" s="114"/>
      <c r="O59" s="104"/>
      <c r="P59" s="132"/>
      <c r="Q59" s="116" t="s">
        <v>1446</v>
      </c>
      <c r="R59" s="117">
        <v>41742</v>
      </c>
      <c r="S59" s="97" t="s">
        <v>1506</v>
      </c>
      <c r="T59" s="104">
        <v>41795</v>
      </c>
      <c r="U59" s="105" t="s">
        <v>1465</v>
      </c>
      <c r="V59" s="106"/>
      <c r="W59" s="118"/>
      <c r="X59" s="118"/>
      <c r="Y59" s="119"/>
      <c r="Z59" s="120"/>
      <c r="AA59" s="121"/>
      <c r="AB59" s="122"/>
      <c r="AC59" s="121"/>
      <c r="AD59" s="121"/>
      <c r="AE59" s="121"/>
      <c r="AF59" s="121"/>
      <c r="AG59" s="122"/>
      <c r="AH59" s="121"/>
      <c r="AI59" s="123"/>
    </row>
    <row r="60" spans="1:35" s="112" customFormat="1" ht="24.95" customHeight="1" x14ac:dyDescent="0.2">
      <c r="A60" s="93">
        <f t="shared" si="0"/>
        <v>52</v>
      </c>
      <c r="B60" s="94" t="s">
        <v>598</v>
      </c>
      <c r="C60" s="95" t="s">
        <v>865</v>
      </c>
      <c r="D60" s="96" t="s">
        <v>1144</v>
      </c>
      <c r="E60" s="113" t="s">
        <v>1369</v>
      </c>
      <c r="F60" s="98">
        <v>3</v>
      </c>
      <c r="G60" s="99">
        <v>41786</v>
      </c>
      <c r="H60" s="99"/>
      <c r="I60" s="72"/>
      <c r="J60" s="99" t="s">
        <v>1440</v>
      </c>
      <c r="K60" s="99">
        <v>41730</v>
      </c>
      <c r="L60" s="131" t="s">
        <v>1439</v>
      </c>
      <c r="M60" s="99">
        <v>41738</v>
      </c>
      <c r="N60" s="114"/>
      <c r="O60" s="104"/>
      <c r="P60" s="132"/>
      <c r="Q60" s="116" t="s">
        <v>1446</v>
      </c>
      <c r="R60" s="117">
        <v>41742</v>
      </c>
      <c r="S60" s="97" t="s">
        <v>1507</v>
      </c>
      <c r="T60" s="104">
        <v>41795</v>
      </c>
      <c r="U60" s="105" t="s">
        <v>1465</v>
      </c>
      <c r="V60" s="106"/>
      <c r="W60" s="118"/>
      <c r="X60" s="118"/>
      <c r="Y60" s="119"/>
      <c r="Z60" s="120"/>
      <c r="AA60" s="121"/>
      <c r="AB60" s="122"/>
      <c r="AC60" s="121"/>
      <c r="AD60" s="121"/>
      <c r="AE60" s="121"/>
      <c r="AF60" s="121"/>
      <c r="AG60" s="122"/>
      <c r="AH60" s="121"/>
      <c r="AI60" s="123"/>
    </row>
    <row r="61" spans="1:35" s="112" customFormat="1" ht="24.95" customHeight="1" x14ac:dyDescent="0.2">
      <c r="A61" s="93">
        <f t="shared" si="0"/>
        <v>53</v>
      </c>
      <c r="B61" s="94" t="s">
        <v>599</v>
      </c>
      <c r="C61" s="95" t="s">
        <v>866</v>
      </c>
      <c r="D61" s="96" t="s">
        <v>1145</v>
      </c>
      <c r="E61" s="124" t="s">
        <v>1441</v>
      </c>
      <c r="F61" s="134">
        <v>3</v>
      </c>
      <c r="G61" s="211">
        <v>41786</v>
      </c>
      <c r="H61" s="211"/>
      <c r="I61" s="72"/>
      <c r="J61" s="125" t="s">
        <v>1442</v>
      </c>
      <c r="K61" s="125" t="s">
        <v>1442</v>
      </c>
      <c r="L61" s="126" t="s">
        <v>1442</v>
      </c>
      <c r="M61" s="127" t="s">
        <v>1442</v>
      </c>
      <c r="N61" s="128" t="s">
        <v>1442</v>
      </c>
      <c r="O61" s="127" t="s">
        <v>1442</v>
      </c>
      <c r="P61" s="129" t="s">
        <v>1442</v>
      </c>
      <c r="Q61" s="126" t="s">
        <v>1442</v>
      </c>
      <c r="R61" s="130" t="s">
        <v>1442</v>
      </c>
      <c r="S61" s="128" t="s">
        <v>1442</v>
      </c>
      <c r="T61" s="127" t="s">
        <v>1442</v>
      </c>
      <c r="U61" s="128" t="s">
        <v>1442</v>
      </c>
      <c r="V61" s="106" t="s">
        <v>1441</v>
      </c>
      <c r="W61" s="118"/>
      <c r="X61" s="118"/>
      <c r="Y61" s="119"/>
      <c r="Z61" s="120"/>
      <c r="AA61" s="121"/>
      <c r="AB61" s="122"/>
      <c r="AC61" s="121"/>
      <c r="AD61" s="121"/>
      <c r="AE61" s="121"/>
      <c r="AF61" s="121"/>
      <c r="AG61" s="122"/>
      <c r="AH61" s="121"/>
      <c r="AI61" s="123"/>
    </row>
    <row r="62" spans="1:35" s="112" customFormat="1" ht="24.95" customHeight="1" x14ac:dyDescent="0.2">
      <c r="A62" s="93">
        <f t="shared" si="0"/>
        <v>54</v>
      </c>
      <c r="B62" s="94" t="s">
        <v>600</v>
      </c>
      <c r="C62" s="95" t="s">
        <v>867</v>
      </c>
      <c r="D62" s="96" t="s">
        <v>1146</v>
      </c>
      <c r="E62" s="113" t="s">
        <v>1369</v>
      </c>
      <c r="F62" s="98">
        <v>3</v>
      </c>
      <c r="G62" s="135">
        <v>41786</v>
      </c>
      <c r="H62" s="135"/>
      <c r="I62" s="72"/>
      <c r="J62" s="99" t="s">
        <v>1440</v>
      </c>
      <c r="K62" s="99">
        <v>41730</v>
      </c>
      <c r="L62" s="131" t="s">
        <v>1439</v>
      </c>
      <c r="M62" s="99">
        <v>41738</v>
      </c>
      <c r="N62" s="114"/>
      <c r="O62" s="104"/>
      <c r="P62" s="132"/>
      <c r="Q62" s="116" t="s">
        <v>1446</v>
      </c>
      <c r="R62" s="117">
        <v>41742</v>
      </c>
      <c r="S62" s="97" t="s">
        <v>1520</v>
      </c>
      <c r="T62" s="104">
        <v>41795</v>
      </c>
      <c r="U62" s="105" t="s">
        <v>1465</v>
      </c>
      <c r="V62" s="106"/>
      <c r="W62" s="118"/>
      <c r="X62" s="118"/>
      <c r="Y62" s="119"/>
      <c r="Z62" s="120"/>
      <c r="AA62" s="121"/>
      <c r="AB62" s="122"/>
      <c r="AC62" s="121"/>
      <c r="AD62" s="121"/>
      <c r="AE62" s="121"/>
      <c r="AF62" s="121"/>
      <c r="AG62" s="122"/>
      <c r="AH62" s="121"/>
      <c r="AI62" s="123"/>
    </row>
    <row r="63" spans="1:35" s="112" customFormat="1" ht="24.95" customHeight="1" x14ac:dyDescent="0.2">
      <c r="A63" s="93">
        <f t="shared" si="0"/>
        <v>55</v>
      </c>
      <c r="B63" s="94" t="s">
        <v>601</v>
      </c>
      <c r="C63" s="95" t="s">
        <v>868</v>
      </c>
      <c r="D63" s="96" t="s">
        <v>1147</v>
      </c>
      <c r="E63" s="124" t="s">
        <v>1441</v>
      </c>
      <c r="F63" s="134">
        <v>3</v>
      </c>
      <c r="G63" s="211">
        <v>41786</v>
      </c>
      <c r="H63" s="211"/>
      <c r="I63" s="72"/>
      <c r="J63" s="125" t="s">
        <v>1442</v>
      </c>
      <c r="K63" s="125" t="s">
        <v>1442</v>
      </c>
      <c r="L63" s="126" t="s">
        <v>1442</v>
      </c>
      <c r="M63" s="127" t="s">
        <v>1442</v>
      </c>
      <c r="N63" s="128" t="s">
        <v>1442</v>
      </c>
      <c r="O63" s="127" t="s">
        <v>1442</v>
      </c>
      <c r="P63" s="129" t="s">
        <v>1442</v>
      </c>
      <c r="Q63" s="126" t="s">
        <v>1442</v>
      </c>
      <c r="R63" s="130" t="s">
        <v>1442</v>
      </c>
      <c r="S63" s="128" t="s">
        <v>1442</v>
      </c>
      <c r="T63" s="127" t="s">
        <v>1442</v>
      </c>
      <c r="U63" s="128" t="s">
        <v>1442</v>
      </c>
      <c r="V63" s="106" t="s">
        <v>1441</v>
      </c>
      <c r="W63" s="118"/>
      <c r="X63" s="118"/>
      <c r="Y63" s="119"/>
      <c r="Z63" s="120"/>
      <c r="AA63" s="121"/>
      <c r="AB63" s="122"/>
      <c r="AC63" s="121"/>
      <c r="AD63" s="121"/>
      <c r="AE63" s="121"/>
      <c r="AF63" s="121"/>
      <c r="AG63" s="122"/>
      <c r="AH63" s="121"/>
      <c r="AI63" s="123"/>
    </row>
    <row r="64" spans="1:35" s="112" customFormat="1" ht="24.95" customHeight="1" x14ac:dyDescent="0.2">
      <c r="A64" s="93">
        <f t="shared" si="0"/>
        <v>56</v>
      </c>
      <c r="B64" s="94" t="s">
        <v>602</v>
      </c>
      <c r="C64" s="95" t="s">
        <v>869</v>
      </c>
      <c r="D64" s="96" t="s">
        <v>1148</v>
      </c>
      <c r="E64" s="113" t="s">
        <v>1369</v>
      </c>
      <c r="F64" s="98">
        <v>3</v>
      </c>
      <c r="G64" s="135">
        <v>41771</v>
      </c>
      <c r="H64" s="135"/>
      <c r="I64" s="72"/>
      <c r="J64" s="99" t="s">
        <v>1440</v>
      </c>
      <c r="K64" s="99">
        <v>41730</v>
      </c>
      <c r="L64" s="131" t="s">
        <v>1439</v>
      </c>
      <c r="M64" s="99">
        <v>41738</v>
      </c>
      <c r="N64" s="114"/>
      <c r="O64" s="104"/>
      <c r="P64" s="132"/>
      <c r="Q64" s="116" t="s">
        <v>1446</v>
      </c>
      <c r="R64" s="117">
        <v>41742</v>
      </c>
      <c r="S64" s="97" t="s">
        <v>1508</v>
      </c>
      <c r="T64" s="104">
        <v>41795</v>
      </c>
      <c r="U64" s="105" t="s">
        <v>1465</v>
      </c>
      <c r="V64" s="106"/>
      <c r="W64" s="118"/>
      <c r="X64" s="118"/>
      <c r="Y64" s="119"/>
      <c r="Z64" s="120"/>
      <c r="AA64" s="121"/>
      <c r="AB64" s="122"/>
      <c r="AC64" s="121"/>
      <c r="AD64" s="121"/>
      <c r="AE64" s="121"/>
      <c r="AF64" s="121"/>
      <c r="AG64" s="122"/>
      <c r="AH64" s="121"/>
      <c r="AI64" s="123"/>
    </row>
    <row r="65" spans="1:35" s="112" customFormat="1" ht="24.95" customHeight="1" x14ac:dyDescent="0.2">
      <c r="A65" s="93">
        <f t="shared" si="0"/>
        <v>57</v>
      </c>
      <c r="B65" s="94" t="s">
        <v>603</v>
      </c>
      <c r="C65" s="95" t="s">
        <v>870</v>
      </c>
      <c r="D65" s="96" t="s">
        <v>1149</v>
      </c>
      <c r="E65" s="113" t="s">
        <v>1369</v>
      </c>
      <c r="F65" s="98">
        <v>3</v>
      </c>
      <c r="G65" s="135">
        <v>41771</v>
      </c>
      <c r="H65" s="135"/>
      <c r="I65" s="72"/>
      <c r="J65" s="99" t="s">
        <v>1440</v>
      </c>
      <c r="K65" s="99">
        <v>41730</v>
      </c>
      <c r="L65" s="131" t="s">
        <v>1439</v>
      </c>
      <c r="M65" s="99">
        <v>41738</v>
      </c>
      <c r="N65" s="114"/>
      <c r="O65" s="104"/>
      <c r="P65" s="132"/>
      <c r="Q65" s="116" t="s">
        <v>1446</v>
      </c>
      <c r="R65" s="117">
        <v>41742</v>
      </c>
      <c r="S65" s="97" t="s">
        <v>1509</v>
      </c>
      <c r="T65" s="104">
        <v>41795</v>
      </c>
      <c r="U65" s="105" t="s">
        <v>1465</v>
      </c>
      <c r="V65" s="106"/>
      <c r="W65" s="118"/>
      <c r="X65" s="118"/>
      <c r="Y65" s="119"/>
      <c r="Z65" s="120"/>
      <c r="AA65" s="121"/>
      <c r="AB65" s="122"/>
      <c r="AC65" s="121"/>
      <c r="AD65" s="121"/>
      <c r="AE65" s="121"/>
      <c r="AF65" s="121"/>
      <c r="AG65" s="122"/>
      <c r="AH65" s="121"/>
      <c r="AI65" s="123"/>
    </row>
    <row r="66" spans="1:35" s="112" customFormat="1" ht="24.95" customHeight="1" x14ac:dyDescent="0.2">
      <c r="A66" s="93">
        <f t="shared" si="0"/>
        <v>58</v>
      </c>
      <c r="B66" s="94" t="s">
        <v>604</v>
      </c>
      <c r="C66" s="95" t="s">
        <v>871</v>
      </c>
      <c r="D66" s="96" t="s">
        <v>1150</v>
      </c>
      <c r="E66" s="124" t="s">
        <v>1441</v>
      </c>
      <c r="F66" s="134">
        <v>3</v>
      </c>
      <c r="G66" s="211">
        <v>41771</v>
      </c>
      <c r="H66" s="211"/>
      <c r="I66" s="72"/>
      <c r="J66" s="125" t="s">
        <v>1442</v>
      </c>
      <c r="K66" s="125" t="s">
        <v>1442</v>
      </c>
      <c r="L66" s="126" t="s">
        <v>1442</v>
      </c>
      <c r="M66" s="127" t="s">
        <v>1442</v>
      </c>
      <c r="N66" s="128" t="s">
        <v>1442</v>
      </c>
      <c r="O66" s="127" t="s">
        <v>1442</v>
      </c>
      <c r="P66" s="129" t="s">
        <v>1442</v>
      </c>
      <c r="Q66" s="126" t="s">
        <v>1442</v>
      </c>
      <c r="R66" s="130" t="s">
        <v>1442</v>
      </c>
      <c r="S66" s="128" t="s">
        <v>1442</v>
      </c>
      <c r="T66" s="127" t="s">
        <v>1442</v>
      </c>
      <c r="U66" s="128" t="s">
        <v>1442</v>
      </c>
      <c r="V66" s="106" t="s">
        <v>1441</v>
      </c>
      <c r="W66" s="118"/>
      <c r="X66" s="118"/>
      <c r="Y66" s="119"/>
      <c r="Z66" s="120"/>
      <c r="AA66" s="121"/>
      <c r="AB66" s="122"/>
      <c r="AC66" s="121"/>
      <c r="AD66" s="121"/>
      <c r="AE66" s="121"/>
      <c r="AF66" s="121"/>
      <c r="AG66" s="122"/>
      <c r="AH66" s="121"/>
      <c r="AI66" s="123"/>
    </row>
    <row r="67" spans="1:35" s="112" customFormat="1" ht="24.95" customHeight="1" x14ac:dyDescent="0.2">
      <c r="A67" s="93">
        <f t="shared" si="0"/>
        <v>59</v>
      </c>
      <c r="B67" s="94" t="s">
        <v>605</v>
      </c>
      <c r="C67" s="95" t="s">
        <v>872</v>
      </c>
      <c r="D67" s="96" t="s">
        <v>1151</v>
      </c>
      <c r="E67" s="113" t="s">
        <v>1369</v>
      </c>
      <c r="F67" s="98">
        <v>3</v>
      </c>
      <c r="G67" s="135">
        <v>41771</v>
      </c>
      <c r="H67" s="135"/>
      <c r="I67" s="72"/>
      <c r="J67" s="99" t="s">
        <v>1440</v>
      </c>
      <c r="K67" s="99">
        <v>41730</v>
      </c>
      <c r="L67" s="131" t="s">
        <v>1439</v>
      </c>
      <c r="M67" s="99">
        <v>41738</v>
      </c>
      <c r="N67" s="114"/>
      <c r="O67" s="104"/>
      <c r="P67" s="132"/>
      <c r="Q67" s="116" t="s">
        <v>1446</v>
      </c>
      <c r="R67" s="117">
        <v>41742</v>
      </c>
      <c r="S67" s="97" t="s">
        <v>1521</v>
      </c>
      <c r="T67" s="104">
        <v>41795</v>
      </c>
      <c r="U67" s="105" t="s">
        <v>1465</v>
      </c>
      <c r="V67" s="106"/>
      <c r="W67" s="118"/>
      <c r="X67" s="118"/>
      <c r="Y67" s="119"/>
      <c r="Z67" s="120"/>
      <c r="AA67" s="121"/>
      <c r="AB67" s="122"/>
      <c r="AC67" s="121"/>
      <c r="AD67" s="121"/>
      <c r="AE67" s="121"/>
      <c r="AF67" s="121"/>
      <c r="AG67" s="122"/>
      <c r="AH67" s="121"/>
      <c r="AI67" s="123"/>
    </row>
    <row r="68" spans="1:35" s="112" customFormat="1" ht="24.95" customHeight="1" x14ac:dyDescent="0.2">
      <c r="A68" s="93">
        <f t="shared" si="0"/>
        <v>60</v>
      </c>
      <c r="B68" s="94" t="s">
        <v>606</v>
      </c>
      <c r="C68" s="95" t="s">
        <v>873</v>
      </c>
      <c r="D68" s="96" t="s">
        <v>1152</v>
      </c>
      <c r="E68" s="124" t="s">
        <v>1441</v>
      </c>
      <c r="F68" s="134">
        <v>3</v>
      </c>
      <c r="G68" s="211">
        <v>41771</v>
      </c>
      <c r="H68" s="211"/>
      <c r="I68" s="72"/>
      <c r="J68" s="125" t="s">
        <v>1442</v>
      </c>
      <c r="K68" s="125" t="s">
        <v>1442</v>
      </c>
      <c r="L68" s="126" t="s">
        <v>1442</v>
      </c>
      <c r="M68" s="127" t="s">
        <v>1442</v>
      </c>
      <c r="N68" s="128" t="s">
        <v>1442</v>
      </c>
      <c r="O68" s="127" t="s">
        <v>1442</v>
      </c>
      <c r="P68" s="129" t="s">
        <v>1442</v>
      </c>
      <c r="Q68" s="126" t="s">
        <v>1442</v>
      </c>
      <c r="R68" s="130" t="s">
        <v>1442</v>
      </c>
      <c r="S68" s="128" t="s">
        <v>1442</v>
      </c>
      <c r="T68" s="127" t="s">
        <v>1442</v>
      </c>
      <c r="U68" s="128" t="s">
        <v>1442</v>
      </c>
      <c r="V68" s="106" t="s">
        <v>1441</v>
      </c>
      <c r="W68" s="118"/>
      <c r="X68" s="118"/>
      <c r="Y68" s="119"/>
      <c r="Z68" s="120"/>
      <c r="AA68" s="121"/>
      <c r="AB68" s="122"/>
      <c r="AC68" s="121"/>
      <c r="AD68" s="121"/>
      <c r="AE68" s="121"/>
      <c r="AF68" s="121"/>
      <c r="AG68" s="122"/>
      <c r="AH68" s="121"/>
      <c r="AI68" s="123"/>
    </row>
    <row r="69" spans="1:35" s="112" customFormat="1" ht="24.95" customHeight="1" x14ac:dyDescent="0.2">
      <c r="A69" s="93">
        <f t="shared" si="0"/>
        <v>61</v>
      </c>
      <c r="B69" s="94" t="s">
        <v>607</v>
      </c>
      <c r="C69" s="95" t="s">
        <v>874</v>
      </c>
      <c r="D69" s="96" t="s">
        <v>1153</v>
      </c>
      <c r="E69" s="113" t="s">
        <v>1369</v>
      </c>
      <c r="F69" s="98">
        <v>3</v>
      </c>
      <c r="G69" s="135">
        <v>41778</v>
      </c>
      <c r="H69" s="135"/>
      <c r="I69" s="72"/>
      <c r="J69" s="99" t="s">
        <v>1440</v>
      </c>
      <c r="K69" s="99">
        <v>41730</v>
      </c>
      <c r="L69" s="131" t="s">
        <v>1439</v>
      </c>
      <c r="M69" s="99">
        <v>41738</v>
      </c>
      <c r="N69" s="114"/>
      <c r="O69" s="104"/>
      <c r="P69" s="132"/>
      <c r="Q69" s="116" t="s">
        <v>1446</v>
      </c>
      <c r="R69" s="117">
        <v>41742</v>
      </c>
      <c r="S69" s="97" t="s">
        <v>1510</v>
      </c>
      <c r="T69" s="104">
        <v>41795</v>
      </c>
      <c r="U69" s="105" t="s">
        <v>1465</v>
      </c>
      <c r="V69" s="106"/>
      <c r="W69" s="118"/>
      <c r="X69" s="118"/>
      <c r="Y69" s="119"/>
      <c r="Z69" s="120"/>
      <c r="AA69" s="121"/>
      <c r="AB69" s="122"/>
      <c r="AC69" s="121"/>
      <c r="AD69" s="121"/>
      <c r="AE69" s="121"/>
      <c r="AF69" s="121"/>
      <c r="AG69" s="122"/>
      <c r="AH69" s="121"/>
      <c r="AI69" s="123"/>
    </row>
    <row r="70" spans="1:35" s="112" customFormat="1" ht="24.95" customHeight="1" x14ac:dyDescent="0.2">
      <c r="A70" s="93">
        <f t="shared" si="0"/>
        <v>62</v>
      </c>
      <c r="B70" s="94" t="s">
        <v>608</v>
      </c>
      <c r="C70" s="95" t="s">
        <v>875</v>
      </c>
      <c r="D70" s="96" t="s">
        <v>1154</v>
      </c>
      <c r="E70" s="113" t="s">
        <v>1369</v>
      </c>
      <c r="F70" s="98">
        <v>3</v>
      </c>
      <c r="G70" s="135">
        <v>41778</v>
      </c>
      <c r="H70" s="135"/>
      <c r="I70" s="72"/>
      <c r="J70" s="99" t="s">
        <v>1440</v>
      </c>
      <c r="K70" s="99">
        <v>41730</v>
      </c>
      <c r="L70" s="131" t="s">
        <v>1439</v>
      </c>
      <c r="M70" s="99">
        <v>41738</v>
      </c>
      <c r="N70" s="114"/>
      <c r="O70" s="104"/>
      <c r="P70" s="132"/>
      <c r="Q70" s="116" t="s">
        <v>1446</v>
      </c>
      <c r="R70" s="117">
        <v>41742</v>
      </c>
      <c r="S70" s="97" t="s">
        <v>1511</v>
      </c>
      <c r="T70" s="104">
        <v>41795</v>
      </c>
      <c r="U70" s="105" t="s">
        <v>1465</v>
      </c>
      <c r="V70" s="106"/>
      <c r="W70" s="118"/>
      <c r="X70" s="118"/>
      <c r="Y70" s="119"/>
      <c r="Z70" s="120"/>
      <c r="AA70" s="121"/>
      <c r="AB70" s="122"/>
      <c r="AC70" s="121"/>
      <c r="AD70" s="121"/>
      <c r="AE70" s="121"/>
      <c r="AF70" s="121"/>
      <c r="AG70" s="122"/>
      <c r="AH70" s="121"/>
      <c r="AI70" s="123"/>
    </row>
    <row r="71" spans="1:35" s="112" customFormat="1" ht="24.95" customHeight="1" x14ac:dyDescent="0.2">
      <c r="A71" s="93">
        <f t="shared" si="0"/>
        <v>63</v>
      </c>
      <c r="B71" s="94" t="s">
        <v>609</v>
      </c>
      <c r="C71" s="95" t="s">
        <v>876</v>
      </c>
      <c r="D71" s="96" t="s">
        <v>1155</v>
      </c>
      <c r="E71" s="124" t="s">
        <v>1441</v>
      </c>
      <c r="F71" s="134">
        <v>3</v>
      </c>
      <c r="G71" s="211">
        <v>41778</v>
      </c>
      <c r="H71" s="211"/>
      <c r="I71" s="72"/>
      <c r="J71" s="125" t="s">
        <v>1442</v>
      </c>
      <c r="K71" s="125" t="s">
        <v>1442</v>
      </c>
      <c r="L71" s="126" t="s">
        <v>1442</v>
      </c>
      <c r="M71" s="127" t="s">
        <v>1442</v>
      </c>
      <c r="N71" s="128" t="s">
        <v>1442</v>
      </c>
      <c r="O71" s="127" t="s">
        <v>1442</v>
      </c>
      <c r="P71" s="129" t="s">
        <v>1442</v>
      </c>
      <c r="Q71" s="126" t="s">
        <v>1442</v>
      </c>
      <c r="R71" s="130" t="s">
        <v>1442</v>
      </c>
      <c r="S71" s="128" t="s">
        <v>1442</v>
      </c>
      <c r="T71" s="127" t="s">
        <v>1442</v>
      </c>
      <c r="U71" s="128" t="s">
        <v>1442</v>
      </c>
      <c r="V71" s="106" t="s">
        <v>1441</v>
      </c>
      <c r="W71" s="118"/>
      <c r="X71" s="118"/>
      <c r="Y71" s="119"/>
      <c r="Z71" s="120"/>
      <c r="AA71" s="121"/>
      <c r="AB71" s="122"/>
      <c r="AC71" s="121"/>
      <c r="AD71" s="121"/>
      <c r="AE71" s="121"/>
      <c r="AF71" s="121"/>
      <c r="AG71" s="122"/>
      <c r="AH71" s="121"/>
      <c r="AI71" s="123"/>
    </row>
    <row r="72" spans="1:35" s="112" customFormat="1" ht="24.95" customHeight="1" x14ac:dyDescent="0.2">
      <c r="A72" s="93">
        <f t="shared" si="0"/>
        <v>64</v>
      </c>
      <c r="B72" s="94" t="s">
        <v>610</v>
      </c>
      <c r="C72" s="95" t="s">
        <v>877</v>
      </c>
      <c r="D72" s="96" t="s">
        <v>1156</v>
      </c>
      <c r="E72" s="113" t="s">
        <v>1369</v>
      </c>
      <c r="F72" s="98">
        <v>3</v>
      </c>
      <c r="G72" s="135">
        <v>41778</v>
      </c>
      <c r="H72" s="135"/>
      <c r="I72" s="72"/>
      <c r="J72" s="99" t="s">
        <v>1440</v>
      </c>
      <c r="K72" s="99">
        <v>41730</v>
      </c>
      <c r="L72" s="131" t="s">
        <v>1439</v>
      </c>
      <c r="M72" s="99">
        <v>41738</v>
      </c>
      <c r="N72" s="114"/>
      <c r="O72" s="104"/>
      <c r="P72" s="132"/>
      <c r="Q72" s="116" t="s">
        <v>1446</v>
      </c>
      <c r="R72" s="117">
        <v>41742</v>
      </c>
      <c r="S72" s="97" t="s">
        <v>1522</v>
      </c>
      <c r="T72" s="104">
        <v>41795</v>
      </c>
      <c r="U72" s="105" t="s">
        <v>1465</v>
      </c>
      <c r="V72" s="106"/>
      <c r="W72" s="118"/>
      <c r="X72" s="118"/>
      <c r="Y72" s="119"/>
      <c r="Z72" s="120"/>
      <c r="AA72" s="121"/>
      <c r="AB72" s="122"/>
      <c r="AC72" s="121"/>
      <c r="AD72" s="121"/>
      <c r="AE72" s="121"/>
      <c r="AF72" s="121"/>
      <c r="AG72" s="122"/>
      <c r="AH72" s="121"/>
      <c r="AI72" s="123"/>
    </row>
    <row r="73" spans="1:35" s="112" customFormat="1" ht="24.95" customHeight="1" x14ac:dyDescent="0.2">
      <c r="A73" s="93">
        <f t="shared" si="0"/>
        <v>65</v>
      </c>
      <c r="B73" s="94" t="s">
        <v>611</v>
      </c>
      <c r="C73" s="95" t="s">
        <v>878</v>
      </c>
      <c r="D73" s="96" t="s">
        <v>1157</v>
      </c>
      <c r="E73" s="124" t="s">
        <v>1441</v>
      </c>
      <c r="F73" s="134">
        <v>3</v>
      </c>
      <c r="G73" s="211">
        <v>41778</v>
      </c>
      <c r="H73" s="211"/>
      <c r="I73" s="72"/>
      <c r="J73" s="125" t="s">
        <v>1442</v>
      </c>
      <c r="K73" s="125" t="s">
        <v>1442</v>
      </c>
      <c r="L73" s="126" t="s">
        <v>1442</v>
      </c>
      <c r="M73" s="127" t="s">
        <v>1442</v>
      </c>
      <c r="N73" s="128" t="s">
        <v>1442</v>
      </c>
      <c r="O73" s="127" t="s">
        <v>1442</v>
      </c>
      <c r="P73" s="129" t="s">
        <v>1442</v>
      </c>
      <c r="Q73" s="126" t="s">
        <v>1442</v>
      </c>
      <c r="R73" s="130" t="s">
        <v>1442</v>
      </c>
      <c r="S73" s="128" t="s">
        <v>1442</v>
      </c>
      <c r="T73" s="127" t="s">
        <v>1442</v>
      </c>
      <c r="U73" s="128" t="s">
        <v>1442</v>
      </c>
      <c r="V73" s="106" t="s">
        <v>1441</v>
      </c>
      <c r="W73" s="118"/>
      <c r="X73" s="118"/>
      <c r="Y73" s="119"/>
      <c r="Z73" s="120"/>
      <c r="AA73" s="121"/>
      <c r="AB73" s="122"/>
      <c r="AC73" s="121"/>
      <c r="AD73" s="121"/>
      <c r="AE73" s="121"/>
      <c r="AF73" s="121"/>
      <c r="AG73" s="122"/>
      <c r="AH73" s="121"/>
      <c r="AI73" s="123"/>
    </row>
    <row r="74" spans="1:35" s="112" customFormat="1" ht="24.95" customHeight="1" x14ac:dyDescent="0.2">
      <c r="A74" s="93">
        <f>A73+1</f>
        <v>66</v>
      </c>
      <c r="B74" s="136" t="s">
        <v>612</v>
      </c>
      <c r="C74" s="95" t="s">
        <v>879</v>
      </c>
      <c r="D74" s="96" t="s">
        <v>1158</v>
      </c>
      <c r="E74" s="46"/>
      <c r="F74" s="98">
        <v>3</v>
      </c>
      <c r="G74" s="138">
        <v>42080</v>
      </c>
      <c r="H74" s="104"/>
      <c r="I74" s="72">
        <f t="shared" ref="I74:I141" ca="1" si="1">G74-TODAY()</f>
        <v>-1982</v>
      </c>
      <c r="J74" s="99"/>
      <c r="K74" s="99"/>
      <c r="L74" s="114"/>
      <c r="M74" s="104"/>
      <c r="N74" s="101"/>
      <c r="O74" s="102"/>
      <c r="P74" s="101"/>
      <c r="Q74" s="101"/>
      <c r="R74" s="101"/>
      <c r="S74" s="101"/>
      <c r="T74" s="102"/>
      <c r="U74" s="101"/>
      <c r="V74" s="106"/>
      <c r="W74" s="118"/>
      <c r="X74" s="118"/>
      <c r="Y74" s="119"/>
      <c r="Z74" s="120"/>
      <c r="AA74" s="121"/>
      <c r="AB74" s="122"/>
      <c r="AC74" s="121"/>
      <c r="AD74" s="121"/>
      <c r="AE74" s="121"/>
      <c r="AF74" s="121"/>
      <c r="AG74" s="122"/>
      <c r="AH74" s="121"/>
      <c r="AI74" s="123"/>
    </row>
    <row r="75" spans="1:35" s="112" customFormat="1" ht="24.95" customHeight="1" x14ac:dyDescent="0.2">
      <c r="A75" s="93">
        <f t="shared" ref="A75:A146" si="2">A74+1</f>
        <v>67</v>
      </c>
      <c r="B75" s="517" t="s">
        <v>613</v>
      </c>
      <c r="C75" s="502" t="s">
        <v>880</v>
      </c>
      <c r="D75" s="502" t="s">
        <v>1159</v>
      </c>
      <c r="E75" s="46" t="s">
        <v>1369</v>
      </c>
      <c r="F75" s="98">
        <v>3</v>
      </c>
      <c r="G75" s="138">
        <v>42080</v>
      </c>
      <c r="H75" s="104"/>
      <c r="I75" s="72">
        <v>-7</v>
      </c>
      <c r="J75" s="61" t="s">
        <v>2267</v>
      </c>
      <c r="K75" s="61">
        <v>42087</v>
      </c>
      <c r="L75" s="61" t="s">
        <v>2268</v>
      </c>
      <c r="M75" s="104">
        <v>42092</v>
      </c>
      <c r="N75" s="46" t="s">
        <v>2326</v>
      </c>
      <c r="O75" s="104">
        <v>42107</v>
      </c>
      <c r="P75" s="114">
        <v>1</v>
      </c>
      <c r="Q75" s="223" t="s">
        <v>2272</v>
      </c>
      <c r="R75" s="61">
        <v>42095</v>
      </c>
      <c r="S75" s="46" t="s">
        <v>2277</v>
      </c>
      <c r="T75" s="104">
        <v>42101</v>
      </c>
      <c r="U75" s="114" t="s">
        <v>1369</v>
      </c>
      <c r="V75" s="106" t="s">
        <v>1442</v>
      </c>
      <c r="W75" s="118"/>
      <c r="X75" s="118"/>
      <c r="Y75" s="119"/>
      <c r="Z75" s="120"/>
      <c r="AA75" s="121"/>
      <c r="AB75" s="122"/>
      <c r="AC75" s="121"/>
      <c r="AD75" s="121"/>
      <c r="AE75" s="121"/>
      <c r="AF75" s="121"/>
      <c r="AG75" s="122"/>
      <c r="AH75" s="121"/>
      <c r="AI75" s="123"/>
    </row>
    <row r="76" spans="1:35" s="112" customFormat="1" ht="24.95" hidden="1" customHeight="1" x14ac:dyDescent="0.2">
      <c r="A76" s="93">
        <f t="shared" si="2"/>
        <v>68</v>
      </c>
      <c r="B76" s="517"/>
      <c r="C76" s="502"/>
      <c r="D76" s="502"/>
      <c r="E76" s="46"/>
      <c r="F76" s="98">
        <v>3</v>
      </c>
      <c r="G76" s="138">
        <v>42080</v>
      </c>
      <c r="H76" s="104"/>
      <c r="I76" s="72">
        <f t="shared" ca="1" si="1"/>
        <v>-1982</v>
      </c>
      <c r="J76" s="99"/>
      <c r="K76" s="99"/>
      <c r="L76" s="114"/>
      <c r="M76" s="104"/>
      <c r="N76" s="46"/>
      <c r="O76" s="102"/>
      <c r="P76" s="101"/>
      <c r="Q76" s="101"/>
      <c r="R76" s="101"/>
      <c r="S76" s="101"/>
      <c r="T76" s="102"/>
      <c r="U76" s="101"/>
      <c r="V76" s="106"/>
      <c r="W76" s="118"/>
      <c r="X76" s="118"/>
      <c r="Y76" s="119"/>
      <c r="Z76" s="120"/>
      <c r="AA76" s="121"/>
      <c r="AB76" s="122"/>
      <c r="AC76" s="121"/>
      <c r="AD76" s="121"/>
      <c r="AE76" s="121"/>
      <c r="AF76" s="121"/>
      <c r="AG76" s="122"/>
      <c r="AH76" s="121"/>
      <c r="AI76" s="123"/>
    </row>
    <row r="77" spans="1:35" s="112" customFormat="1" ht="24.95" customHeight="1" x14ac:dyDescent="0.2">
      <c r="A77" s="93"/>
      <c r="B77" s="517"/>
      <c r="C77" s="502"/>
      <c r="D77" s="502"/>
      <c r="E77" s="46" t="s">
        <v>1432</v>
      </c>
      <c r="F77" s="98" t="s">
        <v>1442</v>
      </c>
      <c r="G77" s="138" t="s">
        <v>1442</v>
      </c>
      <c r="H77" s="104"/>
      <c r="I77" s="72" t="s">
        <v>1442</v>
      </c>
      <c r="J77" s="61" t="s">
        <v>2403</v>
      </c>
      <c r="K77" s="99">
        <v>42169</v>
      </c>
      <c r="L77" s="61" t="s">
        <v>2404</v>
      </c>
      <c r="M77" s="104">
        <v>42171</v>
      </c>
      <c r="N77" s="46" t="s">
        <v>2455</v>
      </c>
      <c r="O77" s="104">
        <v>42183</v>
      </c>
      <c r="P77" s="114">
        <v>2</v>
      </c>
      <c r="Q77" s="114" t="s">
        <v>2419</v>
      </c>
      <c r="R77" s="61">
        <v>42173</v>
      </c>
      <c r="S77" s="101"/>
      <c r="T77" s="102"/>
      <c r="U77" s="101"/>
      <c r="V77" s="184" t="s">
        <v>3068</v>
      </c>
      <c r="W77" s="118"/>
      <c r="X77" s="118"/>
      <c r="Y77" s="119"/>
      <c r="Z77" s="120"/>
      <c r="AA77" s="121"/>
      <c r="AB77" s="122"/>
      <c r="AC77" s="121"/>
      <c r="AD77" s="121"/>
      <c r="AE77" s="121"/>
      <c r="AF77" s="121"/>
      <c r="AG77" s="122"/>
      <c r="AH77" s="121"/>
      <c r="AI77" s="123"/>
    </row>
    <row r="78" spans="1:35" s="112" customFormat="1" ht="24.95" customHeight="1" x14ac:dyDescent="0.2">
      <c r="A78" s="93"/>
      <c r="B78" s="517"/>
      <c r="C78" s="502"/>
      <c r="D78" s="502"/>
      <c r="E78" s="46" t="s">
        <v>1459</v>
      </c>
      <c r="F78" s="98" t="s">
        <v>1442</v>
      </c>
      <c r="G78" s="138" t="s">
        <v>1442</v>
      </c>
      <c r="H78" s="104"/>
      <c r="I78" s="72" t="s">
        <v>1442</v>
      </c>
      <c r="J78" s="61" t="s">
        <v>2509</v>
      </c>
      <c r="K78" s="99">
        <v>42197</v>
      </c>
      <c r="L78" s="61" t="s">
        <v>2510</v>
      </c>
      <c r="M78" s="104">
        <v>42199</v>
      </c>
      <c r="N78" s="46" t="s">
        <v>2543</v>
      </c>
      <c r="O78" s="104">
        <v>42207</v>
      </c>
      <c r="P78" s="114" t="s">
        <v>2544</v>
      </c>
      <c r="Q78" s="114" t="s">
        <v>2522</v>
      </c>
      <c r="R78" s="61">
        <v>42199</v>
      </c>
      <c r="S78" s="101"/>
      <c r="T78" s="102"/>
      <c r="U78" s="294" t="s">
        <v>3057</v>
      </c>
      <c r="V78" s="184" t="s">
        <v>3068</v>
      </c>
      <c r="W78" s="118"/>
      <c r="X78" s="118"/>
      <c r="Y78" s="119"/>
      <c r="Z78" s="120"/>
      <c r="AA78" s="121"/>
      <c r="AB78" s="122"/>
      <c r="AC78" s="121"/>
      <c r="AD78" s="121"/>
      <c r="AE78" s="121"/>
      <c r="AF78" s="121"/>
      <c r="AG78" s="122"/>
      <c r="AH78" s="121"/>
      <c r="AI78" s="123"/>
    </row>
    <row r="79" spans="1:35" s="112" customFormat="1" ht="24.95" customHeight="1" x14ac:dyDescent="0.2">
      <c r="A79" s="93">
        <f>A76+1</f>
        <v>69</v>
      </c>
      <c r="B79" s="220" t="s">
        <v>614</v>
      </c>
      <c r="C79" s="219" t="s">
        <v>881</v>
      </c>
      <c r="D79" s="219" t="s">
        <v>1160</v>
      </c>
      <c r="E79" s="46" t="s">
        <v>1369</v>
      </c>
      <c r="F79" s="98">
        <v>3</v>
      </c>
      <c r="G79" s="138">
        <v>42080</v>
      </c>
      <c r="H79" s="104"/>
      <c r="I79" s="72">
        <v>-7</v>
      </c>
      <c r="J79" s="61" t="s">
        <v>2267</v>
      </c>
      <c r="K79" s="61">
        <v>42087</v>
      </c>
      <c r="L79" s="61" t="s">
        <v>2268</v>
      </c>
      <c r="M79" s="104">
        <v>42092</v>
      </c>
      <c r="N79" s="46" t="s">
        <v>2326</v>
      </c>
      <c r="O79" s="104">
        <v>42107</v>
      </c>
      <c r="P79" s="114">
        <v>1</v>
      </c>
      <c r="Q79" s="223" t="s">
        <v>2272</v>
      </c>
      <c r="R79" s="61">
        <v>42095</v>
      </c>
      <c r="S79" s="46" t="s">
        <v>2278</v>
      </c>
      <c r="T79" s="104">
        <v>42101</v>
      </c>
      <c r="U79" s="114" t="s">
        <v>1369</v>
      </c>
      <c r="V79" s="106" t="s">
        <v>1442</v>
      </c>
      <c r="W79" s="118"/>
      <c r="X79" s="118"/>
      <c r="Y79" s="119"/>
      <c r="Z79" s="120"/>
      <c r="AA79" s="121"/>
      <c r="AB79" s="122"/>
      <c r="AC79" s="121"/>
      <c r="AD79" s="121"/>
      <c r="AE79" s="121"/>
      <c r="AF79" s="121"/>
      <c r="AG79" s="122"/>
      <c r="AH79" s="121"/>
      <c r="AI79" s="123"/>
    </row>
    <row r="80" spans="1:35" s="112" customFormat="1" ht="24.95" customHeight="1" x14ac:dyDescent="0.2">
      <c r="A80" s="93">
        <f t="shared" si="2"/>
        <v>70</v>
      </c>
      <c r="B80" s="220" t="s">
        <v>615</v>
      </c>
      <c r="C80" s="219" t="s">
        <v>882</v>
      </c>
      <c r="D80" s="219" t="s">
        <v>1161</v>
      </c>
      <c r="E80" s="46"/>
      <c r="F80" s="98">
        <v>3</v>
      </c>
      <c r="G80" s="138">
        <v>42080</v>
      </c>
      <c r="H80" s="104"/>
      <c r="I80" s="72">
        <f t="shared" ca="1" si="1"/>
        <v>-1982</v>
      </c>
      <c r="J80" s="99"/>
      <c r="K80" s="99"/>
      <c r="L80" s="114"/>
      <c r="M80" s="104"/>
      <c r="N80" s="46"/>
      <c r="O80" s="102"/>
      <c r="P80" s="101"/>
      <c r="Q80" s="101"/>
      <c r="R80" s="101"/>
      <c r="S80" s="101"/>
      <c r="T80" s="102"/>
      <c r="U80" s="101"/>
      <c r="V80" s="106"/>
      <c r="W80" s="118"/>
      <c r="X80" s="118"/>
      <c r="Y80" s="119"/>
      <c r="Z80" s="120"/>
      <c r="AA80" s="121"/>
      <c r="AB80" s="122"/>
      <c r="AC80" s="121"/>
      <c r="AD80" s="121"/>
      <c r="AE80" s="121"/>
      <c r="AF80" s="121"/>
      <c r="AG80" s="122"/>
      <c r="AH80" s="121"/>
      <c r="AI80" s="123"/>
    </row>
    <row r="81" spans="1:35" s="112" customFormat="1" ht="24.95" customHeight="1" x14ac:dyDescent="0.2">
      <c r="A81" s="93">
        <f t="shared" si="2"/>
        <v>71</v>
      </c>
      <c r="B81" s="220" t="s">
        <v>616</v>
      </c>
      <c r="C81" s="219" t="s">
        <v>883</v>
      </c>
      <c r="D81" s="219" t="s">
        <v>1162</v>
      </c>
      <c r="E81" s="46"/>
      <c r="F81" s="98">
        <v>3</v>
      </c>
      <c r="G81" s="138">
        <v>42080</v>
      </c>
      <c r="H81" s="104"/>
      <c r="I81" s="72">
        <f t="shared" ca="1" si="1"/>
        <v>-1982</v>
      </c>
      <c r="J81" s="99"/>
      <c r="K81" s="99"/>
      <c r="L81" s="114"/>
      <c r="M81" s="104"/>
      <c r="N81" s="46"/>
      <c r="O81" s="102"/>
      <c r="P81" s="101"/>
      <c r="Q81" s="101"/>
      <c r="R81" s="101"/>
      <c r="S81" s="101"/>
      <c r="T81" s="102"/>
      <c r="U81" s="101"/>
      <c r="V81" s="106"/>
      <c r="W81" s="118"/>
      <c r="X81" s="118"/>
      <c r="Y81" s="119"/>
      <c r="Z81" s="120"/>
      <c r="AA81" s="121"/>
      <c r="AB81" s="122"/>
      <c r="AC81" s="121"/>
      <c r="AD81" s="121"/>
      <c r="AE81" s="121"/>
      <c r="AF81" s="121"/>
      <c r="AG81" s="122"/>
      <c r="AH81" s="121"/>
      <c r="AI81" s="123"/>
    </row>
    <row r="82" spans="1:35" s="112" customFormat="1" ht="24.95" customHeight="1" x14ac:dyDescent="0.2">
      <c r="A82" s="93">
        <f t="shared" si="2"/>
        <v>72</v>
      </c>
      <c r="B82" s="220" t="s">
        <v>617</v>
      </c>
      <c r="C82" s="219" t="s">
        <v>884</v>
      </c>
      <c r="D82" s="219" t="s">
        <v>1163</v>
      </c>
      <c r="E82" s="46" t="s">
        <v>1369</v>
      </c>
      <c r="F82" s="98">
        <v>3</v>
      </c>
      <c r="G82" s="138">
        <v>42080</v>
      </c>
      <c r="H82" s="104"/>
      <c r="I82" s="72">
        <v>-7</v>
      </c>
      <c r="J82" s="61" t="s">
        <v>2267</v>
      </c>
      <c r="K82" s="61">
        <v>42087</v>
      </c>
      <c r="L82" s="61" t="s">
        <v>2268</v>
      </c>
      <c r="M82" s="104">
        <v>42092</v>
      </c>
      <c r="N82" s="46" t="s">
        <v>2326</v>
      </c>
      <c r="O82" s="104">
        <v>42107</v>
      </c>
      <c r="P82" s="114">
        <v>1</v>
      </c>
      <c r="Q82" s="223" t="s">
        <v>2272</v>
      </c>
      <c r="R82" s="61">
        <v>42095</v>
      </c>
      <c r="S82" s="46" t="s">
        <v>2277</v>
      </c>
      <c r="T82" s="104">
        <v>42101</v>
      </c>
      <c r="U82" s="114" t="s">
        <v>1369</v>
      </c>
      <c r="V82" s="106" t="s">
        <v>1442</v>
      </c>
      <c r="W82" s="118"/>
      <c r="X82" s="118"/>
      <c r="Y82" s="119"/>
      <c r="Z82" s="120"/>
      <c r="AA82" s="121"/>
      <c r="AB82" s="122"/>
      <c r="AC82" s="121"/>
      <c r="AD82" s="121"/>
      <c r="AE82" s="121"/>
      <c r="AF82" s="121"/>
      <c r="AG82" s="122"/>
      <c r="AH82" s="121"/>
      <c r="AI82" s="123"/>
    </row>
    <row r="83" spans="1:35" s="112" customFormat="1" ht="24.95" hidden="1" customHeight="1" x14ac:dyDescent="0.2">
      <c r="A83" s="93">
        <f t="shared" si="2"/>
        <v>73</v>
      </c>
      <c r="B83" s="220" t="s">
        <v>618</v>
      </c>
      <c r="C83" s="219" t="s">
        <v>885</v>
      </c>
      <c r="D83" s="219" t="s">
        <v>1164</v>
      </c>
      <c r="E83" s="46"/>
      <c r="F83" s="98">
        <v>3</v>
      </c>
      <c r="G83" s="138">
        <v>42080</v>
      </c>
      <c r="H83" s="104"/>
      <c r="I83" s="72">
        <f t="shared" ca="1" si="1"/>
        <v>-1982</v>
      </c>
      <c r="J83" s="99"/>
      <c r="K83" s="99"/>
      <c r="L83" s="114"/>
      <c r="M83" s="104"/>
      <c r="N83" s="46"/>
      <c r="O83" s="102"/>
      <c r="P83" s="101"/>
      <c r="Q83" s="101"/>
      <c r="R83" s="101"/>
      <c r="S83" s="101"/>
      <c r="T83" s="102"/>
      <c r="U83" s="114" t="s">
        <v>1369</v>
      </c>
      <c r="V83" s="106"/>
      <c r="W83" s="118"/>
      <c r="X83" s="118"/>
      <c r="Y83" s="119"/>
      <c r="Z83" s="120"/>
      <c r="AA83" s="121"/>
      <c r="AB83" s="122"/>
      <c r="AC83" s="121"/>
      <c r="AD83" s="121"/>
      <c r="AE83" s="121"/>
      <c r="AF83" s="121"/>
      <c r="AG83" s="122"/>
      <c r="AH83" s="121"/>
      <c r="AI83" s="123"/>
    </row>
    <row r="84" spans="1:35" s="112" customFormat="1" ht="24.95" customHeight="1" x14ac:dyDescent="0.2">
      <c r="A84" s="93">
        <f t="shared" si="2"/>
        <v>74</v>
      </c>
      <c r="B84" s="220" t="s">
        <v>619</v>
      </c>
      <c r="C84" s="219" t="s">
        <v>886</v>
      </c>
      <c r="D84" s="219" t="s">
        <v>1165</v>
      </c>
      <c r="E84" s="46" t="s">
        <v>1369</v>
      </c>
      <c r="F84" s="98">
        <v>3</v>
      </c>
      <c r="G84" s="138">
        <v>42080</v>
      </c>
      <c r="H84" s="104"/>
      <c r="I84" s="72">
        <v>-7</v>
      </c>
      <c r="J84" s="61" t="s">
        <v>2267</v>
      </c>
      <c r="K84" s="61">
        <v>42087</v>
      </c>
      <c r="L84" s="61" t="s">
        <v>2268</v>
      </c>
      <c r="M84" s="104">
        <v>42092</v>
      </c>
      <c r="N84" s="46" t="s">
        <v>2326</v>
      </c>
      <c r="O84" s="104">
        <v>42107</v>
      </c>
      <c r="P84" s="114">
        <v>1</v>
      </c>
      <c r="Q84" s="223" t="s">
        <v>2272</v>
      </c>
      <c r="R84" s="61">
        <v>42095</v>
      </c>
      <c r="S84" s="46" t="s">
        <v>2278</v>
      </c>
      <c r="T84" s="104">
        <v>42101</v>
      </c>
      <c r="U84" s="114" t="s">
        <v>1369</v>
      </c>
      <c r="V84" s="106" t="s">
        <v>1442</v>
      </c>
      <c r="W84" s="118"/>
      <c r="X84" s="118"/>
      <c r="Y84" s="119"/>
      <c r="Z84" s="120"/>
      <c r="AA84" s="121"/>
      <c r="AB84" s="122"/>
      <c r="AC84" s="121"/>
      <c r="AD84" s="121"/>
      <c r="AE84" s="121"/>
      <c r="AF84" s="121"/>
      <c r="AG84" s="122"/>
      <c r="AH84" s="121"/>
      <c r="AI84" s="123"/>
    </row>
    <row r="85" spans="1:35" s="112" customFormat="1" ht="24.95" hidden="1" customHeight="1" x14ac:dyDescent="0.2">
      <c r="A85" s="93">
        <f t="shared" si="2"/>
        <v>75</v>
      </c>
      <c r="B85" s="220" t="s">
        <v>620</v>
      </c>
      <c r="C85" s="219" t="s">
        <v>887</v>
      </c>
      <c r="D85" s="219" t="s">
        <v>1166</v>
      </c>
      <c r="E85" s="46"/>
      <c r="F85" s="98">
        <v>3</v>
      </c>
      <c r="G85" s="138">
        <v>42080</v>
      </c>
      <c r="H85" s="104"/>
      <c r="I85" s="72">
        <f t="shared" ca="1" si="1"/>
        <v>-1982</v>
      </c>
      <c r="J85" s="99"/>
      <c r="K85" s="99"/>
      <c r="L85" s="114"/>
      <c r="M85" s="104"/>
      <c r="N85" s="46"/>
      <c r="O85" s="102"/>
      <c r="P85" s="101"/>
      <c r="Q85" s="101"/>
      <c r="R85" s="101"/>
      <c r="S85" s="101"/>
      <c r="T85" s="102"/>
      <c r="U85" s="101"/>
      <c r="V85" s="106"/>
      <c r="W85" s="118"/>
      <c r="X85" s="118"/>
      <c r="Y85" s="119"/>
      <c r="Z85" s="120"/>
      <c r="AA85" s="121"/>
      <c r="AB85" s="122"/>
      <c r="AC85" s="121"/>
      <c r="AD85" s="121"/>
      <c r="AE85" s="121"/>
      <c r="AF85" s="121"/>
      <c r="AG85" s="122"/>
      <c r="AH85" s="121"/>
      <c r="AI85" s="123"/>
    </row>
    <row r="86" spans="1:35" s="112" customFormat="1" ht="24.95" hidden="1" customHeight="1" x14ac:dyDescent="0.2">
      <c r="A86" s="93">
        <f t="shared" si="2"/>
        <v>76</v>
      </c>
      <c r="B86" s="220" t="s">
        <v>621</v>
      </c>
      <c r="C86" s="219" t="s">
        <v>888</v>
      </c>
      <c r="D86" s="219" t="s">
        <v>1167</v>
      </c>
      <c r="E86" s="46"/>
      <c r="F86" s="98">
        <v>3</v>
      </c>
      <c r="G86" s="138">
        <v>42080</v>
      </c>
      <c r="H86" s="104"/>
      <c r="I86" s="72">
        <f t="shared" ca="1" si="1"/>
        <v>-1982</v>
      </c>
      <c r="J86" s="99"/>
      <c r="K86" s="99"/>
      <c r="L86" s="114"/>
      <c r="M86" s="104"/>
      <c r="N86" s="46"/>
      <c r="O86" s="102"/>
      <c r="P86" s="101"/>
      <c r="Q86" s="101"/>
      <c r="R86" s="101"/>
      <c r="S86" s="101"/>
      <c r="T86" s="102"/>
      <c r="U86" s="101"/>
      <c r="V86" s="106"/>
      <c r="W86" s="118"/>
      <c r="X86" s="118"/>
      <c r="Y86" s="119"/>
      <c r="Z86" s="120"/>
      <c r="AA86" s="121"/>
      <c r="AB86" s="122"/>
      <c r="AC86" s="121"/>
      <c r="AD86" s="121"/>
      <c r="AE86" s="121"/>
      <c r="AF86" s="121"/>
      <c r="AG86" s="122"/>
      <c r="AH86" s="121"/>
      <c r="AI86" s="123"/>
    </row>
    <row r="87" spans="1:35" s="112" customFormat="1" ht="24.95" customHeight="1" x14ac:dyDescent="0.2">
      <c r="A87" s="93">
        <f t="shared" si="2"/>
        <v>77</v>
      </c>
      <c r="B87" s="220" t="s">
        <v>622</v>
      </c>
      <c r="C87" s="219" t="s">
        <v>889</v>
      </c>
      <c r="D87" s="219" t="s">
        <v>1168</v>
      </c>
      <c r="E87" s="46" t="s">
        <v>1369</v>
      </c>
      <c r="F87" s="98">
        <v>3</v>
      </c>
      <c r="G87" s="138">
        <v>42080</v>
      </c>
      <c r="H87" s="104"/>
      <c r="I87" s="72">
        <v>-7</v>
      </c>
      <c r="J87" s="61" t="s">
        <v>2267</v>
      </c>
      <c r="K87" s="61">
        <v>42087</v>
      </c>
      <c r="L87" s="61" t="s">
        <v>2268</v>
      </c>
      <c r="M87" s="104">
        <v>42092</v>
      </c>
      <c r="N87" s="46" t="s">
        <v>2326</v>
      </c>
      <c r="O87" s="104">
        <v>42107</v>
      </c>
      <c r="P87" s="114">
        <v>1</v>
      </c>
      <c r="Q87" s="223" t="s">
        <v>2272</v>
      </c>
      <c r="R87" s="61">
        <v>42095</v>
      </c>
      <c r="S87" s="46" t="s">
        <v>2277</v>
      </c>
      <c r="T87" s="104">
        <v>42101</v>
      </c>
      <c r="U87" s="114" t="s">
        <v>1369</v>
      </c>
      <c r="V87" s="106" t="s">
        <v>1442</v>
      </c>
      <c r="W87" s="118"/>
      <c r="X87" s="118"/>
      <c r="Y87" s="119"/>
      <c r="Z87" s="120"/>
      <c r="AA87" s="121"/>
      <c r="AB87" s="122"/>
      <c r="AC87" s="121"/>
      <c r="AD87" s="121"/>
      <c r="AE87" s="121"/>
      <c r="AF87" s="121"/>
      <c r="AG87" s="122"/>
      <c r="AH87" s="121"/>
      <c r="AI87" s="123"/>
    </row>
    <row r="88" spans="1:35" s="112" customFormat="1" ht="24.95" hidden="1" customHeight="1" x14ac:dyDescent="0.2">
      <c r="A88" s="93">
        <f t="shared" si="2"/>
        <v>78</v>
      </c>
      <c r="B88" s="220" t="s">
        <v>623</v>
      </c>
      <c r="C88" s="219" t="s">
        <v>890</v>
      </c>
      <c r="D88" s="219" t="s">
        <v>1169</v>
      </c>
      <c r="E88" s="46"/>
      <c r="F88" s="98">
        <v>3</v>
      </c>
      <c r="G88" s="138">
        <v>42080</v>
      </c>
      <c r="H88" s="104"/>
      <c r="I88" s="72">
        <f t="shared" ca="1" si="1"/>
        <v>-1982</v>
      </c>
      <c r="J88" s="99"/>
      <c r="K88" s="99"/>
      <c r="L88" s="114"/>
      <c r="M88" s="104"/>
      <c r="N88" s="46"/>
      <c r="O88" s="102"/>
      <c r="P88" s="101"/>
      <c r="Q88" s="101"/>
      <c r="R88" s="101"/>
      <c r="S88" s="101"/>
      <c r="T88" s="102"/>
      <c r="U88" s="114" t="s">
        <v>1369</v>
      </c>
      <c r="V88" s="106"/>
      <c r="W88" s="118"/>
      <c r="X88" s="118"/>
      <c r="Y88" s="119"/>
      <c r="Z88" s="120"/>
      <c r="AA88" s="121"/>
      <c r="AB88" s="122"/>
      <c r="AC88" s="121"/>
      <c r="AD88" s="121"/>
      <c r="AE88" s="121"/>
      <c r="AF88" s="121"/>
      <c r="AG88" s="122"/>
      <c r="AH88" s="121"/>
      <c r="AI88" s="123"/>
    </row>
    <row r="89" spans="1:35" s="112" customFormat="1" ht="24.95" customHeight="1" x14ac:dyDescent="0.2">
      <c r="A89" s="93">
        <f t="shared" si="2"/>
        <v>79</v>
      </c>
      <c r="B89" s="220" t="s">
        <v>624</v>
      </c>
      <c r="C89" s="219" t="s">
        <v>891</v>
      </c>
      <c r="D89" s="219" t="s">
        <v>1170</v>
      </c>
      <c r="E89" s="46" t="s">
        <v>1369</v>
      </c>
      <c r="F89" s="98">
        <v>3</v>
      </c>
      <c r="G89" s="138">
        <v>42080</v>
      </c>
      <c r="H89" s="104"/>
      <c r="I89" s="72">
        <v>-7</v>
      </c>
      <c r="J89" s="61" t="s">
        <v>2267</v>
      </c>
      <c r="K89" s="61">
        <v>42087</v>
      </c>
      <c r="L89" s="61" t="s">
        <v>2268</v>
      </c>
      <c r="M89" s="104">
        <v>42092</v>
      </c>
      <c r="N89" s="46" t="s">
        <v>2326</v>
      </c>
      <c r="O89" s="104">
        <v>42107</v>
      </c>
      <c r="P89" s="114">
        <v>1</v>
      </c>
      <c r="Q89" s="223" t="s">
        <v>2272</v>
      </c>
      <c r="R89" s="61">
        <v>42095</v>
      </c>
      <c r="S89" s="46" t="s">
        <v>2278</v>
      </c>
      <c r="T89" s="104">
        <v>42101</v>
      </c>
      <c r="U89" s="114" t="s">
        <v>1369</v>
      </c>
      <c r="V89" s="106" t="s">
        <v>1442</v>
      </c>
      <c r="W89" s="118"/>
      <c r="X89" s="118"/>
      <c r="Y89" s="119"/>
      <c r="Z89" s="120"/>
      <c r="AA89" s="121"/>
      <c r="AB89" s="122"/>
      <c r="AC89" s="121"/>
      <c r="AD89" s="121"/>
      <c r="AE89" s="121"/>
      <c r="AF89" s="121"/>
      <c r="AG89" s="122"/>
      <c r="AH89" s="121"/>
      <c r="AI89" s="123"/>
    </row>
    <row r="90" spans="1:35" s="112" customFormat="1" ht="24.95" hidden="1" customHeight="1" x14ac:dyDescent="0.2">
      <c r="A90" s="93">
        <f t="shared" si="2"/>
        <v>80</v>
      </c>
      <c r="B90" s="220" t="s">
        <v>625</v>
      </c>
      <c r="C90" s="219" t="s">
        <v>892</v>
      </c>
      <c r="D90" s="219" t="s">
        <v>1171</v>
      </c>
      <c r="E90" s="46"/>
      <c r="F90" s="98">
        <v>3</v>
      </c>
      <c r="G90" s="138">
        <v>42080</v>
      </c>
      <c r="H90" s="104"/>
      <c r="I90" s="72">
        <f t="shared" ca="1" si="1"/>
        <v>-1982</v>
      </c>
      <c r="J90" s="99"/>
      <c r="K90" s="99"/>
      <c r="L90" s="114"/>
      <c r="M90" s="104"/>
      <c r="N90" s="46"/>
      <c r="O90" s="102"/>
      <c r="P90" s="101"/>
      <c r="Q90" s="101"/>
      <c r="R90" s="101"/>
      <c r="S90" s="101"/>
      <c r="T90" s="102"/>
      <c r="U90" s="101"/>
      <c r="V90" s="106"/>
      <c r="W90" s="118"/>
      <c r="X90" s="118"/>
      <c r="Y90" s="119"/>
      <c r="Z90" s="120"/>
      <c r="AA90" s="121"/>
      <c r="AB90" s="122"/>
      <c r="AC90" s="121"/>
      <c r="AD90" s="121"/>
      <c r="AE90" s="121"/>
      <c r="AF90" s="121"/>
      <c r="AG90" s="122"/>
      <c r="AH90" s="121"/>
      <c r="AI90" s="123"/>
    </row>
    <row r="91" spans="1:35" s="112" customFormat="1" ht="24.95" hidden="1" customHeight="1" x14ac:dyDescent="0.2">
      <c r="A91" s="93">
        <f t="shared" si="2"/>
        <v>81</v>
      </c>
      <c r="B91" s="220" t="s">
        <v>626</v>
      </c>
      <c r="C91" s="219" t="s">
        <v>893</v>
      </c>
      <c r="D91" s="219" t="s">
        <v>1172</v>
      </c>
      <c r="E91" s="46"/>
      <c r="F91" s="98">
        <v>3</v>
      </c>
      <c r="G91" s="138">
        <v>42080</v>
      </c>
      <c r="H91" s="104"/>
      <c r="I91" s="72">
        <f t="shared" ca="1" si="1"/>
        <v>-1982</v>
      </c>
      <c r="J91" s="99"/>
      <c r="K91" s="99"/>
      <c r="L91" s="114"/>
      <c r="M91" s="104"/>
      <c r="N91" s="46"/>
      <c r="O91" s="102"/>
      <c r="P91" s="101"/>
      <c r="Q91" s="101"/>
      <c r="R91" s="101"/>
      <c r="S91" s="101"/>
      <c r="T91" s="102"/>
      <c r="U91" s="101"/>
      <c r="V91" s="106"/>
      <c r="W91" s="118"/>
      <c r="X91" s="118"/>
      <c r="Y91" s="119"/>
      <c r="Z91" s="120"/>
      <c r="AA91" s="121"/>
      <c r="AB91" s="122"/>
      <c r="AC91" s="121"/>
      <c r="AD91" s="121"/>
      <c r="AE91" s="121"/>
      <c r="AF91" s="121"/>
      <c r="AG91" s="122"/>
      <c r="AH91" s="121"/>
      <c r="AI91" s="123"/>
    </row>
    <row r="92" spans="1:35" s="112" customFormat="1" ht="24.95" customHeight="1" x14ac:dyDescent="0.2">
      <c r="A92" s="93">
        <f t="shared" si="2"/>
        <v>82</v>
      </c>
      <c r="B92" s="220" t="s">
        <v>627</v>
      </c>
      <c r="C92" s="219" t="s">
        <v>894</v>
      </c>
      <c r="D92" s="219" t="s">
        <v>1173</v>
      </c>
      <c r="E92" s="46" t="s">
        <v>1369</v>
      </c>
      <c r="F92" s="98">
        <v>3</v>
      </c>
      <c r="G92" s="138">
        <v>42080</v>
      </c>
      <c r="H92" s="104"/>
      <c r="I92" s="72">
        <v>-7</v>
      </c>
      <c r="J92" s="61" t="s">
        <v>2267</v>
      </c>
      <c r="K92" s="61">
        <v>42087</v>
      </c>
      <c r="L92" s="61" t="s">
        <v>2268</v>
      </c>
      <c r="M92" s="104">
        <v>42092</v>
      </c>
      <c r="N92" s="46" t="s">
        <v>2326</v>
      </c>
      <c r="O92" s="104">
        <v>42107</v>
      </c>
      <c r="P92" s="114">
        <v>1</v>
      </c>
      <c r="Q92" s="223" t="s">
        <v>2272</v>
      </c>
      <c r="R92" s="61">
        <v>42095</v>
      </c>
      <c r="S92" s="46" t="s">
        <v>2277</v>
      </c>
      <c r="T92" s="104">
        <v>42101</v>
      </c>
      <c r="U92" s="114" t="s">
        <v>1369</v>
      </c>
      <c r="V92" s="106" t="s">
        <v>1442</v>
      </c>
      <c r="W92" s="118"/>
      <c r="X92" s="118"/>
      <c r="Y92" s="119"/>
      <c r="Z92" s="120"/>
      <c r="AA92" s="121"/>
      <c r="AB92" s="122"/>
      <c r="AC92" s="121"/>
      <c r="AD92" s="121"/>
      <c r="AE92" s="121"/>
      <c r="AF92" s="121"/>
      <c r="AG92" s="122"/>
      <c r="AH92" s="121"/>
      <c r="AI92" s="123"/>
    </row>
    <row r="93" spans="1:35" s="112" customFormat="1" ht="24.95" hidden="1" customHeight="1" x14ac:dyDescent="0.2">
      <c r="A93" s="93">
        <f t="shared" si="2"/>
        <v>83</v>
      </c>
      <c r="B93" s="220" t="s">
        <v>628</v>
      </c>
      <c r="C93" s="219" t="s">
        <v>895</v>
      </c>
      <c r="D93" s="219" t="s">
        <v>1174</v>
      </c>
      <c r="E93" s="46"/>
      <c r="F93" s="98">
        <v>3</v>
      </c>
      <c r="G93" s="138">
        <v>42080</v>
      </c>
      <c r="H93" s="104"/>
      <c r="I93" s="72">
        <f t="shared" ca="1" si="1"/>
        <v>-1982</v>
      </c>
      <c r="J93" s="99"/>
      <c r="K93" s="99"/>
      <c r="L93" s="114"/>
      <c r="M93" s="104"/>
      <c r="N93" s="46"/>
      <c r="O93" s="102"/>
      <c r="P93" s="101"/>
      <c r="Q93" s="101"/>
      <c r="R93" s="101"/>
      <c r="S93" s="101"/>
      <c r="T93" s="102"/>
      <c r="U93" s="114" t="s">
        <v>1369</v>
      </c>
      <c r="V93" s="106"/>
      <c r="W93" s="118"/>
      <c r="X93" s="118"/>
      <c r="Y93" s="119"/>
      <c r="Z93" s="120"/>
      <c r="AA93" s="121"/>
      <c r="AB93" s="122"/>
      <c r="AC93" s="121"/>
      <c r="AD93" s="121"/>
      <c r="AE93" s="121"/>
      <c r="AF93" s="121"/>
      <c r="AG93" s="122"/>
      <c r="AH93" s="121"/>
      <c r="AI93" s="123"/>
    </row>
    <row r="94" spans="1:35" s="112" customFormat="1" ht="24.95" customHeight="1" x14ac:dyDescent="0.2">
      <c r="A94" s="93">
        <f t="shared" si="2"/>
        <v>84</v>
      </c>
      <c r="B94" s="220" t="s">
        <v>629</v>
      </c>
      <c r="C94" s="219" t="s">
        <v>896</v>
      </c>
      <c r="D94" s="219" t="s">
        <v>1175</v>
      </c>
      <c r="E94" s="46" t="s">
        <v>1369</v>
      </c>
      <c r="F94" s="98">
        <v>3</v>
      </c>
      <c r="G94" s="138">
        <v>42080</v>
      </c>
      <c r="H94" s="104"/>
      <c r="I94" s="72">
        <v>-7</v>
      </c>
      <c r="J94" s="61" t="s">
        <v>2267</v>
      </c>
      <c r="K94" s="61">
        <v>42087</v>
      </c>
      <c r="L94" s="61" t="s">
        <v>2268</v>
      </c>
      <c r="M94" s="104">
        <v>42092</v>
      </c>
      <c r="N94" s="46" t="s">
        <v>2326</v>
      </c>
      <c r="O94" s="104">
        <v>42107</v>
      </c>
      <c r="P94" s="114">
        <v>1</v>
      </c>
      <c r="Q94" s="223" t="s">
        <v>2272</v>
      </c>
      <c r="R94" s="61">
        <v>42095</v>
      </c>
      <c r="S94" s="46" t="s">
        <v>2278</v>
      </c>
      <c r="T94" s="104">
        <v>42101</v>
      </c>
      <c r="U94" s="114" t="s">
        <v>1369</v>
      </c>
      <c r="V94" s="106" t="s">
        <v>1442</v>
      </c>
      <c r="W94" s="118"/>
      <c r="X94" s="118"/>
      <c r="Y94" s="119"/>
      <c r="Z94" s="120"/>
      <c r="AA94" s="121"/>
      <c r="AB94" s="122"/>
      <c r="AC94" s="121"/>
      <c r="AD94" s="121"/>
      <c r="AE94" s="121"/>
      <c r="AF94" s="121"/>
      <c r="AG94" s="122"/>
      <c r="AH94" s="121"/>
      <c r="AI94" s="123"/>
    </row>
    <row r="95" spans="1:35" s="112" customFormat="1" ht="24.95" hidden="1" customHeight="1" x14ac:dyDescent="0.2">
      <c r="A95" s="93">
        <f t="shared" si="2"/>
        <v>85</v>
      </c>
      <c r="B95" s="220" t="s">
        <v>630</v>
      </c>
      <c r="C95" s="219" t="s">
        <v>897</v>
      </c>
      <c r="D95" s="219" t="s">
        <v>1176</v>
      </c>
      <c r="E95" s="46"/>
      <c r="F95" s="98">
        <v>3</v>
      </c>
      <c r="G95" s="138">
        <v>42080</v>
      </c>
      <c r="H95" s="104"/>
      <c r="I95" s="72">
        <f t="shared" ca="1" si="1"/>
        <v>-1982</v>
      </c>
      <c r="J95" s="99"/>
      <c r="K95" s="99"/>
      <c r="L95" s="114"/>
      <c r="M95" s="104"/>
      <c r="N95" s="46"/>
      <c r="O95" s="102"/>
      <c r="P95" s="101"/>
      <c r="Q95" s="101"/>
      <c r="R95" s="101"/>
      <c r="S95" s="101"/>
      <c r="T95" s="102"/>
      <c r="U95" s="101"/>
      <c r="V95" s="106"/>
      <c r="W95" s="118"/>
      <c r="X95" s="118"/>
      <c r="Y95" s="119"/>
      <c r="Z95" s="120"/>
      <c r="AA95" s="121"/>
      <c r="AB95" s="122"/>
      <c r="AC95" s="121"/>
      <c r="AD95" s="121"/>
      <c r="AE95" s="121"/>
      <c r="AF95" s="121"/>
      <c r="AG95" s="122"/>
      <c r="AH95" s="121"/>
      <c r="AI95" s="123"/>
    </row>
    <row r="96" spans="1:35" s="112" customFormat="1" ht="24.95" hidden="1" customHeight="1" x14ac:dyDescent="0.2">
      <c r="A96" s="93">
        <f t="shared" si="2"/>
        <v>86</v>
      </c>
      <c r="B96" s="220" t="s">
        <v>631</v>
      </c>
      <c r="C96" s="219" t="s">
        <v>898</v>
      </c>
      <c r="D96" s="219" t="s">
        <v>1177</v>
      </c>
      <c r="E96" s="46"/>
      <c r="F96" s="98">
        <v>3</v>
      </c>
      <c r="G96" s="138">
        <v>42080</v>
      </c>
      <c r="H96" s="104"/>
      <c r="I96" s="72">
        <f t="shared" ca="1" si="1"/>
        <v>-1982</v>
      </c>
      <c r="J96" s="99"/>
      <c r="K96" s="99"/>
      <c r="L96" s="114"/>
      <c r="M96" s="104"/>
      <c r="N96" s="46"/>
      <c r="O96" s="102"/>
      <c r="P96" s="101"/>
      <c r="Q96" s="101"/>
      <c r="R96" s="101"/>
      <c r="S96" s="101"/>
      <c r="T96" s="102"/>
      <c r="U96" s="101"/>
      <c r="V96" s="106"/>
      <c r="W96" s="118"/>
      <c r="X96" s="118"/>
      <c r="Y96" s="119"/>
      <c r="Z96" s="120"/>
      <c r="AA96" s="121"/>
      <c r="AB96" s="122"/>
      <c r="AC96" s="121"/>
      <c r="AD96" s="121"/>
      <c r="AE96" s="121"/>
      <c r="AF96" s="121"/>
      <c r="AG96" s="122"/>
      <c r="AH96" s="121"/>
      <c r="AI96" s="123"/>
    </row>
    <row r="97" spans="1:35" s="112" customFormat="1" ht="24.95" customHeight="1" x14ac:dyDescent="0.2">
      <c r="A97" s="93">
        <f t="shared" si="2"/>
        <v>87</v>
      </c>
      <c r="B97" s="220" t="s">
        <v>632</v>
      </c>
      <c r="C97" s="219" t="s">
        <v>899</v>
      </c>
      <c r="D97" s="219" t="s">
        <v>1178</v>
      </c>
      <c r="E97" s="46" t="s">
        <v>1369</v>
      </c>
      <c r="F97" s="98">
        <v>3</v>
      </c>
      <c r="G97" s="138">
        <v>42080</v>
      </c>
      <c r="H97" s="104"/>
      <c r="I97" s="72">
        <v>-7</v>
      </c>
      <c r="J97" s="61" t="s">
        <v>2267</v>
      </c>
      <c r="K97" s="61">
        <v>42087</v>
      </c>
      <c r="L97" s="61" t="s">
        <v>2268</v>
      </c>
      <c r="M97" s="104">
        <v>42092</v>
      </c>
      <c r="N97" s="46" t="s">
        <v>2326</v>
      </c>
      <c r="O97" s="104">
        <v>42107</v>
      </c>
      <c r="P97" s="114">
        <v>1</v>
      </c>
      <c r="Q97" s="223" t="s">
        <v>2272</v>
      </c>
      <c r="R97" s="61">
        <v>42095</v>
      </c>
      <c r="S97" s="46" t="s">
        <v>2277</v>
      </c>
      <c r="T97" s="104">
        <v>42101</v>
      </c>
      <c r="U97" s="114" t="s">
        <v>1369</v>
      </c>
      <c r="V97" s="106" t="s">
        <v>1442</v>
      </c>
      <c r="W97" s="118"/>
      <c r="X97" s="118"/>
      <c r="Y97" s="119"/>
      <c r="Z97" s="120"/>
      <c r="AA97" s="121"/>
      <c r="AB97" s="122"/>
      <c r="AC97" s="121"/>
      <c r="AD97" s="121"/>
      <c r="AE97" s="121"/>
      <c r="AF97" s="121"/>
      <c r="AG97" s="122"/>
      <c r="AH97" s="121"/>
      <c r="AI97" s="123"/>
    </row>
    <row r="98" spans="1:35" s="112" customFormat="1" ht="24.95" hidden="1" customHeight="1" x14ac:dyDescent="0.2">
      <c r="A98" s="93">
        <f t="shared" si="2"/>
        <v>88</v>
      </c>
      <c r="B98" s="220" t="s">
        <v>633</v>
      </c>
      <c r="C98" s="219" t="s">
        <v>900</v>
      </c>
      <c r="D98" s="219" t="s">
        <v>1179</v>
      </c>
      <c r="E98" s="46"/>
      <c r="F98" s="98">
        <v>3</v>
      </c>
      <c r="G98" s="138">
        <v>42080</v>
      </c>
      <c r="H98" s="104"/>
      <c r="I98" s="72">
        <f t="shared" ca="1" si="1"/>
        <v>-1982</v>
      </c>
      <c r="J98" s="99"/>
      <c r="K98" s="99"/>
      <c r="L98" s="114"/>
      <c r="M98" s="104"/>
      <c r="N98" s="46"/>
      <c r="O98" s="102"/>
      <c r="P98" s="101"/>
      <c r="Q98" s="101"/>
      <c r="R98" s="101"/>
      <c r="S98" s="101"/>
      <c r="T98" s="102"/>
      <c r="U98" s="114" t="s">
        <v>1369</v>
      </c>
      <c r="V98" s="106"/>
      <c r="W98" s="118"/>
      <c r="X98" s="118"/>
      <c r="Y98" s="119"/>
      <c r="Z98" s="120"/>
      <c r="AA98" s="121"/>
      <c r="AB98" s="122"/>
      <c r="AC98" s="121"/>
      <c r="AD98" s="121"/>
      <c r="AE98" s="121"/>
      <c r="AF98" s="121"/>
      <c r="AG98" s="122"/>
      <c r="AH98" s="121"/>
      <c r="AI98" s="123"/>
    </row>
    <row r="99" spans="1:35" s="112" customFormat="1" ht="24.95" customHeight="1" x14ac:dyDescent="0.2">
      <c r="A99" s="93">
        <f t="shared" si="2"/>
        <v>89</v>
      </c>
      <c r="B99" s="220" t="s">
        <v>634</v>
      </c>
      <c r="C99" s="219" t="s">
        <v>901</v>
      </c>
      <c r="D99" s="219" t="s">
        <v>1180</v>
      </c>
      <c r="E99" s="46" t="s">
        <v>1369</v>
      </c>
      <c r="F99" s="98">
        <v>3</v>
      </c>
      <c r="G99" s="138">
        <v>42080</v>
      </c>
      <c r="H99" s="104"/>
      <c r="I99" s="72">
        <v>-7</v>
      </c>
      <c r="J99" s="61" t="s">
        <v>2267</v>
      </c>
      <c r="K99" s="61">
        <v>42087</v>
      </c>
      <c r="L99" s="61" t="s">
        <v>2268</v>
      </c>
      <c r="M99" s="104">
        <v>42092</v>
      </c>
      <c r="N99" s="46" t="s">
        <v>2326</v>
      </c>
      <c r="O99" s="104">
        <v>42107</v>
      </c>
      <c r="P99" s="114">
        <v>1</v>
      </c>
      <c r="Q99" s="223" t="s">
        <v>2272</v>
      </c>
      <c r="R99" s="61">
        <v>42095</v>
      </c>
      <c r="S99" s="46" t="s">
        <v>2278</v>
      </c>
      <c r="T99" s="104">
        <v>42101</v>
      </c>
      <c r="U99" s="114" t="s">
        <v>1369</v>
      </c>
      <c r="V99" s="106" t="s">
        <v>1442</v>
      </c>
      <c r="W99" s="118"/>
      <c r="X99" s="118"/>
      <c r="Y99" s="119"/>
      <c r="Z99" s="120"/>
      <c r="AA99" s="121"/>
      <c r="AB99" s="122"/>
      <c r="AC99" s="121"/>
      <c r="AD99" s="121"/>
      <c r="AE99" s="121"/>
      <c r="AF99" s="121"/>
      <c r="AG99" s="122"/>
      <c r="AH99" s="121"/>
      <c r="AI99" s="123"/>
    </row>
    <row r="100" spans="1:35" s="112" customFormat="1" ht="24.95" customHeight="1" x14ac:dyDescent="0.2">
      <c r="A100" s="93">
        <f t="shared" si="2"/>
        <v>90</v>
      </c>
      <c r="B100" s="220" t="s">
        <v>635</v>
      </c>
      <c r="C100" s="219" t="s">
        <v>902</v>
      </c>
      <c r="D100" s="219" t="s">
        <v>1181</v>
      </c>
      <c r="E100" s="46"/>
      <c r="F100" s="98">
        <v>3</v>
      </c>
      <c r="G100" s="138">
        <v>42080</v>
      </c>
      <c r="H100" s="104"/>
      <c r="I100" s="72">
        <f t="shared" ca="1" si="1"/>
        <v>-1982</v>
      </c>
      <c r="J100" s="99"/>
      <c r="K100" s="99"/>
      <c r="L100" s="114"/>
      <c r="M100" s="104"/>
      <c r="N100" s="46"/>
      <c r="O100" s="102"/>
      <c r="P100" s="101"/>
      <c r="Q100" s="101"/>
      <c r="R100" s="101"/>
      <c r="S100" s="101"/>
      <c r="T100" s="102"/>
      <c r="U100" s="101"/>
      <c r="V100" s="106"/>
      <c r="W100" s="118"/>
      <c r="X100" s="118"/>
      <c r="Y100" s="119"/>
      <c r="Z100" s="120"/>
      <c r="AA100" s="121"/>
      <c r="AB100" s="122"/>
      <c r="AC100" s="121"/>
      <c r="AD100" s="121"/>
      <c r="AE100" s="121"/>
      <c r="AF100" s="121"/>
      <c r="AG100" s="122"/>
      <c r="AH100" s="121"/>
      <c r="AI100" s="123"/>
    </row>
    <row r="101" spans="1:35" s="112" customFormat="1" ht="24.95" customHeight="1" x14ac:dyDescent="0.2">
      <c r="A101" s="93">
        <f t="shared" si="2"/>
        <v>91</v>
      </c>
      <c r="B101" s="220" t="s">
        <v>636</v>
      </c>
      <c r="C101" s="219" t="s">
        <v>903</v>
      </c>
      <c r="D101" s="219" t="s">
        <v>1182</v>
      </c>
      <c r="E101" s="46"/>
      <c r="F101" s="98">
        <v>3</v>
      </c>
      <c r="G101" s="138">
        <v>42080</v>
      </c>
      <c r="H101" s="104"/>
      <c r="I101" s="72">
        <f t="shared" ca="1" si="1"/>
        <v>-1982</v>
      </c>
      <c r="J101" s="99"/>
      <c r="K101" s="99"/>
      <c r="L101" s="114"/>
      <c r="M101" s="104"/>
      <c r="N101" s="46"/>
      <c r="O101" s="102"/>
      <c r="P101" s="101"/>
      <c r="Q101" s="101"/>
      <c r="R101" s="101"/>
      <c r="S101" s="101"/>
      <c r="T101" s="102"/>
      <c r="U101" s="101"/>
      <c r="V101" s="106"/>
      <c r="W101" s="118"/>
      <c r="X101" s="118"/>
      <c r="Y101" s="119"/>
      <c r="Z101" s="120"/>
      <c r="AA101" s="121"/>
      <c r="AB101" s="122"/>
      <c r="AC101" s="121"/>
      <c r="AD101" s="121"/>
      <c r="AE101" s="121"/>
      <c r="AF101" s="121"/>
      <c r="AG101" s="122"/>
      <c r="AH101" s="121"/>
      <c r="AI101" s="123"/>
    </row>
    <row r="102" spans="1:35" s="112" customFormat="1" ht="24.95" customHeight="1" x14ac:dyDescent="0.2">
      <c r="A102" s="93">
        <f t="shared" si="2"/>
        <v>92</v>
      </c>
      <c r="B102" s="220" t="s">
        <v>637</v>
      </c>
      <c r="C102" s="219" t="s">
        <v>904</v>
      </c>
      <c r="D102" s="219" t="s">
        <v>1183</v>
      </c>
      <c r="E102" s="46" t="s">
        <v>1369</v>
      </c>
      <c r="F102" s="98">
        <v>3</v>
      </c>
      <c r="G102" s="138">
        <v>42080</v>
      </c>
      <c r="H102" s="104"/>
      <c r="I102" s="72">
        <v>-7</v>
      </c>
      <c r="J102" s="61" t="s">
        <v>2267</v>
      </c>
      <c r="K102" s="61">
        <v>42087</v>
      </c>
      <c r="L102" s="61" t="s">
        <v>2268</v>
      </c>
      <c r="M102" s="104">
        <v>42092</v>
      </c>
      <c r="N102" s="46" t="s">
        <v>2326</v>
      </c>
      <c r="O102" s="104">
        <v>42107</v>
      </c>
      <c r="P102" s="114">
        <v>1</v>
      </c>
      <c r="Q102" s="223" t="s">
        <v>2272</v>
      </c>
      <c r="R102" s="61">
        <v>42095</v>
      </c>
      <c r="S102" s="46" t="s">
        <v>2277</v>
      </c>
      <c r="T102" s="104">
        <v>42101</v>
      </c>
      <c r="U102" s="114" t="s">
        <v>1369</v>
      </c>
      <c r="V102" s="106" t="s">
        <v>1442</v>
      </c>
      <c r="W102" s="118"/>
      <c r="X102" s="118"/>
      <c r="Y102" s="119"/>
      <c r="Z102" s="120"/>
      <c r="AA102" s="121"/>
      <c r="AB102" s="122"/>
      <c r="AC102" s="121"/>
      <c r="AD102" s="121"/>
      <c r="AE102" s="121"/>
      <c r="AF102" s="121"/>
      <c r="AG102" s="122"/>
      <c r="AH102" s="121"/>
      <c r="AI102" s="123"/>
    </row>
    <row r="103" spans="1:35" s="112" customFormat="1" ht="24.95" hidden="1" customHeight="1" x14ac:dyDescent="0.2">
      <c r="A103" s="93">
        <f t="shared" si="2"/>
        <v>93</v>
      </c>
      <c r="B103" s="220" t="s">
        <v>638</v>
      </c>
      <c r="C103" s="219" t="s">
        <v>905</v>
      </c>
      <c r="D103" s="219" t="s">
        <v>1184</v>
      </c>
      <c r="E103" s="46"/>
      <c r="F103" s="98">
        <v>3</v>
      </c>
      <c r="G103" s="138">
        <v>42080</v>
      </c>
      <c r="H103" s="104"/>
      <c r="I103" s="72">
        <f t="shared" ca="1" si="1"/>
        <v>-1982</v>
      </c>
      <c r="J103" s="99"/>
      <c r="K103" s="99"/>
      <c r="L103" s="114"/>
      <c r="M103" s="104"/>
      <c r="N103" s="46"/>
      <c r="O103" s="102"/>
      <c r="P103" s="101"/>
      <c r="Q103" s="101"/>
      <c r="R103" s="101"/>
      <c r="S103" s="101"/>
      <c r="T103" s="102"/>
      <c r="U103" s="114" t="s">
        <v>1369</v>
      </c>
      <c r="V103" s="106"/>
      <c r="W103" s="118"/>
      <c r="X103" s="118"/>
      <c r="Y103" s="119"/>
      <c r="Z103" s="120"/>
      <c r="AA103" s="121"/>
      <c r="AB103" s="122"/>
      <c r="AC103" s="121"/>
      <c r="AD103" s="121"/>
      <c r="AE103" s="121"/>
      <c r="AF103" s="121"/>
      <c r="AG103" s="122"/>
      <c r="AH103" s="121"/>
      <c r="AI103" s="123"/>
    </row>
    <row r="104" spans="1:35" s="112" customFormat="1" ht="24.95" customHeight="1" x14ac:dyDescent="0.2">
      <c r="A104" s="93">
        <f t="shared" si="2"/>
        <v>94</v>
      </c>
      <c r="B104" s="220" t="s">
        <v>639</v>
      </c>
      <c r="C104" s="219" t="s">
        <v>906</v>
      </c>
      <c r="D104" s="219" t="s">
        <v>1185</v>
      </c>
      <c r="E104" s="46" t="s">
        <v>1369</v>
      </c>
      <c r="F104" s="98">
        <v>3</v>
      </c>
      <c r="G104" s="138">
        <v>42080</v>
      </c>
      <c r="H104" s="104"/>
      <c r="I104" s="72">
        <v>-7</v>
      </c>
      <c r="J104" s="61" t="s">
        <v>2267</v>
      </c>
      <c r="K104" s="61">
        <v>42087</v>
      </c>
      <c r="L104" s="61" t="s">
        <v>2268</v>
      </c>
      <c r="M104" s="104">
        <v>42092</v>
      </c>
      <c r="N104" s="46" t="s">
        <v>2326</v>
      </c>
      <c r="O104" s="104">
        <v>42107</v>
      </c>
      <c r="P104" s="114">
        <v>1</v>
      </c>
      <c r="Q104" s="223" t="s">
        <v>2272</v>
      </c>
      <c r="R104" s="61">
        <v>42095</v>
      </c>
      <c r="S104" s="46" t="s">
        <v>2278</v>
      </c>
      <c r="T104" s="104">
        <v>42101</v>
      </c>
      <c r="U104" s="114" t="s">
        <v>1369</v>
      </c>
      <c r="V104" s="106" t="s">
        <v>1442</v>
      </c>
      <c r="W104" s="118"/>
      <c r="X104" s="118"/>
      <c r="Y104" s="119"/>
      <c r="Z104" s="120"/>
      <c r="AA104" s="121"/>
      <c r="AB104" s="122"/>
      <c r="AC104" s="121"/>
      <c r="AD104" s="121"/>
      <c r="AE104" s="121"/>
      <c r="AF104" s="121"/>
      <c r="AG104" s="122"/>
      <c r="AH104" s="121"/>
      <c r="AI104" s="123"/>
    </row>
    <row r="105" spans="1:35" s="112" customFormat="1" ht="24.95" hidden="1" customHeight="1" x14ac:dyDescent="0.2">
      <c r="A105" s="93">
        <f t="shared" si="2"/>
        <v>95</v>
      </c>
      <c r="B105" s="220" t="s">
        <v>640</v>
      </c>
      <c r="C105" s="219" t="s">
        <v>907</v>
      </c>
      <c r="D105" s="219" t="s">
        <v>1186</v>
      </c>
      <c r="E105" s="46"/>
      <c r="F105" s="98">
        <v>3</v>
      </c>
      <c r="G105" s="138">
        <v>42080</v>
      </c>
      <c r="H105" s="104"/>
      <c r="I105" s="72">
        <f t="shared" ca="1" si="1"/>
        <v>-1982</v>
      </c>
      <c r="J105" s="99"/>
      <c r="K105" s="99"/>
      <c r="L105" s="114"/>
      <c r="M105" s="104"/>
      <c r="N105" s="46"/>
      <c r="O105" s="102"/>
      <c r="P105" s="101"/>
      <c r="Q105" s="101"/>
      <c r="R105" s="101"/>
      <c r="S105" s="101"/>
      <c r="T105" s="102"/>
      <c r="U105" s="101"/>
      <c r="V105" s="106"/>
      <c r="W105" s="118"/>
      <c r="X105" s="118"/>
      <c r="Y105" s="119"/>
      <c r="Z105" s="120"/>
      <c r="AA105" s="121"/>
      <c r="AB105" s="122"/>
      <c r="AC105" s="121"/>
      <c r="AD105" s="121"/>
      <c r="AE105" s="121"/>
      <c r="AF105" s="121"/>
      <c r="AG105" s="122"/>
      <c r="AH105" s="121"/>
      <c r="AI105" s="123"/>
    </row>
    <row r="106" spans="1:35" s="112" customFormat="1" ht="24.95" hidden="1" customHeight="1" x14ac:dyDescent="0.2">
      <c r="A106" s="93">
        <f t="shared" si="2"/>
        <v>96</v>
      </c>
      <c r="B106" s="220" t="s">
        <v>641</v>
      </c>
      <c r="C106" s="219" t="s">
        <v>908</v>
      </c>
      <c r="D106" s="219" t="s">
        <v>1187</v>
      </c>
      <c r="E106" s="46"/>
      <c r="F106" s="98">
        <v>3</v>
      </c>
      <c r="G106" s="138">
        <v>42080</v>
      </c>
      <c r="H106" s="104"/>
      <c r="I106" s="72">
        <f t="shared" ca="1" si="1"/>
        <v>-1982</v>
      </c>
      <c r="J106" s="99"/>
      <c r="K106" s="99"/>
      <c r="L106" s="114"/>
      <c r="M106" s="104"/>
      <c r="N106" s="46"/>
      <c r="O106" s="102"/>
      <c r="P106" s="101"/>
      <c r="Q106" s="101"/>
      <c r="R106" s="101"/>
      <c r="S106" s="101"/>
      <c r="T106" s="102"/>
      <c r="U106" s="101"/>
      <c r="V106" s="106"/>
      <c r="W106" s="118"/>
      <c r="X106" s="118"/>
      <c r="Y106" s="119"/>
      <c r="Z106" s="120"/>
      <c r="AA106" s="121"/>
      <c r="AB106" s="122"/>
      <c r="AC106" s="121"/>
      <c r="AD106" s="121"/>
      <c r="AE106" s="121"/>
      <c r="AF106" s="121"/>
      <c r="AG106" s="122"/>
      <c r="AH106" s="121"/>
      <c r="AI106" s="123"/>
    </row>
    <row r="107" spans="1:35" s="112" customFormat="1" ht="24.95" customHeight="1" x14ac:dyDescent="0.2">
      <c r="A107" s="93">
        <f t="shared" si="2"/>
        <v>97</v>
      </c>
      <c r="B107" s="220" t="s">
        <v>642</v>
      </c>
      <c r="C107" s="219" t="s">
        <v>909</v>
      </c>
      <c r="D107" s="219" t="s">
        <v>1188</v>
      </c>
      <c r="E107" s="46" t="s">
        <v>1369</v>
      </c>
      <c r="F107" s="98">
        <v>3</v>
      </c>
      <c r="G107" s="138">
        <v>42080</v>
      </c>
      <c r="H107" s="104"/>
      <c r="I107" s="72">
        <v>-7</v>
      </c>
      <c r="J107" s="61" t="s">
        <v>2267</v>
      </c>
      <c r="K107" s="61">
        <v>42087</v>
      </c>
      <c r="L107" s="61" t="s">
        <v>2268</v>
      </c>
      <c r="M107" s="104">
        <v>42092</v>
      </c>
      <c r="N107" s="46" t="s">
        <v>2326</v>
      </c>
      <c r="O107" s="104">
        <v>42107</v>
      </c>
      <c r="P107" s="114">
        <v>1</v>
      </c>
      <c r="Q107" s="223" t="s">
        <v>2272</v>
      </c>
      <c r="R107" s="61">
        <v>42095</v>
      </c>
      <c r="S107" s="46" t="s">
        <v>2277</v>
      </c>
      <c r="T107" s="104">
        <v>42101</v>
      </c>
      <c r="U107" s="114" t="s">
        <v>1369</v>
      </c>
      <c r="V107" s="106" t="s">
        <v>1442</v>
      </c>
      <c r="W107" s="118"/>
      <c r="X107" s="118"/>
      <c r="Y107" s="119"/>
      <c r="Z107" s="120"/>
      <c r="AA107" s="121"/>
      <c r="AB107" s="122"/>
      <c r="AC107" s="121"/>
      <c r="AD107" s="121"/>
      <c r="AE107" s="121"/>
      <c r="AF107" s="121"/>
      <c r="AG107" s="122"/>
      <c r="AH107" s="121"/>
      <c r="AI107" s="123"/>
    </row>
    <row r="108" spans="1:35" s="112" customFormat="1" ht="24.95" hidden="1" customHeight="1" x14ac:dyDescent="0.2">
      <c r="A108" s="93">
        <f t="shared" si="2"/>
        <v>98</v>
      </c>
      <c r="B108" s="220" t="s">
        <v>643</v>
      </c>
      <c r="C108" s="219" t="s">
        <v>910</v>
      </c>
      <c r="D108" s="219" t="s">
        <v>1189</v>
      </c>
      <c r="E108" s="46"/>
      <c r="F108" s="98">
        <v>3</v>
      </c>
      <c r="G108" s="138">
        <v>42080</v>
      </c>
      <c r="H108" s="104"/>
      <c r="I108" s="72">
        <f t="shared" ca="1" si="1"/>
        <v>-1982</v>
      </c>
      <c r="J108" s="99"/>
      <c r="K108" s="99"/>
      <c r="L108" s="114"/>
      <c r="M108" s="104"/>
      <c r="N108" s="46"/>
      <c r="O108" s="102"/>
      <c r="P108" s="101"/>
      <c r="Q108" s="101"/>
      <c r="R108" s="101"/>
      <c r="S108" s="101"/>
      <c r="T108" s="102"/>
      <c r="U108" s="114" t="s">
        <v>1369</v>
      </c>
      <c r="V108" s="106"/>
      <c r="W108" s="118"/>
      <c r="X108" s="118"/>
      <c r="Y108" s="119"/>
      <c r="Z108" s="120"/>
      <c r="AA108" s="121"/>
      <c r="AB108" s="122"/>
      <c r="AC108" s="121"/>
      <c r="AD108" s="121"/>
      <c r="AE108" s="121"/>
      <c r="AF108" s="121"/>
      <c r="AG108" s="122"/>
      <c r="AH108" s="121"/>
      <c r="AI108" s="123"/>
    </row>
    <row r="109" spans="1:35" s="112" customFormat="1" ht="24.95" customHeight="1" x14ac:dyDescent="0.2">
      <c r="A109" s="93">
        <f t="shared" si="2"/>
        <v>99</v>
      </c>
      <c r="B109" s="220" t="s">
        <v>644</v>
      </c>
      <c r="C109" s="219" t="s">
        <v>911</v>
      </c>
      <c r="D109" s="219" t="s">
        <v>1190</v>
      </c>
      <c r="E109" s="46" t="s">
        <v>1369</v>
      </c>
      <c r="F109" s="98">
        <v>3</v>
      </c>
      <c r="G109" s="138">
        <v>42080</v>
      </c>
      <c r="H109" s="104"/>
      <c r="I109" s="72">
        <v>-7</v>
      </c>
      <c r="J109" s="61" t="s">
        <v>2267</v>
      </c>
      <c r="K109" s="61">
        <v>42087</v>
      </c>
      <c r="L109" s="61" t="s">
        <v>2268</v>
      </c>
      <c r="M109" s="104">
        <v>42092</v>
      </c>
      <c r="N109" s="46" t="s">
        <v>2326</v>
      </c>
      <c r="O109" s="104">
        <v>42107</v>
      </c>
      <c r="P109" s="114">
        <v>1</v>
      </c>
      <c r="Q109" s="223" t="s">
        <v>2272</v>
      </c>
      <c r="R109" s="61">
        <v>42095</v>
      </c>
      <c r="S109" s="46" t="s">
        <v>2278</v>
      </c>
      <c r="T109" s="104">
        <v>42101</v>
      </c>
      <c r="U109" s="114" t="s">
        <v>1369</v>
      </c>
      <c r="V109" s="106" t="s">
        <v>1442</v>
      </c>
      <c r="W109" s="118"/>
      <c r="X109" s="118"/>
      <c r="Y109" s="119"/>
      <c r="Z109" s="120"/>
      <c r="AA109" s="121"/>
      <c r="AB109" s="122"/>
      <c r="AC109" s="121"/>
      <c r="AD109" s="121"/>
      <c r="AE109" s="121"/>
      <c r="AF109" s="121"/>
      <c r="AG109" s="122"/>
      <c r="AH109" s="121"/>
      <c r="AI109" s="123"/>
    </row>
    <row r="110" spans="1:35" s="112" customFormat="1" ht="24.95" hidden="1" customHeight="1" x14ac:dyDescent="0.2">
      <c r="A110" s="93">
        <f t="shared" si="2"/>
        <v>100</v>
      </c>
      <c r="B110" s="220" t="s">
        <v>645</v>
      </c>
      <c r="C110" s="219" t="s">
        <v>912</v>
      </c>
      <c r="D110" s="219" t="s">
        <v>1191</v>
      </c>
      <c r="E110" s="46"/>
      <c r="F110" s="98">
        <v>3</v>
      </c>
      <c r="G110" s="138">
        <v>42080</v>
      </c>
      <c r="H110" s="104"/>
      <c r="I110" s="72">
        <f t="shared" ca="1" si="1"/>
        <v>-1982</v>
      </c>
      <c r="J110" s="99"/>
      <c r="K110" s="99"/>
      <c r="L110" s="114"/>
      <c r="M110" s="104"/>
      <c r="N110" s="46"/>
      <c r="O110" s="102"/>
      <c r="P110" s="101"/>
      <c r="Q110" s="101"/>
      <c r="R110" s="101"/>
      <c r="S110" s="101"/>
      <c r="T110" s="102"/>
      <c r="U110" s="101"/>
      <c r="V110" s="106"/>
      <c r="W110" s="118"/>
      <c r="X110" s="118"/>
      <c r="Y110" s="119"/>
      <c r="Z110" s="120"/>
      <c r="AA110" s="121"/>
      <c r="AB110" s="122"/>
      <c r="AC110" s="121"/>
      <c r="AD110" s="121"/>
      <c r="AE110" s="121"/>
      <c r="AF110" s="121"/>
      <c r="AG110" s="122"/>
      <c r="AH110" s="121"/>
      <c r="AI110" s="123"/>
    </row>
    <row r="111" spans="1:35" s="112" customFormat="1" ht="24.95" hidden="1" customHeight="1" x14ac:dyDescent="0.2">
      <c r="A111" s="93">
        <f t="shared" si="2"/>
        <v>101</v>
      </c>
      <c r="B111" s="220" t="s">
        <v>646</v>
      </c>
      <c r="C111" s="219" t="s">
        <v>913</v>
      </c>
      <c r="D111" s="219" t="s">
        <v>1192</v>
      </c>
      <c r="E111" s="46"/>
      <c r="F111" s="98">
        <v>3</v>
      </c>
      <c r="G111" s="138">
        <v>42080</v>
      </c>
      <c r="H111" s="104"/>
      <c r="I111" s="72">
        <f t="shared" ca="1" si="1"/>
        <v>-1982</v>
      </c>
      <c r="J111" s="99"/>
      <c r="K111" s="99"/>
      <c r="L111" s="114"/>
      <c r="M111" s="104"/>
      <c r="N111" s="46"/>
      <c r="O111" s="102"/>
      <c r="P111" s="101"/>
      <c r="Q111" s="101"/>
      <c r="R111" s="101"/>
      <c r="S111" s="101"/>
      <c r="T111" s="102"/>
      <c r="U111" s="101"/>
      <c r="V111" s="106"/>
      <c r="W111" s="118"/>
      <c r="X111" s="118"/>
      <c r="Y111" s="119"/>
      <c r="Z111" s="120"/>
      <c r="AA111" s="121"/>
      <c r="AB111" s="122"/>
      <c r="AC111" s="121"/>
      <c r="AD111" s="121"/>
      <c r="AE111" s="121"/>
      <c r="AF111" s="121"/>
      <c r="AG111" s="122"/>
      <c r="AH111" s="121"/>
      <c r="AI111" s="123"/>
    </row>
    <row r="112" spans="1:35" s="112" customFormat="1" ht="24.95" customHeight="1" x14ac:dyDescent="0.2">
      <c r="A112" s="93">
        <f t="shared" si="2"/>
        <v>102</v>
      </c>
      <c r="B112" s="517" t="s">
        <v>647</v>
      </c>
      <c r="C112" s="502" t="s">
        <v>914</v>
      </c>
      <c r="D112" s="502" t="s">
        <v>1193</v>
      </c>
      <c r="E112" s="46" t="s">
        <v>1369</v>
      </c>
      <c r="F112" s="98">
        <v>3</v>
      </c>
      <c r="G112" s="138">
        <v>42080</v>
      </c>
      <c r="H112" s="104"/>
      <c r="I112" s="72">
        <v>-7</v>
      </c>
      <c r="J112" s="61" t="s">
        <v>2267</v>
      </c>
      <c r="K112" s="61">
        <v>42087</v>
      </c>
      <c r="L112" s="61" t="s">
        <v>2268</v>
      </c>
      <c r="M112" s="104">
        <v>42092</v>
      </c>
      <c r="N112" s="46" t="s">
        <v>2326</v>
      </c>
      <c r="O112" s="104">
        <v>42107</v>
      </c>
      <c r="P112" s="114">
        <v>1</v>
      </c>
      <c r="Q112" s="223" t="s">
        <v>2272</v>
      </c>
      <c r="R112" s="61">
        <v>42095</v>
      </c>
      <c r="S112" s="46" t="s">
        <v>2277</v>
      </c>
      <c r="T112" s="104">
        <v>42101</v>
      </c>
      <c r="U112" s="114" t="s">
        <v>1369</v>
      </c>
      <c r="V112" s="106" t="s">
        <v>1442</v>
      </c>
      <c r="W112" s="118"/>
      <c r="X112" s="118"/>
      <c r="Y112" s="119"/>
      <c r="Z112" s="120"/>
      <c r="AA112" s="121"/>
      <c r="AB112" s="122"/>
      <c r="AC112" s="121"/>
      <c r="AD112" s="121"/>
      <c r="AE112" s="121"/>
      <c r="AF112" s="121"/>
      <c r="AG112" s="122"/>
      <c r="AH112" s="121"/>
      <c r="AI112" s="123"/>
    </row>
    <row r="113" spans="1:35" s="112" customFormat="1" ht="24.95" hidden="1" customHeight="1" x14ac:dyDescent="0.2">
      <c r="A113" s="93">
        <f t="shared" si="2"/>
        <v>103</v>
      </c>
      <c r="B113" s="517"/>
      <c r="C113" s="502"/>
      <c r="D113" s="502"/>
      <c r="E113" s="46"/>
      <c r="F113" s="98">
        <v>3</v>
      </c>
      <c r="G113" s="138">
        <v>42080</v>
      </c>
      <c r="H113" s="104"/>
      <c r="I113" s="72">
        <f t="shared" ca="1" si="1"/>
        <v>-1982</v>
      </c>
      <c r="J113" s="99"/>
      <c r="K113" s="99"/>
      <c r="L113" s="114"/>
      <c r="M113" s="104"/>
      <c r="N113" s="46"/>
      <c r="O113" s="102"/>
      <c r="P113" s="101"/>
      <c r="Q113" s="101"/>
      <c r="R113" s="101"/>
      <c r="S113" s="101"/>
      <c r="T113" s="102"/>
      <c r="U113" s="101"/>
      <c r="V113" s="106"/>
      <c r="W113" s="118"/>
      <c r="X113" s="118"/>
      <c r="Y113" s="119"/>
      <c r="Z113" s="120"/>
      <c r="AA113" s="121"/>
      <c r="AB113" s="122"/>
      <c r="AC113" s="121"/>
      <c r="AD113" s="121"/>
      <c r="AE113" s="121"/>
      <c r="AF113" s="121"/>
      <c r="AG113" s="122"/>
      <c r="AH113" s="121"/>
      <c r="AI113" s="123"/>
    </row>
    <row r="114" spans="1:35" s="112" customFormat="1" ht="24.95" customHeight="1" x14ac:dyDescent="0.2">
      <c r="A114" s="93"/>
      <c r="B114" s="517"/>
      <c r="C114" s="502"/>
      <c r="D114" s="502"/>
      <c r="E114" s="46" t="s">
        <v>1432</v>
      </c>
      <c r="F114" s="98" t="s">
        <v>1442</v>
      </c>
      <c r="G114" s="138" t="s">
        <v>1442</v>
      </c>
      <c r="H114" s="104"/>
      <c r="I114" s="72" t="s">
        <v>1442</v>
      </c>
      <c r="J114" s="61" t="s">
        <v>2403</v>
      </c>
      <c r="K114" s="99">
        <v>42169</v>
      </c>
      <c r="L114" s="61" t="s">
        <v>2404</v>
      </c>
      <c r="M114" s="104">
        <v>42171</v>
      </c>
      <c r="N114" s="46" t="s">
        <v>2455</v>
      </c>
      <c r="O114" s="104">
        <v>42183</v>
      </c>
      <c r="P114" s="101"/>
      <c r="Q114" s="114" t="s">
        <v>2419</v>
      </c>
      <c r="R114" s="61">
        <v>42173</v>
      </c>
      <c r="S114" s="101"/>
      <c r="T114" s="102"/>
      <c r="U114" s="101"/>
      <c r="V114" s="184" t="s">
        <v>1442</v>
      </c>
      <c r="W114" s="118"/>
      <c r="X114" s="118"/>
      <c r="Y114" s="119"/>
      <c r="Z114" s="120"/>
      <c r="AA114" s="121"/>
      <c r="AB114" s="122"/>
      <c r="AC114" s="121"/>
      <c r="AD114" s="121"/>
      <c r="AE114" s="121"/>
      <c r="AF114" s="121"/>
      <c r="AG114" s="122"/>
      <c r="AH114" s="121"/>
      <c r="AI114" s="123"/>
    </row>
    <row r="115" spans="1:35" s="112" customFormat="1" ht="24.95" customHeight="1" x14ac:dyDescent="0.2">
      <c r="A115" s="93"/>
      <c r="B115" s="517"/>
      <c r="C115" s="502"/>
      <c r="D115" s="502"/>
      <c r="E115" s="46" t="s">
        <v>1459</v>
      </c>
      <c r="F115" s="98" t="s">
        <v>1442</v>
      </c>
      <c r="G115" s="138" t="s">
        <v>1442</v>
      </c>
      <c r="H115" s="104"/>
      <c r="I115" s="72" t="s">
        <v>1442</v>
      </c>
      <c r="J115" s="61" t="s">
        <v>2509</v>
      </c>
      <c r="K115" s="99">
        <v>42197</v>
      </c>
      <c r="L115" s="61" t="s">
        <v>2510</v>
      </c>
      <c r="M115" s="104">
        <v>42199</v>
      </c>
      <c r="N115" s="46" t="s">
        <v>2543</v>
      </c>
      <c r="O115" s="104">
        <v>42207</v>
      </c>
      <c r="P115" s="114" t="s">
        <v>2544</v>
      </c>
      <c r="Q115" s="114" t="s">
        <v>2522</v>
      </c>
      <c r="R115" s="61">
        <v>42199</v>
      </c>
      <c r="S115" s="101"/>
      <c r="T115" s="102"/>
      <c r="U115" s="294" t="s">
        <v>1442</v>
      </c>
      <c r="V115" s="184" t="s">
        <v>3068</v>
      </c>
      <c r="W115" s="118"/>
      <c r="X115" s="118"/>
      <c r="Y115" s="119"/>
      <c r="Z115" s="120"/>
      <c r="AA115" s="121"/>
      <c r="AB115" s="122"/>
      <c r="AC115" s="121"/>
      <c r="AD115" s="121"/>
      <c r="AE115" s="121"/>
      <c r="AF115" s="121"/>
      <c r="AG115" s="122"/>
      <c r="AH115" s="121"/>
      <c r="AI115" s="123"/>
    </row>
    <row r="116" spans="1:35" s="112" customFormat="1" ht="24.95" customHeight="1" x14ac:dyDescent="0.2">
      <c r="A116" s="93">
        <f>A113+1</f>
        <v>104</v>
      </c>
      <c r="B116" s="241" t="s">
        <v>648</v>
      </c>
      <c r="C116" s="240" t="s">
        <v>915</v>
      </c>
      <c r="D116" s="240" t="s">
        <v>1194</v>
      </c>
      <c r="E116" s="46" t="s">
        <v>1369</v>
      </c>
      <c r="F116" s="98">
        <v>3</v>
      </c>
      <c r="G116" s="138">
        <v>42080</v>
      </c>
      <c r="H116" s="104"/>
      <c r="I116" s="72">
        <v>-7</v>
      </c>
      <c r="J116" s="61" t="s">
        <v>2267</v>
      </c>
      <c r="K116" s="61">
        <v>42087</v>
      </c>
      <c r="L116" s="61" t="s">
        <v>2268</v>
      </c>
      <c r="M116" s="104">
        <v>42092</v>
      </c>
      <c r="N116" s="46" t="s">
        <v>2326</v>
      </c>
      <c r="O116" s="104">
        <v>42107</v>
      </c>
      <c r="P116" s="114">
        <v>1</v>
      </c>
      <c r="Q116" s="223" t="s">
        <v>2272</v>
      </c>
      <c r="R116" s="61">
        <v>42095</v>
      </c>
      <c r="S116" s="46" t="s">
        <v>2278</v>
      </c>
      <c r="T116" s="104">
        <v>42101</v>
      </c>
      <c r="U116" s="114" t="s">
        <v>1369</v>
      </c>
      <c r="V116" s="106" t="s">
        <v>1442</v>
      </c>
      <c r="W116" s="118"/>
      <c r="X116" s="118"/>
      <c r="Y116" s="119"/>
      <c r="Z116" s="120"/>
      <c r="AA116" s="121"/>
      <c r="AB116" s="122"/>
      <c r="AC116" s="121"/>
      <c r="AD116" s="121"/>
      <c r="AE116" s="121"/>
      <c r="AF116" s="121"/>
      <c r="AG116" s="122"/>
      <c r="AH116" s="121"/>
      <c r="AI116" s="123"/>
    </row>
    <row r="117" spans="1:35" s="112" customFormat="1" ht="24.95" hidden="1" customHeight="1" x14ac:dyDescent="0.2">
      <c r="A117" s="93">
        <f t="shared" si="2"/>
        <v>105</v>
      </c>
      <c r="B117" s="241" t="s">
        <v>649</v>
      </c>
      <c r="C117" s="240" t="s">
        <v>916</v>
      </c>
      <c r="D117" s="240" t="s">
        <v>1195</v>
      </c>
      <c r="E117" s="238"/>
      <c r="F117" s="98">
        <v>3</v>
      </c>
      <c r="G117" s="138">
        <v>42080</v>
      </c>
      <c r="H117" s="104"/>
      <c r="I117" s="72">
        <f t="shared" ca="1" si="1"/>
        <v>-1982</v>
      </c>
      <c r="J117" s="99"/>
      <c r="K117" s="99"/>
      <c r="L117" s="114"/>
      <c r="M117" s="104"/>
      <c r="N117" s="46"/>
      <c r="O117" s="102"/>
      <c r="P117" s="101"/>
      <c r="Q117" s="101"/>
      <c r="R117" s="101"/>
      <c r="S117" s="101"/>
      <c r="T117" s="102"/>
      <c r="U117" s="101"/>
      <c r="V117" s="106"/>
      <c r="W117" s="118"/>
      <c r="X117" s="118"/>
      <c r="Y117" s="119"/>
      <c r="Z117" s="120"/>
      <c r="AA117" s="121"/>
      <c r="AB117" s="122"/>
      <c r="AC117" s="121"/>
      <c r="AD117" s="121"/>
      <c r="AE117" s="121"/>
      <c r="AF117" s="121"/>
      <c r="AG117" s="122"/>
      <c r="AH117" s="121"/>
      <c r="AI117" s="123"/>
    </row>
    <row r="118" spans="1:35" s="112" customFormat="1" ht="24.95" hidden="1" customHeight="1" x14ac:dyDescent="0.2">
      <c r="A118" s="93">
        <f t="shared" si="2"/>
        <v>106</v>
      </c>
      <c r="B118" s="241" t="s">
        <v>650</v>
      </c>
      <c r="C118" s="240" t="s">
        <v>917</v>
      </c>
      <c r="D118" s="240" t="s">
        <v>1196</v>
      </c>
      <c r="E118" s="46"/>
      <c r="F118" s="98">
        <v>3</v>
      </c>
      <c r="G118" s="138">
        <v>42080</v>
      </c>
      <c r="H118" s="104"/>
      <c r="I118" s="72">
        <f t="shared" ca="1" si="1"/>
        <v>-1982</v>
      </c>
      <c r="J118" s="99"/>
      <c r="K118" s="99"/>
      <c r="L118" s="114"/>
      <c r="M118" s="104"/>
      <c r="N118" s="46"/>
      <c r="O118" s="102"/>
      <c r="P118" s="101"/>
      <c r="Q118" s="101"/>
      <c r="R118" s="101"/>
      <c r="S118" s="101"/>
      <c r="T118" s="102"/>
      <c r="U118" s="101"/>
      <c r="V118" s="106"/>
      <c r="W118" s="118"/>
      <c r="X118" s="118"/>
      <c r="Y118" s="119"/>
      <c r="Z118" s="120"/>
      <c r="AA118" s="121"/>
      <c r="AB118" s="122"/>
      <c r="AC118" s="121"/>
      <c r="AD118" s="121"/>
      <c r="AE118" s="121"/>
      <c r="AF118" s="121"/>
      <c r="AG118" s="122"/>
      <c r="AH118" s="121"/>
      <c r="AI118" s="123"/>
    </row>
    <row r="119" spans="1:35" s="112" customFormat="1" ht="24.95" customHeight="1" x14ac:dyDescent="0.2">
      <c r="A119" s="93">
        <f t="shared" si="2"/>
        <v>107</v>
      </c>
      <c r="B119" s="517" t="s">
        <v>651</v>
      </c>
      <c r="C119" s="502" t="s">
        <v>918</v>
      </c>
      <c r="D119" s="502" t="s">
        <v>1197</v>
      </c>
      <c r="E119" s="46" t="s">
        <v>1369</v>
      </c>
      <c r="F119" s="98">
        <v>3</v>
      </c>
      <c r="G119" s="138">
        <v>42080</v>
      </c>
      <c r="H119" s="104"/>
      <c r="I119" s="72">
        <v>-7</v>
      </c>
      <c r="J119" s="61" t="s">
        <v>2267</v>
      </c>
      <c r="K119" s="61">
        <v>42087</v>
      </c>
      <c r="L119" s="61" t="s">
        <v>2268</v>
      </c>
      <c r="M119" s="104">
        <v>42092</v>
      </c>
      <c r="N119" s="46" t="s">
        <v>2326</v>
      </c>
      <c r="O119" s="104">
        <v>42107</v>
      </c>
      <c r="P119" s="114">
        <v>1</v>
      </c>
      <c r="Q119" s="223" t="s">
        <v>2272</v>
      </c>
      <c r="R119" s="61">
        <v>42095</v>
      </c>
      <c r="S119" s="46" t="s">
        <v>2277</v>
      </c>
      <c r="T119" s="104">
        <v>42101</v>
      </c>
      <c r="U119" s="114" t="s">
        <v>1369</v>
      </c>
      <c r="V119" s="106" t="s">
        <v>1442</v>
      </c>
      <c r="W119" s="118"/>
      <c r="X119" s="118"/>
      <c r="Y119" s="119"/>
      <c r="Z119" s="120"/>
      <c r="AA119" s="121"/>
      <c r="AB119" s="122"/>
      <c r="AC119" s="121"/>
      <c r="AD119" s="121"/>
      <c r="AE119" s="121"/>
      <c r="AF119" s="121"/>
      <c r="AG119" s="122"/>
      <c r="AH119" s="121"/>
      <c r="AI119" s="123"/>
    </row>
    <row r="120" spans="1:35" s="112" customFormat="1" ht="24.95" hidden="1" customHeight="1" x14ac:dyDescent="0.2">
      <c r="A120" s="93">
        <f t="shared" si="2"/>
        <v>108</v>
      </c>
      <c r="B120" s="517" t="s">
        <v>652</v>
      </c>
      <c r="C120" s="502" t="s">
        <v>919</v>
      </c>
      <c r="D120" s="502" t="s">
        <v>1198</v>
      </c>
      <c r="E120" s="46"/>
      <c r="F120" s="98">
        <v>3</v>
      </c>
      <c r="G120" s="138">
        <v>42080</v>
      </c>
      <c r="H120" s="104"/>
      <c r="I120" s="72">
        <f t="shared" ca="1" si="1"/>
        <v>-1982</v>
      </c>
      <c r="J120" s="99"/>
      <c r="K120" s="99"/>
      <c r="L120" s="114"/>
      <c r="M120" s="104"/>
      <c r="N120" s="46"/>
      <c r="O120" s="102"/>
      <c r="P120" s="101"/>
      <c r="Q120" s="101"/>
      <c r="R120" s="101"/>
      <c r="S120" s="101"/>
      <c r="T120" s="102"/>
      <c r="U120" s="101"/>
      <c r="V120" s="106"/>
      <c r="W120" s="118"/>
      <c r="X120" s="118"/>
      <c r="Y120" s="119"/>
      <c r="Z120" s="120"/>
      <c r="AA120" s="121"/>
      <c r="AB120" s="122"/>
      <c r="AC120" s="121"/>
      <c r="AD120" s="121"/>
      <c r="AE120" s="121"/>
      <c r="AF120" s="121"/>
      <c r="AG120" s="122"/>
      <c r="AH120" s="121"/>
      <c r="AI120" s="123"/>
    </row>
    <row r="121" spans="1:35" s="112" customFormat="1" ht="24.95" customHeight="1" x14ac:dyDescent="0.2">
      <c r="A121" s="93"/>
      <c r="B121" s="517"/>
      <c r="C121" s="502"/>
      <c r="D121" s="502"/>
      <c r="E121" s="46" t="s">
        <v>1432</v>
      </c>
      <c r="F121" s="98" t="s">
        <v>1442</v>
      </c>
      <c r="G121" s="138" t="s">
        <v>1442</v>
      </c>
      <c r="H121" s="104"/>
      <c r="I121" s="72" t="s">
        <v>1442</v>
      </c>
      <c r="J121" s="61" t="s">
        <v>2403</v>
      </c>
      <c r="K121" s="99">
        <v>42169</v>
      </c>
      <c r="L121" s="61" t="s">
        <v>2404</v>
      </c>
      <c r="M121" s="104">
        <v>42171</v>
      </c>
      <c r="N121" s="46" t="s">
        <v>2455</v>
      </c>
      <c r="O121" s="104">
        <v>42183</v>
      </c>
      <c r="P121" s="101"/>
      <c r="Q121" s="114" t="s">
        <v>2419</v>
      </c>
      <c r="R121" s="61">
        <v>42173</v>
      </c>
      <c r="S121" s="101"/>
      <c r="T121" s="102"/>
      <c r="U121" s="101"/>
      <c r="V121" s="106" t="s">
        <v>1442</v>
      </c>
      <c r="W121" s="118"/>
      <c r="X121" s="118"/>
      <c r="Y121" s="119"/>
      <c r="Z121" s="120"/>
      <c r="AA121" s="121"/>
      <c r="AB121" s="122"/>
      <c r="AC121" s="121"/>
      <c r="AD121" s="121"/>
      <c r="AE121" s="121"/>
      <c r="AF121" s="121"/>
      <c r="AG121" s="122"/>
      <c r="AH121" s="121"/>
      <c r="AI121" s="123"/>
    </row>
    <row r="122" spans="1:35" s="112" customFormat="1" ht="24.95" customHeight="1" x14ac:dyDescent="0.2">
      <c r="A122" s="93"/>
      <c r="B122" s="517"/>
      <c r="C122" s="502"/>
      <c r="D122" s="502"/>
      <c r="E122" s="46" t="s">
        <v>1459</v>
      </c>
      <c r="F122" s="98" t="s">
        <v>1442</v>
      </c>
      <c r="G122" s="138" t="s">
        <v>1442</v>
      </c>
      <c r="H122" s="104"/>
      <c r="I122" s="72" t="s">
        <v>1442</v>
      </c>
      <c r="J122" s="61" t="s">
        <v>2509</v>
      </c>
      <c r="K122" s="99">
        <v>42197</v>
      </c>
      <c r="L122" s="61" t="s">
        <v>2510</v>
      </c>
      <c r="M122" s="104">
        <v>42199</v>
      </c>
      <c r="N122" s="46" t="s">
        <v>2543</v>
      </c>
      <c r="O122" s="104">
        <v>42207</v>
      </c>
      <c r="P122" s="114" t="s">
        <v>2544</v>
      </c>
      <c r="Q122" s="114" t="s">
        <v>2522</v>
      </c>
      <c r="R122" s="61">
        <v>42199</v>
      </c>
      <c r="S122" s="101"/>
      <c r="T122" s="102"/>
      <c r="U122" s="294" t="s">
        <v>1442</v>
      </c>
      <c r="V122" s="184" t="s">
        <v>3068</v>
      </c>
      <c r="W122" s="118"/>
      <c r="X122" s="118"/>
      <c r="Y122" s="119"/>
      <c r="Z122" s="120"/>
      <c r="AA122" s="121"/>
      <c r="AB122" s="122"/>
      <c r="AC122" s="121"/>
      <c r="AD122" s="121"/>
      <c r="AE122" s="121"/>
      <c r="AF122" s="121"/>
      <c r="AG122" s="122"/>
      <c r="AH122" s="121"/>
      <c r="AI122" s="123"/>
    </row>
    <row r="123" spans="1:35" s="112" customFormat="1" ht="24.95" customHeight="1" x14ac:dyDescent="0.2">
      <c r="A123" s="93">
        <f>A120+1</f>
        <v>109</v>
      </c>
      <c r="B123" s="241" t="s">
        <v>653</v>
      </c>
      <c r="C123" s="240" t="s">
        <v>920</v>
      </c>
      <c r="D123" s="240" t="s">
        <v>1199</v>
      </c>
      <c r="E123" s="46" t="s">
        <v>1369</v>
      </c>
      <c r="F123" s="98">
        <v>3</v>
      </c>
      <c r="G123" s="138">
        <v>42080</v>
      </c>
      <c r="H123" s="104"/>
      <c r="I123" s="72">
        <v>-7</v>
      </c>
      <c r="J123" s="61" t="s">
        <v>2267</v>
      </c>
      <c r="K123" s="61">
        <v>42087</v>
      </c>
      <c r="L123" s="61" t="s">
        <v>2268</v>
      </c>
      <c r="M123" s="104">
        <v>42092</v>
      </c>
      <c r="N123" s="46" t="s">
        <v>2326</v>
      </c>
      <c r="O123" s="104">
        <v>42107</v>
      </c>
      <c r="P123" s="114">
        <v>1</v>
      </c>
      <c r="Q123" s="223" t="s">
        <v>2272</v>
      </c>
      <c r="R123" s="61">
        <v>42095</v>
      </c>
      <c r="S123" s="46" t="s">
        <v>2278</v>
      </c>
      <c r="T123" s="104">
        <v>42101</v>
      </c>
      <c r="U123" s="114" t="s">
        <v>1369</v>
      </c>
      <c r="V123" s="106" t="s">
        <v>1442</v>
      </c>
      <c r="W123" s="118"/>
      <c r="X123" s="118"/>
      <c r="Y123" s="119"/>
      <c r="Z123" s="120"/>
      <c r="AA123" s="121"/>
      <c r="AB123" s="122"/>
      <c r="AC123" s="121"/>
      <c r="AD123" s="121"/>
      <c r="AE123" s="121"/>
      <c r="AF123" s="121"/>
      <c r="AG123" s="122"/>
      <c r="AH123" s="121"/>
      <c r="AI123" s="123"/>
    </row>
    <row r="124" spans="1:35" s="112" customFormat="1" ht="24.95" hidden="1" customHeight="1" x14ac:dyDescent="0.2">
      <c r="A124" s="93">
        <f t="shared" si="2"/>
        <v>110</v>
      </c>
      <c r="B124" s="241" t="s">
        <v>654</v>
      </c>
      <c r="C124" s="240" t="s">
        <v>921</v>
      </c>
      <c r="D124" s="240" t="s">
        <v>1200</v>
      </c>
      <c r="E124" s="46"/>
      <c r="F124" s="98">
        <v>3</v>
      </c>
      <c r="G124" s="138">
        <v>42080</v>
      </c>
      <c r="H124" s="104"/>
      <c r="I124" s="72">
        <f t="shared" ca="1" si="1"/>
        <v>-1982</v>
      </c>
      <c r="J124" s="99"/>
      <c r="K124" s="99"/>
      <c r="L124" s="114"/>
      <c r="M124" s="104"/>
      <c r="N124" s="46"/>
      <c r="O124" s="102"/>
      <c r="P124" s="101"/>
      <c r="Q124" s="101"/>
      <c r="R124" s="101"/>
      <c r="S124" s="101"/>
      <c r="T124" s="102"/>
      <c r="U124" s="101"/>
      <c r="V124" s="106"/>
      <c r="W124" s="118"/>
      <c r="X124" s="118"/>
      <c r="Y124" s="119"/>
      <c r="Z124" s="120"/>
      <c r="AA124" s="121"/>
      <c r="AB124" s="122"/>
      <c r="AC124" s="121"/>
      <c r="AD124" s="121"/>
      <c r="AE124" s="121"/>
      <c r="AF124" s="121"/>
      <c r="AG124" s="122"/>
      <c r="AH124" s="121"/>
      <c r="AI124" s="123"/>
    </row>
    <row r="125" spans="1:35" s="112" customFormat="1" ht="24.95" hidden="1" customHeight="1" x14ac:dyDescent="0.2">
      <c r="A125" s="93">
        <f t="shared" si="2"/>
        <v>111</v>
      </c>
      <c r="B125" s="241" t="s">
        <v>655</v>
      </c>
      <c r="C125" s="240" t="s">
        <v>922</v>
      </c>
      <c r="D125" s="240" t="s">
        <v>1201</v>
      </c>
      <c r="E125" s="46"/>
      <c r="F125" s="98">
        <v>3</v>
      </c>
      <c r="G125" s="138">
        <v>42080</v>
      </c>
      <c r="H125" s="104"/>
      <c r="I125" s="72">
        <f t="shared" ca="1" si="1"/>
        <v>-1982</v>
      </c>
      <c r="J125" s="99"/>
      <c r="K125" s="99"/>
      <c r="L125" s="114"/>
      <c r="M125" s="104"/>
      <c r="N125" s="46"/>
      <c r="O125" s="102"/>
      <c r="P125" s="101"/>
      <c r="Q125" s="101"/>
      <c r="R125" s="101"/>
      <c r="S125" s="101"/>
      <c r="T125" s="102"/>
      <c r="U125" s="101"/>
      <c r="V125" s="106"/>
      <c r="W125" s="118"/>
      <c r="X125" s="118"/>
      <c r="Y125" s="119"/>
      <c r="Z125" s="120"/>
      <c r="AA125" s="121"/>
      <c r="AB125" s="122"/>
      <c r="AC125" s="121"/>
      <c r="AD125" s="121"/>
      <c r="AE125" s="121"/>
      <c r="AF125" s="121"/>
      <c r="AG125" s="122"/>
      <c r="AH125" s="121"/>
      <c r="AI125" s="123"/>
    </row>
    <row r="126" spans="1:35" s="112" customFormat="1" ht="24.95" customHeight="1" x14ac:dyDescent="0.2">
      <c r="A126" s="93">
        <f t="shared" si="2"/>
        <v>112</v>
      </c>
      <c r="B126" s="517" t="s">
        <v>656</v>
      </c>
      <c r="C126" s="502" t="s">
        <v>923</v>
      </c>
      <c r="D126" s="502" t="s">
        <v>1202</v>
      </c>
      <c r="E126" s="46" t="s">
        <v>1369</v>
      </c>
      <c r="F126" s="98">
        <v>3</v>
      </c>
      <c r="G126" s="138">
        <v>42080</v>
      </c>
      <c r="H126" s="104"/>
      <c r="I126" s="72">
        <v>-7</v>
      </c>
      <c r="J126" s="61" t="s">
        <v>2267</v>
      </c>
      <c r="K126" s="61">
        <v>42087</v>
      </c>
      <c r="L126" s="61" t="s">
        <v>2268</v>
      </c>
      <c r="M126" s="104">
        <v>42092</v>
      </c>
      <c r="N126" s="46" t="s">
        <v>2326</v>
      </c>
      <c r="O126" s="104">
        <v>42107</v>
      </c>
      <c r="P126" s="114">
        <v>1</v>
      </c>
      <c r="Q126" s="223" t="s">
        <v>2272</v>
      </c>
      <c r="R126" s="61">
        <v>42095</v>
      </c>
      <c r="S126" s="46" t="s">
        <v>2277</v>
      </c>
      <c r="T126" s="104">
        <v>42101</v>
      </c>
      <c r="U126" s="114" t="s">
        <v>1369</v>
      </c>
      <c r="V126" s="106" t="s">
        <v>1442</v>
      </c>
      <c r="W126" s="118"/>
      <c r="X126" s="118"/>
      <c r="Y126" s="119"/>
      <c r="Z126" s="120"/>
      <c r="AA126" s="121"/>
      <c r="AB126" s="122"/>
      <c r="AC126" s="121"/>
      <c r="AD126" s="121"/>
      <c r="AE126" s="121"/>
      <c r="AF126" s="121"/>
      <c r="AG126" s="122"/>
      <c r="AH126" s="121"/>
      <c r="AI126" s="123"/>
    </row>
    <row r="127" spans="1:35" s="112" customFormat="1" ht="24.95" hidden="1" customHeight="1" x14ac:dyDescent="0.2">
      <c r="A127" s="93">
        <f t="shared" si="2"/>
        <v>113</v>
      </c>
      <c r="B127" s="517" t="s">
        <v>657</v>
      </c>
      <c r="C127" s="502" t="s">
        <v>924</v>
      </c>
      <c r="D127" s="502" t="s">
        <v>1203</v>
      </c>
      <c r="E127" s="46"/>
      <c r="F127" s="98">
        <v>3</v>
      </c>
      <c r="G127" s="138">
        <v>42080</v>
      </c>
      <c r="H127" s="104"/>
      <c r="I127" s="72">
        <f t="shared" ca="1" si="1"/>
        <v>-1982</v>
      </c>
      <c r="J127" s="99"/>
      <c r="K127" s="99"/>
      <c r="L127" s="114"/>
      <c r="M127" s="104"/>
      <c r="N127" s="46"/>
      <c r="O127" s="102"/>
      <c r="P127" s="101"/>
      <c r="Q127" s="101"/>
      <c r="R127" s="101"/>
      <c r="S127" s="101"/>
      <c r="T127" s="102"/>
      <c r="U127" s="101"/>
      <c r="V127" s="106"/>
      <c r="W127" s="118"/>
      <c r="X127" s="118"/>
      <c r="Y127" s="119"/>
      <c r="Z127" s="120"/>
      <c r="AA127" s="121"/>
      <c r="AB127" s="122"/>
      <c r="AC127" s="121"/>
      <c r="AD127" s="121"/>
      <c r="AE127" s="121"/>
      <c r="AF127" s="121"/>
      <c r="AG127" s="122"/>
      <c r="AH127" s="121"/>
      <c r="AI127" s="123"/>
    </row>
    <row r="128" spans="1:35" s="112" customFormat="1" ht="24.95" customHeight="1" x14ac:dyDescent="0.2">
      <c r="A128" s="93"/>
      <c r="B128" s="517"/>
      <c r="C128" s="502"/>
      <c r="D128" s="502"/>
      <c r="E128" s="46" t="s">
        <v>1432</v>
      </c>
      <c r="F128" s="98" t="s">
        <v>1442</v>
      </c>
      <c r="G128" s="138" t="s">
        <v>1442</v>
      </c>
      <c r="H128" s="104"/>
      <c r="I128" s="72" t="s">
        <v>1442</v>
      </c>
      <c r="J128" s="61" t="s">
        <v>2403</v>
      </c>
      <c r="K128" s="99">
        <v>42169</v>
      </c>
      <c r="L128" s="61" t="s">
        <v>2404</v>
      </c>
      <c r="M128" s="104">
        <v>42171</v>
      </c>
      <c r="N128" s="46" t="s">
        <v>2455</v>
      </c>
      <c r="O128" s="104">
        <v>42183</v>
      </c>
      <c r="P128" s="101"/>
      <c r="Q128" s="114" t="s">
        <v>2419</v>
      </c>
      <c r="R128" s="61">
        <v>42173</v>
      </c>
      <c r="S128" s="101"/>
      <c r="T128" s="102"/>
      <c r="U128" s="101"/>
      <c r="V128" s="106" t="s">
        <v>1552</v>
      </c>
      <c r="W128" s="118"/>
      <c r="X128" s="118"/>
      <c r="Y128" s="119"/>
      <c r="Z128" s="120"/>
      <c r="AA128" s="121"/>
      <c r="AB128" s="122"/>
      <c r="AC128" s="121"/>
      <c r="AD128" s="121"/>
      <c r="AE128" s="121"/>
      <c r="AF128" s="121"/>
      <c r="AG128" s="122"/>
      <c r="AH128" s="121"/>
      <c r="AI128" s="123"/>
    </row>
    <row r="129" spans="1:35" s="112" customFormat="1" ht="24.95" customHeight="1" x14ac:dyDescent="0.2">
      <c r="A129" s="93"/>
      <c r="B129" s="517"/>
      <c r="C129" s="502"/>
      <c r="D129" s="502"/>
      <c r="E129" s="46" t="s">
        <v>1459</v>
      </c>
      <c r="F129" s="98" t="s">
        <v>1442</v>
      </c>
      <c r="G129" s="138" t="s">
        <v>1442</v>
      </c>
      <c r="H129" s="104"/>
      <c r="I129" s="72" t="s">
        <v>1442</v>
      </c>
      <c r="J129" s="61" t="s">
        <v>2509</v>
      </c>
      <c r="K129" s="99">
        <v>42197</v>
      </c>
      <c r="L129" s="61" t="s">
        <v>2510</v>
      </c>
      <c r="M129" s="104">
        <v>42199</v>
      </c>
      <c r="N129" s="46" t="s">
        <v>2543</v>
      </c>
      <c r="O129" s="104">
        <v>42207</v>
      </c>
      <c r="P129" s="114" t="s">
        <v>2544</v>
      </c>
      <c r="Q129" s="114" t="s">
        <v>2522</v>
      </c>
      <c r="R129" s="61">
        <v>42199</v>
      </c>
      <c r="S129" s="101"/>
      <c r="T129" s="102"/>
      <c r="U129" s="294" t="s">
        <v>1442</v>
      </c>
      <c r="V129" s="184" t="s">
        <v>3068</v>
      </c>
      <c r="W129" s="118"/>
      <c r="X129" s="118"/>
      <c r="Y129" s="119"/>
      <c r="Z129" s="120"/>
      <c r="AA129" s="121"/>
      <c r="AB129" s="122"/>
      <c r="AC129" s="121"/>
      <c r="AD129" s="121"/>
      <c r="AE129" s="121"/>
      <c r="AF129" s="121"/>
      <c r="AG129" s="122"/>
      <c r="AH129" s="121"/>
      <c r="AI129" s="123"/>
    </row>
    <row r="130" spans="1:35" s="112" customFormat="1" ht="24.95" customHeight="1" x14ac:dyDescent="0.2">
      <c r="A130" s="93">
        <f>A127+1</f>
        <v>114</v>
      </c>
      <c r="B130" s="220" t="s">
        <v>658</v>
      </c>
      <c r="C130" s="219" t="s">
        <v>925</v>
      </c>
      <c r="D130" s="219" t="s">
        <v>1204</v>
      </c>
      <c r="E130" s="46" t="s">
        <v>1369</v>
      </c>
      <c r="F130" s="98">
        <v>3</v>
      </c>
      <c r="G130" s="138">
        <v>42080</v>
      </c>
      <c r="H130" s="104"/>
      <c r="I130" s="72">
        <v>-7</v>
      </c>
      <c r="J130" s="61" t="s">
        <v>2267</v>
      </c>
      <c r="K130" s="61">
        <v>42087</v>
      </c>
      <c r="L130" s="61" t="s">
        <v>2268</v>
      </c>
      <c r="M130" s="104">
        <v>42092</v>
      </c>
      <c r="N130" s="46" t="s">
        <v>2326</v>
      </c>
      <c r="O130" s="104">
        <v>42107</v>
      </c>
      <c r="P130" s="114">
        <v>1</v>
      </c>
      <c r="Q130" s="223" t="s">
        <v>2272</v>
      </c>
      <c r="R130" s="61">
        <v>42095</v>
      </c>
      <c r="S130" s="46" t="s">
        <v>2278</v>
      </c>
      <c r="T130" s="104">
        <v>42101</v>
      </c>
      <c r="U130" s="114" t="s">
        <v>1369</v>
      </c>
      <c r="V130" s="106" t="s">
        <v>1442</v>
      </c>
      <c r="W130" s="118"/>
      <c r="X130" s="118"/>
      <c r="Y130" s="119"/>
      <c r="Z130" s="120"/>
      <c r="AA130" s="121"/>
      <c r="AB130" s="122"/>
      <c r="AC130" s="121"/>
      <c r="AD130" s="121"/>
      <c r="AE130" s="121"/>
      <c r="AF130" s="121"/>
      <c r="AG130" s="122"/>
      <c r="AH130" s="121"/>
      <c r="AI130" s="123"/>
    </row>
    <row r="131" spans="1:35" s="112" customFormat="1" ht="24.95" hidden="1" customHeight="1" x14ac:dyDescent="0.2">
      <c r="A131" s="93">
        <f t="shared" si="2"/>
        <v>115</v>
      </c>
      <c r="B131" s="220" t="s">
        <v>659</v>
      </c>
      <c r="C131" s="219" t="s">
        <v>926</v>
      </c>
      <c r="D131" s="219" t="s">
        <v>1205</v>
      </c>
      <c r="E131" s="46"/>
      <c r="F131" s="98">
        <v>3</v>
      </c>
      <c r="G131" s="138">
        <v>42080</v>
      </c>
      <c r="H131" s="104"/>
      <c r="I131" s="72">
        <f t="shared" ca="1" si="1"/>
        <v>-1982</v>
      </c>
      <c r="J131" s="99"/>
      <c r="K131" s="99"/>
      <c r="L131" s="114"/>
      <c r="M131" s="104"/>
      <c r="N131" s="46"/>
      <c r="O131" s="102"/>
      <c r="P131" s="101"/>
      <c r="Q131" s="101"/>
      <c r="R131" s="101"/>
      <c r="S131" s="101"/>
      <c r="T131" s="102"/>
      <c r="U131" s="101"/>
      <c r="V131" s="106"/>
      <c r="W131" s="118"/>
      <c r="X131" s="118"/>
      <c r="Y131" s="119"/>
      <c r="Z131" s="120"/>
      <c r="AA131" s="121"/>
      <c r="AB131" s="122"/>
      <c r="AC131" s="121"/>
      <c r="AD131" s="121"/>
      <c r="AE131" s="121"/>
      <c r="AF131" s="121"/>
      <c r="AG131" s="122"/>
      <c r="AH131" s="121"/>
      <c r="AI131" s="123"/>
    </row>
    <row r="132" spans="1:35" s="112" customFormat="1" ht="24.95" hidden="1" customHeight="1" x14ac:dyDescent="0.2">
      <c r="A132" s="93">
        <f t="shared" si="2"/>
        <v>116</v>
      </c>
      <c r="B132" s="220" t="s">
        <v>660</v>
      </c>
      <c r="C132" s="219" t="s">
        <v>927</v>
      </c>
      <c r="D132" s="219" t="s">
        <v>1206</v>
      </c>
      <c r="E132" s="46"/>
      <c r="F132" s="98">
        <v>3</v>
      </c>
      <c r="G132" s="138">
        <v>42080</v>
      </c>
      <c r="H132" s="104"/>
      <c r="I132" s="72">
        <f t="shared" ca="1" si="1"/>
        <v>-1982</v>
      </c>
      <c r="J132" s="99"/>
      <c r="K132" s="99"/>
      <c r="L132" s="114"/>
      <c r="M132" s="104"/>
      <c r="N132" s="46"/>
      <c r="O132" s="102"/>
      <c r="P132" s="101"/>
      <c r="Q132" s="101"/>
      <c r="R132" s="101"/>
      <c r="S132" s="101"/>
      <c r="T132" s="102"/>
      <c r="U132" s="101"/>
      <c r="V132" s="106"/>
      <c r="W132" s="118"/>
      <c r="X132" s="118"/>
      <c r="Y132" s="119"/>
      <c r="Z132" s="120"/>
      <c r="AA132" s="121"/>
      <c r="AB132" s="122"/>
      <c r="AC132" s="121"/>
      <c r="AD132" s="121"/>
      <c r="AE132" s="121"/>
      <c r="AF132" s="121"/>
      <c r="AG132" s="122"/>
      <c r="AH132" s="121"/>
      <c r="AI132" s="123"/>
    </row>
    <row r="133" spans="1:35" s="112" customFormat="1" ht="24.95" customHeight="1" x14ac:dyDescent="0.2">
      <c r="A133" s="93">
        <f t="shared" si="2"/>
        <v>117</v>
      </c>
      <c r="B133" s="220" t="s">
        <v>661</v>
      </c>
      <c r="C133" s="219" t="s">
        <v>928</v>
      </c>
      <c r="D133" s="219" t="s">
        <v>1207</v>
      </c>
      <c r="E133" s="46" t="s">
        <v>1369</v>
      </c>
      <c r="F133" s="98">
        <v>3</v>
      </c>
      <c r="G133" s="138">
        <v>42080</v>
      </c>
      <c r="H133" s="104"/>
      <c r="I133" s="72">
        <v>-7</v>
      </c>
      <c r="J133" s="61" t="s">
        <v>2267</v>
      </c>
      <c r="K133" s="61">
        <v>42087</v>
      </c>
      <c r="L133" s="61" t="s">
        <v>2268</v>
      </c>
      <c r="M133" s="104">
        <v>42092</v>
      </c>
      <c r="N133" s="46" t="s">
        <v>2326</v>
      </c>
      <c r="O133" s="104">
        <v>42107</v>
      </c>
      <c r="P133" s="114">
        <v>1</v>
      </c>
      <c r="Q133" s="223" t="s">
        <v>2272</v>
      </c>
      <c r="R133" s="61">
        <v>42095</v>
      </c>
      <c r="S133" s="46" t="s">
        <v>2277</v>
      </c>
      <c r="T133" s="104">
        <v>42101</v>
      </c>
      <c r="U133" s="114" t="s">
        <v>1369</v>
      </c>
      <c r="V133" s="106" t="s">
        <v>1442</v>
      </c>
      <c r="W133" s="118"/>
      <c r="X133" s="118"/>
      <c r="Y133" s="119"/>
      <c r="Z133" s="120"/>
      <c r="AA133" s="121"/>
      <c r="AB133" s="122"/>
      <c r="AC133" s="121"/>
      <c r="AD133" s="121"/>
      <c r="AE133" s="121"/>
      <c r="AF133" s="121"/>
      <c r="AG133" s="122"/>
      <c r="AH133" s="121"/>
      <c r="AI133" s="123"/>
    </row>
    <row r="134" spans="1:35" s="112" customFormat="1" ht="24.95" hidden="1" customHeight="1" x14ac:dyDescent="0.2">
      <c r="A134" s="93">
        <f t="shared" si="2"/>
        <v>118</v>
      </c>
      <c r="B134" s="220" t="s">
        <v>662</v>
      </c>
      <c r="C134" s="219" t="s">
        <v>929</v>
      </c>
      <c r="D134" s="219" t="s">
        <v>1208</v>
      </c>
      <c r="E134" s="46"/>
      <c r="F134" s="98">
        <v>3</v>
      </c>
      <c r="G134" s="138">
        <v>42080</v>
      </c>
      <c r="H134" s="104"/>
      <c r="I134" s="72">
        <f t="shared" ca="1" si="1"/>
        <v>-1982</v>
      </c>
      <c r="J134" s="99"/>
      <c r="K134" s="99"/>
      <c r="L134" s="114"/>
      <c r="M134" s="104"/>
      <c r="N134" s="46"/>
      <c r="O134" s="102"/>
      <c r="P134" s="101"/>
      <c r="Q134" s="101"/>
      <c r="R134" s="101"/>
      <c r="S134" s="101"/>
      <c r="T134" s="102"/>
      <c r="U134" s="101"/>
      <c r="V134" s="106"/>
      <c r="W134" s="118"/>
      <c r="X134" s="118"/>
      <c r="Y134" s="139"/>
      <c r="Z134" s="120"/>
      <c r="AA134" s="121"/>
      <c r="AB134" s="122"/>
      <c r="AC134" s="121"/>
      <c r="AD134" s="140"/>
      <c r="AE134" s="140"/>
      <c r="AF134" s="140"/>
      <c r="AG134" s="141"/>
      <c r="AH134" s="121"/>
      <c r="AI134" s="123"/>
    </row>
    <row r="135" spans="1:35" s="112" customFormat="1" ht="24.95" customHeight="1" x14ac:dyDescent="0.2">
      <c r="A135" s="93">
        <f t="shared" si="2"/>
        <v>119</v>
      </c>
      <c r="B135" s="220" t="s">
        <v>663</v>
      </c>
      <c r="C135" s="219" t="s">
        <v>930</v>
      </c>
      <c r="D135" s="219" t="s">
        <v>1209</v>
      </c>
      <c r="E135" s="46" t="s">
        <v>1369</v>
      </c>
      <c r="F135" s="98">
        <v>3</v>
      </c>
      <c r="G135" s="138">
        <v>42080</v>
      </c>
      <c r="H135" s="104"/>
      <c r="I135" s="72">
        <v>-7</v>
      </c>
      <c r="J135" s="61" t="s">
        <v>2267</v>
      </c>
      <c r="K135" s="61">
        <v>42087</v>
      </c>
      <c r="L135" s="61" t="s">
        <v>2268</v>
      </c>
      <c r="M135" s="104">
        <v>42092</v>
      </c>
      <c r="N135" s="46" t="s">
        <v>2326</v>
      </c>
      <c r="O135" s="104">
        <v>42107</v>
      </c>
      <c r="P135" s="114">
        <v>1</v>
      </c>
      <c r="Q135" s="223" t="s">
        <v>2272</v>
      </c>
      <c r="R135" s="61">
        <v>42095</v>
      </c>
      <c r="S135" s="46" t="s">
        <v>2278</v>
      </c>
      <c r="T135" s="104">
        <v>42101</v>
      </c>
      <c r="U135" s="114" t="s">
        <v>1369</v>
      </c>
      <c r="V135" s="106" t="s">
        <v>1442</v>
      </c>
      <c r="W135" s="118"/>
      <c r="X135" s="118"/>
      <c r="Y135" s="139"/>
      <c r="Z135" s="120"/>
      <c r="AA135" s="121"/>
      <c r="AB135" s="122"/>
      <c r="AC135" s="121"/>
      <c r="AD135" s="140"/>
      <c r="AE135" s="140"/>
      <c r="AF135" s="140"/>
      <c r="AG135" s="141"/>
      <c r="AH135" s="121"/>
      <c r="AI135" s="123"/>
    </row>
    <row r="136" spans="1:35" s="112" customFormat="1" ht="24.95" hidden="1" customHeight="1" x14ac:dyDescent="0.2">
      <c r="A136" s="93">
        <f t="shared" si="2"/>
        <v>120</v>
      </c>
      <c r="B136" s="220" t="s">
        <v>664</v>
      </c>
      <c r="C136" s="219" t="s">
        <v>931</v>
      </c>
      <c r="D136" s="219" t="s">
        <v>1210</v>
      </c>
      <c r="E136" s="46"/>
      <c r="F136" s="98">
        <v>3</v>
      </c>
      <c r="G136" s="138">
        <v>42080</v>
      </c>
      <c r="H136" s="104"/>
      <c r="I136" s="72">
        <f t="shared" ca="1" si="1"/>
        <v>-1982</v>
      </c>
      <c r="J136" s="99"/>
      <c r="K136" s="99"/>
      <c r="L136" s="114"/>
      <c r="M136" s="104"/>
      <c r="N136" s="46"/>
      <c r="O136" s="102"/>
      <c r="P136" s="101"/>
      <c r="Q136" s="101"/>
      <c r="R136" s="101"/>
      <c r="S136" s="101"/>
      <c r="T136" s="102"/>
      <c r="U136" s="101"/>
      <c r="V136" s="106"/>
      <c r="W136" s="142"/>
      <c r="X136" s="142"/>
      <c r="Y136" s="143"/>
      <c r="Z136" s="144"/>
      <c r="AA136" s="143"/>
      <c r="AB136" s="144"/>
      <c r="AC136" s="143"/>
      <c r="AD136" s="143"/>
      <c r="AE136" s="143"/>
      <c r="AF136" s="143"/>
      <c r="AG136" s="144"/>
      <c r="AH136" s="143"/>
      <c r="AI136" s="143"/>
    </row>
    <row r="137" spans="1:35" s="112" customFormat="1" ht="24.95" hidden="1" customHeight="1" x14ac:dyDescent="0.2">
      <c r="A137" s="93">
        <f t="shared" si="2"/>
        <v>121</v>
      </c>
      <c r="B137" s="220" t="s">
        <v>665</v>
      </c>
      <c r="C137" s="219" t="s">
        <v>932</v>
      </c>
      <c r="D137" s="219" t="s">
        <v>1211</v>
      </c>
      <c r="E137" s="46"/>
      <c r="F137" s="98">
        <v>3</v>
      </c>
      <c r="G137" s="138">
        <v>42080</v>
      </c>
      <c r="H137" s="104"/>
      <c r="I137" s="72">
        <f t="shared" ca="1" si="1"/>
        <v>-1982</v>
      </c>
      <c r="J137" s="99"/>
      <c r="K137" s="99"/>
      <c r="L137" s="114"/>
      <c r="M137" s="104"/>
      <c r="N137" s="46"/>
      <c r="O137" s="102"/>
      <c r="P137" s="101"/>
      <c r="Q137" s="101"/>
      <c r="R137" s="101"/>
      <c r="S137" s="101"/>
      <c r="T137" s="102"/>
      <c r="U137" s="101"/>
      <c r="V137" s="106"/>
      <c r="W137" s="142"/>
      <c r="X137" s="142"/>
      <c r="Y137" s="143"/>
      <c r="Z137" s="144"/>
      <c r="AA137" s="143"/>
      <c r="AB137" s="144"/>
      <c r="AC137" s="143"/>
      <c r="AD137" s="143"/>
      <c r="AE137" s="143"/>
      <c r="AF137" s="143"/>
      <c r="AG137" s="144"/>
      <c r="AH137" s="143"/>
      <c r="AI137" s="143"/>
    </row>
    <row r="138" spans="1:35" s="112" customFormat="1" ht="24.95" customHeight="1" x14ac:dyDescent="0.2">
      <c r="A138" s="93">
        <f t="shared" si="2"/>
        <v>122</v>
      </c>
      <c r="B138" s="220" t="s">
        <v>666</v>
      </c>
      <c r="C138" s="219" t="s">
        <v>933</v>
      </c>
      <c r="D138" s="219" t="s">
        <v>1212</v>
      </c>
      <c r="E138" s="46" t="s">
        <v>1369</v>
      </c>
      <c r="F138" s="98">
        <v>3</v>
      </c>
      <c r="G138" s="138">
        <v>42080</v>
      </c>
      <c r="H138" s="104"/>
      <c r="I138" s="72">
        <v>-7</v>
      </c>
      <c r="J138" s="61" t="s">
        <v>2267</v>
      </c>
      <c r="K138" s="61">
        <v>42087</v>
      </c>
      <c r="L138" s="61" t="s">
        <v>2268</v>
      </c>
      <c r="M138" s="104">
        <v>42092</v>
      </c>
      <c r="N138" s="46" t="s">
        <v>2326</v>
      </c>
      <c r="O138" s="104">
        <v>42107</v>
      </c>
      <c r="P138" s="114">
        <v>1</v>
      </c>
      <c r="Q138" s="223" t="s">
        <v>2272</v>
      </c>
      <c r="R138" s="61">
        <v>42095</v>
      </c>
      <c r="S138" s="46" t="s">
        <v>2277</v>
      </c>
      <c r="T138" s="104">
        <v>42101</v>
      </c>
      <c r="U138" s="114" t="s">
        <v>1369</v>
      </c>
      <c r="V138" s="106" t="s">
        <v>1442</v>
      </c>
      <c r="W138" s="142"/>
      <c r="X138" s="142"/>
      <c r="Y138" s="143"/>
      <c r="Z138" s="144"/>
      <c r="AA138" s="143"/>
      <c r="AB138" s="144"/>
      <c r="AC138" s="143"/>
      <c r="AD138" s="143"/>
      <c r="AE138" s="143"/>
      <c r="AF138" s="143"/>
      <c r="AG138" s="144"/>
      <c r="AH138" s="143"/>
      <c r="AI138" s="143"/>
    </row>
    <row r="139" spans="1:35" s="112" customFormat="1" ht="24.95" hidden="1" customHeight="1" x14ac:dyDescent="0.2">
      <c r="A139" s="93">
        <f t="shared" si="2"/>
        <v>123</v>
      </c>
      <c r="B139" s="220" t="s">
        <v>667</v>
      </c>
      <c r="C139" s="219" t="s">
        <v>934</v>
      </c>
      <c r="D139" s="219" t="s">
        <v>1213</v>
      </c>
      <c r="E139" s="46"/>
      <c r="F139" s="98">
        <v>3</v>
      </c>
      <c r="G139" s="138">
        <v>42080</v>
      </c>
      <c r="H139" s="104"/>
      <c r="I139" s="72">
        <f t="shared" ca="1" si="1"/>
        <v>-1982</v>
      </c>
      <c r="J139" s="99"/>
      <c r="K139" s="99"/>
      <c r="L139" s="114"/>
      <c r="M139" s="104"/>
      <c r="N139" s="46"/>
      <c r="O139" s="102"/>
      <c r="P139" s="101"/>
      <c r="Q139" s="101"/>
      <c r="R139" s="101"/>
      <c r="S139" s="101"/>
      <c r="T139" s="102"/>
      <c r="U139" s="101"/>
      <c r="V139" s="106"/>
      <c r="W139" s="142"/>
      <c r="X139" s="142"/>
      <c r="Y139" s="143"/>
      <c r="Z139" s="144"/>
      <c r="AA139" s="143"/>
      <c r="AB139" s="144"/>
      <c r="AC139" s="143"/>
      <c r="AD139" s="143"/>
      <c r="AE139" s="143"/>
      <c r="AF139" s="143"/>
      <c r="AG139" s="144"/>
      <c r="AH139" s="143"/>
      <c r="AI139" s="143"/>
    </row>
    <row r="140" spans="1:35" s="112" customFormat="1" ht="24.95" customHeight="1" x14ac:dyDescent="0.2">
      <c r="A140" s="93">
        <f t="shared" si="2"/>
        <v>124</v>
      </c>
      <c r="B140" s="220" t="s">
        <v>668</v>
      </c>
      <c r="C140" s="219" t="s">
        <v>935</v>
      </c>
      <c r="D140" s="219" t="s">
        <v>1214</v>
      </c>
      <c r="E140" s="46" t="s">
        <v>1369</v>
      </c>
      <c r="F140" s="98">
        <v>3</v>
      </c>
      <c r="G140" s="138">
        <v>42080</v>
      </c>
      <c r="H140" s="104"/>
      <c r="I140" s="72">
        <v>-7</v>
      </c>
      <c r="J140" s="61" t="s">
        <v>2267</v>
      </c>
      <c r="K140" s="61">
        <v>42087</v>
      </c>
      <c r="L140" s="61" t="s">
        <v>2268</v>
      </c>
      <c r="M140" s="104">
        <v>42092</v>
      </c>
      <c r="N140" s="46" t="s">
        <v>2326</v>
      </c>
      <c r="O140" s="104">
        <v>42107</v>
      </c>
      <c r="P140" s="114">
        <v>1</v>
      </c>
      <c r="Q140" s="223" t="s">
        <v>2272</v>
      </c>
      <c r="R140" s="61">
        <v>42095</v>
      </c>
      <c r="S140" s="46" t="s">
        <v>2278</v>
      </c>
      <c r="T140" s="104">
        <v>42101</v>
      </c>
      <c r="U140" s="114" t="s">
        <v>1369</v>
      </c>
      <c r="V140" s="106" t="s">
        <v>1442</v>
      </c>
      <c r="W140" s="142"/>
      <c r="X140" s="142"/>
      <c r="Y140" s="143"/>
      <c r="Z140" s="144"/>
      <c r="AA140" s="143"/>
      <c r="AB140" s="144"/>
      <c r="AC140" s="143"/>
      <c r="AD140" s="143"/>
      <c r="AE140" s="143"/>
      <c r="AF140" s="143"/>
      <c r="AG140" s="144"/>
      <c r="AH140" s="143"/>
      <c r="AI140" s="143"/>
    </row>
    <row r="141" spans="1:35" s="112" customFormat="1" ht="24.95" hidden="1" customHeight="1" x14ac:dyDescent="0.2">
      <c r="A141" s="93">
        <f t="shared" si="2"/>
        <v>125</v>
      </c>
      <c r="B141" s="220" t="s">
        <v>669</v>
      </c>
      <c r="C141" s="219" t="s">
        <v>936</v>
      </c>
      <c r="D141" s="219" t="s">
        <v>1215</v>
      </c>
      <c r="E141" s="46"/>
      <c r="F141" s="98">
        <v>3</v>
      </c>
      <c r="G141" s="138">
        <v>42080</v>
      </c>
      <c r="H141" s="104"/>
      <c r="I141" s="72">
        <f t="shared" ca="1" si="1"/>
        <v>-1982</v>
      </c>
      <c r="J141" s="99"/>
      <c r="K141" s="99"/>
      <c r="L141" s="114"/>
      <c r="M141" s="104"/>
      <c r="N141" s="101"/>
      <c r="O141" s="102"/>
      <c r="P141" s="101"/>
      <c r="Q141" s="101"/>
      <c r="R141" s="101"/>
      <c r="S141" s="101"/>
      <c r="T141" s="102"/>
      <c r="U141" s="101"/>
      <c r="V141" s="106"/>
      <c r="W141" s="142"/>
      <c r="X141" s="142"/>
      <c r="Y141" s="143"/>
      <c r="Z141" s="144"/>
      <c r="AA141" s="143"/>
      <c r="AB141" s="144"/>
      <c r="AC141" s="143"/>
      <c r="AD141" s="143"/>
      <c r="AE141" s="143"/>
      <c r="AF141" s="143"/>
      <c r="AG141" s="144"/>
      <c r="AH141" s="143"/>
      <c r="AI141" s="143"/>
    </row>
    <row r="142" spans="1:35" s="112" customFormat="1" ht="24.95" customHeight="1" x14ac:dyDescent="0.2">
      <c r="A142" s="93">
        <f t="shared" si="2"/>
        <v>126</v>
      </c>
      <c r="B142" s="220" t="s">
        <v>670</v>
      </c>
      <c r="C142" s="222" t="s">
        <v>937</v>
      </c>
      <c r="D142" s="222" t="s">
        <v>1216</v>
      </c>
      <c r="E142" s="46" t="s">
        <v>1369</v>
      </c>
      <c r="F142" s="98">
        <v>3</v>
      </c>
      <c r="G142" s="99">
        <v>42180</v>
      </c>
      <c r="H142" s="138">
        <v>42080</v>
      </c>
      <c r="I142" s="72">
        <v>-100</v>
      </c>
      <c r="J142" s="61" t="s">
        <v>2441</v>
      </c>
      <c r="K142" s="99">
        <v>42180</v>
      </c>
      <c r="L142" s="17" t="s">
        <v>2442</v>
      </c>
      <c r="M142" s="104">
        <v>42185</v>
      </c>
      <c r="N142" s="46" t="s">
        <v>2528</v>
      </c>
      <c r="O142" s="245">
        <v>42199</v>
      </c>
      <c r="P142" s="244" t="s">
        <v>3065</v>
      </c>
      <c r="Q142" s="17" t="s">
        <v>2466</v>
      </c>
      <c r="R142" s="62">
        <v>42186</v>
      </c>
      <c r="S142" s="101"/>
      <c r="T142" s="102"/>
      <c r="U142" s="101"/>
      <c r="V142" s="184" t="s">
        <v>3068</v>
      </c>
      <c r="W142" s="142"/>
      <c r="X142" s="142"/>
      <c r="Y142" s="143"/>
      <c r="Z142" s="144"/>
      <c r="AA142" s="143"/>
      <c r="AB142" s="144"/>
      <c r="AC142" s="143"/>
      <c r="AD142" s="143"/>
      <c r="AE142" s="143"/>
      <c r="AF142" s="143"/>
      <c r="AG142" s="144"/>
      <c r="AH142" s="143"/>
      <c r="AI142" s="143"/>
    </row>
    <row r="143" spans="1:35" s="112" customFormat="1" ht="24.95" customHeight="1" x14ac:dyDescent="0.2">
      <c r="A143" s="93">
        <f t="shared" si="2"/>
        <v>127</v>
      </c>
      <c r="B143" s="220" t="s">
        <v>671</v>
      </c>
      <c r="C143" s="222" t="s">
        <v>938</v>
      </c>
      <c r="D143" s="222" t="s">
        <v>1217</v>
      </c>
      <c r="E143" s="46" t="s">
        <v>1369</v>
      </c>
      <c r="F143" s="98">
        <v>3</v>
      </c>
      <c r="G143" s="99">
        <v>42180</v>
      </c>
      <c r="H143" s="138">
        <v>42080</v>
      </c>
      <c r="I143" s="72">
        <v>-100</v>
      </c>
      <c r="J143" s="61" t="s">
        <v>2441</v>
      </c>
      <c r="K143" s="99">
        <v>42180</v>
      </c>
      <c r="L143" s="17" t="s">
        <v>2442</v>
      </c>
      <c r="M143" s="104">
        <v>42185</v>
      </c>
      <c r="N143" s="46" t="s">
        <v>2528</v>
      </c>
      <c r="O143" s="245">
        <v>42199</v>
      </c>
      <c r="P143" s="244" t="s">
        <v>3065</v>
      </c>
      <c r="Q143" s="17" t="s">
        <v>2466</v>
      </c>
      <c r="R143" s="62">
        <v>42186</v>
      </c>
      <c r="S143" s="101"/>
      <c r="T143" s="102"/>
      <c r="U143" s="101"/>
      <c r="V143" s="184" t="s">
        <v>3068</v>
      </c>
      <c r="W143" s="142"/>
      <c r="X143" s="142"/>
      <c r="Y143" s="143"/>
      <c r="Z143" s="144"/>
      <c r="AA143" s="143"/>
      <c r="AB143" s="144"/>
      <c r="AC143" s="143"/>
      <c r="AD143" s="143"/>
      <c r="AE143" s="143"/>
      <c r="AF143" s="143"/>
      <c r="AG143" s="144"/>
      <c r="AH143" s="143"/>
      <c r="AI143" s="143"/>
    </row>
    <row r="144" spans="1:35" s="112" customFormat="1" ht="24.95" hidden="1" customHeight="1" x14ac:dyDescent="0.2">
      <c r="A144" s="93">
        <f t="shared" si="2"/>
        <v>128</v>
      </c>
      <c r="B144" s="220" t="s">
        <v>672</v>
      </c>
      <c r="C144" s="222" t="s">
        <v>939</v>
      </c>
      <c r="D144" s="222" t="s">
        <v>1218</v>
      </c>
      <c r="E144" s="46"/>
      <c r="F144" s="98">
        <v>3</v>
      </c>
      <c r="G144" s="138">
        <v>42080</v>
      </c>
      <c r="H144" s="138">
        <v>42080</v>
      </c>
      <c r="I144" s="72">
        <v>-100</v>
      </c>
      <c r="J144" s="99"/>
      <c r="K144" s="99"/>
      <c r="L144" s="114"/>
      <c r="M144" s="104"/>
      <c r="N144" s="46"/>
      <c r="O144" s="102"/>
      <c r="P144" s="101"/>
      <c r="Q144" s="101"/>
      <c r="R144" s="101"/>
      <c r="S144" s="101"/>
      <c r="T144" s="102"/>
      <c r="U144" s="101"/>
      <c r="V144" s="184" t="s">
        <v>3068</v>
      </c>
      <c r="W144" s="142"/>
      <c r="X144" s="142"/>
      <c r="Y144" s="143"/>
      <c r="Z144" s="144"/>
      <c r="AA144" s="143"/>
      <c r="AB144" s="144"/>
      <c r="AC144" s="143"/>
      <c r="AD144" s="143"/>
      <c r="AE144" s="143"/>
      <c r="AF144" s="143"/>
      <c r="AG144" s="144"/>
      <c r="AH144" s="143"/>
      <c r="AI144" s="143"/>
    </row>
    <row r="145" spans="1:35" s="112" customFormat="1" ht="24.95" customHeight="1" x14ac:dyDescent="0.2">
      <c r="A145" s="93">
        <f t="shared" si="2"/>
        <v>129</v>
      </c>
      <c r="B145" s="220" t="s">
        <v>673</v>
      </c>
      <c r="C145" s="222" t="s">
        <v>940</v>
      </c>
      <c r="D145" s="222" t="s">
        <v>1219</v>
      </c>
      <c r="E145" s="46" t="s">
        <v>1369</v>
      </c>
      <c r="F145" s="98">
        <v>3</v>
      </c>
      <c r="G145" s="99">
        <v>42180</v>
      </c>
      <c r="H145" s="138">
        <v>42080</v>
      </c>
      <c r="I145" s="72">
        <v>-100</v>
      </c>
      <c r="J145" s="61" t="s">
        <v>2441</v>
      </c>
      <c r="K145" s="99">
        <v>42180</v>
      </c>
      <c r="L145" s="17" t="s">
        <v>2442</v>
      </c>
      <c r="M145" s="104">
        <v>42185</v>
      </c>
      <c r="N145" s="46" t="s">
        <v>2528</v>
      </c>
      <c r="O145" s="245">
        <v>42199</v>
      </c>
      <c r="P145" s="244" t="s">
        <v>3065</v>
      </c>
      <c r="Q145" s="17" t="s">
        <v>2466</v>
      </c>
      <c r="R145" s="62">
        <v>42186</v>
      </c>
      <c r="S145" s="101"/>
      <c r="T145" s="102"/>
      <c r="U145" s="101"/>
      <c r="V145" s="184" t="s">
        <v>3068</v>
      </c>
      <c r="W145" s="142"/>
      <c r="X145" s="142"/>
      <c r="Y145" s="143"/>
      <c r="Z145" s="144"/>
      <c r="AA145" s="143"/>
      <c r="AB145" s="144"/>
      <c r="AC145" s="143"/>
      <c r="AD145" s="143"/>
      <c r="AE145" s="143"/>
      <c r="AF145" s="143"/>
      <c r="AG145" s="144"/>
      <c r="AH145" s="143"/>
      <c r="AI145" s="143"/>
    </row>
    <row r="146" spans="1:35" s="112" customFormat="1" ht="24.95" hidden="1" customHeight="1" x14ac:dyDescent="0.2">
      <c r="A146" s="93">
        <f t="shared" si="2"/>
        <v>130</v>
      </c>
      <c r="B146" s="220" t="s">
        <v>674</v>
      </c>
      <c r="C146" s="222" t="s">
        <v>941</v>
      </c>
      <c r="D146" s="222" t="s">
        <v>1220</v>
      </c>
      <c r="E146" s="46"/>
      <c r="F146" s="98">
        <v>3</v>
      </c>
      <c r="G146" s="138">
        <v>42080</v>
      </c>
      <c r="H146" s="104"/>
      <c r="I146" s="72">
        <f ca="1">G146-TODAY()</f>
        <v>-1982</v>
      </c>
      <c r="J146" s="99"/>
      <c r="K146" s="99"/>
      <c r="L146" s="114"/>
      <c r="M146" s="104"/>
      <c r="N146" s="101"/>
      <c r="O146" s="102"/>
      <c r="P146" s="101"/>
      <c r="Q146" s="101"/>
      <c r="R146" s="101"/>
      <c r="S146" s="101"/>
      <c r="T146" s="102"/>
      <c r="U146" s="101"/>
      <c r="V146" s="106"/>
      <c r="W146" s="142"/>
      <c r="X146" s="142"/>
      <c r="Y146" s="143"/>
      <c r="Z146" s="144"/>
      <c r="AA146" s="143"/>
      <c r="AB146" s="144"/>
      <c r="AC146" s="143"/>
      <c r="AD146" s="143"/>
      <c r="AE146" s="143"/>
      <c r="AF146" s="143"/>
      <c r="AG146" s="144"/>
      <c r="AH146" s="143"/>
      <c r="AI146" s="143"/>
    </row>
    <row r="147" spans="1:35" s="112" customFormat="1" ht="31.5" hidden="1" customHeight="1" x14ac:dyDescent="0.2">
      <c r="A147" s="93">
        <f t="shared" ref="A147:A228" si="3">A146+1</f>
        <v>131</v>
      </c>
      <c r="B147" s="516" t="s">
        <v>1471</v>
      </c>
      <c r="C147" s="535" t="s">
        <v>942</v>
      </c>
      <c r="D147" s="535" t="s">
        <v>1221</v>
      </c>
      <c r="E147" s="46" t="s">
        <v>1369</v>
      </c>
      <c r="F147" s="98">
        <v>3</v>
      </c>
      <c r="G147" s="145">
        <v>41794</v>
      </c>
      <c r="H147" s="99"/>
      <c r="I147" s="72"/>
      <c r="J147" s="99" t="s">
        <v>1469</v>
      </c>
      <c r="K147" s="145">
        <v>41794</v>
      </c>
      <c r="L147" s="131" t="s">
        <v>1470</v>
      </c>
      <c r="M147" s="138">
        <v>41795</v>
      </c>
      <c r="N147" s="65" t="s">
        <v>1575</v>
      </c>
      <c r="O147" s="26">
        <v>41822</v>
      </c>
      <c r="P147" s="182" t="s">
        <v>1465</v>
      </c>
      <c r="Q147" s="131" t="s">
        <v>1527</v>
      </c>
      <c r="R147" s="138">
        <v>41800</v>
      </c>
      <c r="S147" s="146" t="s">
        <v>1539</v>
      </c>
      <c r="T147" s="147">
        <v>41806</v>
      </c>
      <c r="U147" s="105" t="s">
        <v>1465</v>
      </c>
      <c r="V147" s="106"/>
      <c r="W147" s="142"/>
      <c r="X147" s="142"/>
      <c r="Y147" s="143"/>
      <c r="Z147" s="144"/>
      <c r="AA147" s="143"/>
      <c r="AB147" s="144"/>
      <c r="AC147" s="143"/>
      <c r="AD147" s="143"/>
      <c r="AE147" s="143"/>
      <c r="AF147" s="143"/>
      <c r="AG147" s="144"/>
      <c r="AH147" s="143"/>
      <c r="AI147" s="143"/>
    </row>
    <row r="148" spans="1:35" s="112" customFormat="1" ht="33" hidden="1" customHeight="1" x14ac:dyDescent="0.2">
      <c r="A148" s="93"/>
      <c r="B148" s="516"/>
      <c r="C148" s="535"/>
      <c r="D148" s="535"/>
      <c r="E148" s="46" t="s">
        <v>1432</v>
      </c>
      <c r="F148" s="98">
        <v>3</v>
      </c>
      <c r="G148" s="99"/>
      <c r="H148" s="99"/>
      <c r="I148" s="72"/>
      <c r="J148" s="99" t="s">
        <v>1570</v>
      </c>
      <c r="K148" s="99">
        <v>41823</v>
      </c>
      <c r="L148" s="131" t="s">
        <v>1573</v>
      </c>
      <c r="M148" s="99">
        <v>41826</v>
      </c>
      <c r="N148" s="65"/>
      <c r="O148" s="26"/>
      <c r="P148" s="52"/>
      <c r="Q148" s="131" t="s">
        <v>1583</v>
      </c>
      <c r="R148" s="138">
        <v>41827</v>
      </c>
      <c r="S148" s="146" t="s">
        <v>1586</v>
      </c>
      <c r="T148" s="160">
        <v>41829</v>
      </c>
      <c r="U148" s="105" t="s">
        <v>1465</v>
      </c>
      <c r="V148" s="106" t="s">
        <v>1530</v>
      </c>
      <c r="W148" s="142"/>
      <c r="X148" s="142"/>
      <c r="Y148" s="143"/>
      <c r="Z148" s="144"/>
      <c r="AA148" s="143"/>
      <c r="AB148" s="144"/>
      <c r="AC148" s="143"/>
      <c r="AD148" s="143"/>
      <c r="AE148" s="143"/>
      <c r="AF148" s="143"/>
      <c r="AG148" s="144"/>
      <c r="AH148" s="143"/>
      <c r="AI148" s="143"/>
    </row>
    <row r="149" spans="1:35" s="112" customFormat="1" ht="33" hidden="1" customHeight="1" x14ac:dyDescent="0.2">
      <c r="A149" s="93"/>
      <c r="B149" s="516"/>
      <c r="C149" s="535"/>
      <c r="D149" s="535"/>
      <c r="E149" s="46" t="s">
        <v>1459</v>
      </c>
      <c r="F149" s="98">
        <v>3</v>
      </c>
      <c r="G149" s="99"/>
      <c r="H149" s="99"/>
      <c r="I149" s="72"/>
      <c r="J149" s="61" t="s">
        <v>1601</v>
      </c>
      <c r="K149" s="61">
        <v>41833</v>
      </c>
      <c r="L149" s="17" t="s">
        <v>1604</v>
      </c>
      <c r="M149" s="18">
        <v>41835</v>
      </c>
      <c r="N149" s="65" t="s">
        <v>1622</v>
      </c>
      <c r="O149" s="26">
        <v>41837</v>
      </c>
      <c r="P149" s="182" t="s">
        <v>1465</v>
      </c>
      <c r="Q149" s="15" t="s">
        <v>1618</v>
      </c>
      <c r="R149" s="62">
        <v>41836</v>
      </c>
      <c r="S149" s="146" t="s">
        <v>1624</v>
      </c>
      <c r="T149" s="160">
        <v>41837</v>
      </c>
      <c r="U149" s="105" t="s">
        <v>1465</v>
      </c>
      <c r="V149" s="171" t="s">
        <v>1625</v>
      </c>
      <c r="W149" s="142"/>
      <c r="X149" s="142"/>
      <c r="Y149" s="143"/>
      <c r="Z149" s="144"/>
      <c r="AA149" s="143"/>
      <c r="AB149" s="144"/>
      <c r="AC149" s="143"/>
      <c r="AD149" s="143"/>
      <c r="AE149" s="143"/>
      <c r="AF149" s="143"/>
      <c r="AG149" s="144"/>
      <c r="AH149" s="143"/>
      <c r="AI149" s="143"/>
    </row>
    <row r="150" spans="1:35" s="112" customFormat="1" ht="24.95" hidden="1" customHeight="1" x14ac:dyDescent="0.2">
      <c r="A150" s="93">
        <f>A147+1</f>
        <v>132</v>
      </c>
      <c r="B150" s="516" t="s">
        <v>1535</v>
      </c>
      <c r="C150" s="535" t="s">
        <v>943</v>
      </c>
      <c r="D150" s="535" t="s">
        <v>1222</v>
      </c>
      <c r="E150" s="46" t="s">
        <v>1369</v>
      </c>
      <c r="F150" s="98">
        <v>3</v>
      </c>
      <c r="G150" s="99">
        <v>41797</v>
      </c>
      <c r="H150" s="99"/>
      <c r="I150" s="72"/>
      <c r="J150" s="99" t="s">
        <v>1537</v>
      </c>
      <c r="K150" s="99">
        <v>41805</v>
      </c>
      <c r="L150" s="131" t="s">
        <v>1536</v>
      </c>
      <c r="M150" s="104">
        <v>41807</v>
      </c>
      <c r="N150" s="65" t="s">
        <v>1576</v>
      </c>
      <c r="O150" s="26">
        <v>41822</v>
      </c>
      <c r="P150" s="182" t="s">
        <v>1465</v>
      </c>
      <c r="Q150" s="131" t="s">
        <v>1543</v>
      </c>
      <c r="R150" s="138">
        <v>41808</v>
      </c>
      <c r="S150" s="146" t="s">
        <v>1655</v>
      </c>
      <c r="T150" s="104">
        <v>41850</v>
      </c>
      <c r="U150" s="105" t="s">
        <v>1465</v>
      </c>
      <c r="V150" s="106"/>
      <c r="W150" s="142"/>
      <c r="X150" s="142"/>
      <c r="Y150" s="143"/>
      <c r="Z150" s="144"/>
      <c r="AA150" s="143"/>
      <c r="AB150" s="144"/>
      <c r="AC150" s="143"/>
      <c r="AD150" s="143"/>
      <c r="AE150" s="143"/>
      <c r="AF150" s="143"/>
      <c r="AG150" s="144"/>
      <c r="AH150" s="143"/>
      <c r="AI150" s="143"/>
    </row>
    <row r="151" spans="1:35" s="112" customFormat="1" ht="24.95" hidden="1" customHeight="1" x14ac:dyDescent="0.2">
      <c r="A151" s="93"/>
      <c r="B151" s="516"/>
      <c r="C151" s="535"/>
      <c r="D151" s="535"/>
      <c r="E151" s="46" t="s">
        <v>1432</v>
      </c>
      <c r="F151" s="98">
        <v>3</v>
      </c>
      <c r="G151" s="99"/>
      <c r="H151" s="99"/>
      <c r="I151" s="72"/>
      <c r="J151" s="99" t="s">
        <v>1594</v>
      </c>
      <c r="K151" s="99">
        <v>41830</v>
      </c>
      <c r="L151" s="131" t="s">
        <v>1596</v>
      </c>
      <c r="M151" s="104">
        <v>41840</v>
      </c>
      <c r="N151" s="65" t="s">
        <v>1645</v>
      </c>
      <c r="O151" s="163">
        <v>41842</v>
      </c>
      <c r="P151" s="182" t="s">
        <v>1465</v>
      </c>
      <c r="Q151" s="131" t="s">
        <v>1633</v>
      </c>
      <c r="R151" s="104">
        <v>41841</v>
      </c>
      <c r="S151" s="104" t="s">
        <v>1442</v>
      </c>
      <c r="T151" s="104" t="s">
        <v>1442</v>
      </c>
      <c r="U151" s="104" t="s">
        <v>1442</v>
      </c>
      <c r="V151" s="171" t="s">
        <v>1656</v>
      </c>
      <c r="W151" s="142"/>
      <c r="X151" s="142"/>
      <c r="Y151" s="143"/>
      <c r="Z151" s="144"/>
      <c r="AA151" s="143"/>
      <c r="AB151" s="144"/>
      <c r="AC151" s="143"/>
      <c r="AD151" s="143"/>
      <c r="AE151" s="143"/>
      <c r="AF151" s="143"/>
      <c r="AG151" s="144"/>
      <c r="AH151" s="143"/>
      <c r="AI151" s="143"/>
    </row>
    <row r="152" spans="1:35" s="112" customFormat="1" ht="24.95" hidden="1" customHeight="1" x14ac:dyDescent="0.2">
      <c r="A152" s="93"/>
      <c r="B152" s="516"/>
      <c r="C152" s="535"/>
      <c r="D152" s="535"/>
      <c r="E152" s="46" t="s">
        <v>1459</v>
      </c>
      <c r="F152" s="98">
        <v>3</v>
      </c>
      <c r="G152" s="99"/>
      <c r="H152" s="99"/>
      <c r="I152" s="72"/>
      <c r="J152" s="99" t="s">
        <v>1628</v>
      </c>
      <c r="K152" s="99">
        <v>41840</v>
      </c>
      <c r="L152" s="131" t="s">
        <v>1629</v>
      </c>
      <c r="M152" s="104">
        <v>41841</v>
      </c>
      <c r="N152" s="65" t="s">
        <v>1651</v>
      </c>
      <c r="O152" s="163">
        <v>41844</v>
      </c>
      <c r="P152" s="182" t="s">
        <v>1465</v>
      </c>
      <c r="Q152" s="131" t="s">
        <v>1633</v>
      </c>
      <c r="R152" s="104">
        <v>41841</v>
      </c>
      <c r="S152" s="146" t="s">
        <v>1655</v>
      </c>
      <c r="T152" s="104">
        <v>41850</v>
      </c>
      <c r="U152" s="105" t="s">
        <v>1465</v>
      </c>
      <c r="V152" s="106"/>
      <c r="W152" s="142"/>
      <c r="X152" s="142"/>
      <c r="Y152" s="143"/>
      <c r="Z152" s="144"/>
      <c r="AA152" s="143"/>
      <c r="AB152" s="144"/>
      <c r="AC152" s="143"/>
      <c r="AD152" s="143"/>
      <c r="AE152" s="143"/>
      <c r="AF152" s="143"/>
      <c r="AG152" s="144"/>
      <c r="AH152" s="143"/>
      <c r="AI152" s="143"/>
    </row>
    <row r="153" spans="1:35" s="112" customFormat="1" ht="24.95" hidden="1" customHeight="1" x14ac:dyDescent="0.2">
      <c r="A153" s="93">
        <f>A150+1</f>
        <v>133</v>
      </c>
      <c r="B153" s="516" t="s">
        <v>1595</v>
      </c>
      <c r="C153" s="535" t="s">
        <v>944</v>
      </c>
      <c r="D153" s="535" t="s">
        <v>1223</v>
      </c>
      <c r="E153" s="46" t="s">
        <v>1369</v>
      </c>
      <c r="F153" s="98">
        <v>3</v>
      </c>
      <c r="G153" s="99">
        <v>41804</v>
      </c>
      <c r="H153" s="99"/>
      <c r="I153" s="72"/>
      <c r="J153" s="99" t="s">
        <v>1594</v>
      </c>
      <c r="K153" s="99">
        <v>41830</v>
      </c>
      <c r="L153" s="131" t="s">
        <v>1596</v>
      </c>
      <c r="M153" s="104">
        <v>41840</v>
      </c>
      <c r="N153" s="65" t="s">
        <v>1645</v>
      </c>
      <c r="O153" s="163">
        <v>41842</v>
      </c>
      <c r="P153" s="182" t="s">
        <v>1465</v>
      </c>
      <c r="Q153" s="101"/>
      <c r="R153" s="101"/>
      <c r="S153" s="101"/>
      <c r="T153" s="102"/>
      <c r="U153" s="101"/>
      <c r="V153" s="184" t="s">
        <v>1606</v>
      </c>
      <c r="W153" s="142"/>
      <c r="X153" s="142"/>
      <c r="Y153" s="143"/>
      <c r="Z153" s="144"/>
      <c r="AA153" s="143"/>
      <c r="AB153" s="144"/>
      <c r="AC153" s="143"/>
      <c r="AD153" s="143"/>
      <c r="AE153" s="143"/>
      <c r="AF153" s="143"/>
      <c r="AG153" s="144"/>
      <c r="AH153" s="143"/>
      <c r="AI153" s="143"/>
    </row>
    <row r="154" spans="1:35" s="112" customFormat="1" ht="31.5" hidden="1" x14ac:dyDescent="0.2">
      <c r="A154" s="93"/>
      <c r="B154" s="516"/>
      <c r="C154" s="535"/>
      <c r="D154" s="535"/>
      <c r="E154" s="46" t="s">
        <v>1432</v>
      </c>
      <c r="F154" s="98">
        <v>3</v>
      </c>
      <c r="G154" s="99"/>
      <c r="H154" s="99"/>
      <c r="I154" s="72"/>
      <c r="J154" s="99" t="s">
        <v>1628</v>
      </c>
      <c r="K154" s="99">
        <v>41840</v>
      </c>
      <c r="L154" s="131" t="s">
        <v>1629</v>
      </c>
      <c r="M154" s="104">
        <v>41841</v>
      </c>
      <c r="N154" s="65" t="s">
        <v>1651</v>
      </c>
      <c r="O154" s="163">
        <v>41844</v>
      </c>
      <c r="P154" s="182" t="s">
        <v>1465</v>
      </c>
      <c r="Q154" s="131" t="s">
        <v>1633</v>
      </c>
      <c r="R154" s="104">
        <v>41841</v>
      </c>
      <c r="S154" s="183" t="s">
        <v>1726</v>
      </c>
      <c r="T154" s="104">
        <v>41865</v>
      </c>
      <c r="U154" s="52" t="s">
        <v>1529</v>
      </c>
      <c r="V154" s="106" t="s">
        <v>1442</v>
      </c>
      <c r="W154" s="142"/>
      <c r="X154" s="142"/>
      <c r="Y154" s="143"/>
      <c r="Z154" s="144"/>
      <c r="AA154" s="143"/>
      <c r="AB154" s="144"/>
      <c r="AC154" s="143"/>
      <c r="AD154" s="143"/>
      <c r="AE154" s="143"/>
      <c r="AF154" s="143"/>
      <c r="AG154" s="144"/>
      <c r="AH154" s="143"/>
      <c r="AI154" s="143"/>
    </row>
    <row r="155" spans="1:35" s="112" customFormat="1" ht="24.95" hidden="1" customHeight="1" x14ac:dyDescent="0.2">
      <c r="A155" s="93">
        <f>A153+1</f>
        <v>134</v>
      </c>
      <c r="B155" s="148" t="s">
        <v>675</v>
      </c>
      <c r="C155" s="222" t="s">
        <v>945</v>
      </c>
      <c r="D155" s="222" t="s">
        <v>1224</v>
      </c>
      <c r="E155" s="46" t="s">
        <v>1369</v>
      </c>
      <c r="F155" s="98">
        <v>3</v>
      </c>
      <c r="G155" s="99">
        <v>41810</v>
      </c>
      <c r="H155" s="99"/>
      <c r="I155" s="72"/>
      <c r="J155" s="99" t="s">
        <v>1647</v>
      </c>
      <c r="K155" s="99">
        <v>41844</v>
      </c>
      <c r="L155" s="131" t="s">
        <v>1649</v>
      </c>
      <c r="M155" s="175">
        <v>41847</v>
      </c>
      <c r="N155" s="65" t="s">
        <v>1672</v>
      </c>
      <c r="O155" s="104">
        <v>41855</v>
      </c>
      <c r="P155" s="182" t="s">
        <v>1465</v>
      </c>
      <c r="Q155" s="131" t="s">
        <v>1658</v>
      </c>
      <c r="R155" s="104">
        <v>41851</v>
      </c>
      <c r="S155" s="146" t="s">
        <v>1701</v>
      </c>
      <c r="T155" s="104">
        <v>41863</v>
      </c>
      <c r="U155" s="105" t="s">
        <v>1465</v>
      </c>
      <c r="V155" s="106" t="s">
        <v>1442</v>
      </c>
      <c r="W155" s="142"/>
      <c r="X155" s="142"/>
      <c r="Y155" s="143"/>
      <c r="Z155" s="144"/>
      <c r="AA155" s="143"/>
      <c r="AB155" s="144"/>
      <c r="AC155" s="143"/>
      <c r="AD155" s="143"/>
      <c r="AE155" s="143"/>
      <c r="AF155" s="143"/>
      <c r="AG155" s="144"/>
      <c r="AH155" s="143"/>
      <c r="AI155" s="143"/>
    </row>
    <row r="156" spans="1:35" s="112" customFormat="1" ht="24.95" hidden="1" customHeight="1" x14ac:dyDescent="0.2">
      <c r="A156" s="93">
        <f t="shared" si="3"/>
        <v>135</v>
      </c>
      <c r="B156" s="148" t="s">
        <v>676</v>
      </c>
      <c r="C156" s="222" t="s">
        <v>946</v>
      </c>
      <c r="D156" s="222" t="s">
        <v>1225</v>
      </c>
      <c r="E156" s="46" t="s">
        <v>1369</v>
      </c>
      <c r="F156" s="98">
        <v>3</v>
      </c>
      <c r="G156" s="99">
        <v>41817</v>
      </c>
      <c r="H156" s="99"/>
      <c r="I156" s="72"/>
      <c r="J156" s="99" t="s">
        <v>1647</v>
      </c>
      <c r="K156" s="99">
        <v>41844</v>
      </c>
      <c r="L156" s="131" t="s">
        <v>1649</v>
      </c>
      <c r="M156" s="175">
        <v>41847</v>
      </c>
      <c r="N156" s="65" t="s">
        <v>1672</v>
      </c>
      <c r="O156" s="104">
        <v>41855</v>
      </c>
      <c r="P156" s="182" t="s">
        <v>1465</v>
      </c>
      <c r="Q156" s="131" t="s">
        <v>1658</v>
      </c>
      <c r="R156" s="104">
        <v>41851</v>
      </c>
      <c r="S156" s="146" t="s">
        <v>1702</v>
      </c>
      <c r="T156" s="104">
        <v>41863</v>
      </c>
      <c r="U156" s="105" t="s">
        <v>1465</v>
      </c>
      <c r="V156" s="106" t="s">
        <v>1442</v>
      </c>
      <c r="W156" s="142"/>
      <c r="X156" s="142"/>
      <c r="Y156" s="143"/>
      <c r="Z156" s="144"/>
      <c r="AA156" s="143"/>
      <c r="AB156" s="144"/>
      <c r="AC156" s="143"/>
      <c r="AD156" s="143"/>
      <c r="AE156" s="143"/>
      <c r="AF156" s="143"/>
      <c r="AG156" s="144"/>
      <c r="AH156" s="143"/>
      <c r="AI156" s="143"/>
    </row>
    <row r="157" spans="1:35" s="112" customFormat="1" ht="24.95" hidden="1" customHeight="1" x14ac:dyDescent="0.2">
      <c r="A157" s="93">
        <f t="shared" si="3"/>
        <v>136</v>
      </c>
      <c r="B157" s="516" t="s">
        <v>677</v>
      </c>
      <c r="C157" s="535" t="s">
        <v>947</v>
      </c>
      <c r="D157" s="535" t="s">
        <v>1226</v>
      </c>
      <c r="E157" s="46" t="s">
        <v>1369</v>
      </c>
      <c r="F157" s="98">
        <v>3</v>
      </c>
      <c r="G157" s="99">
        <v>41825</v>
      </c>
      <c r="H157" s="99"/>
      <c r="I157" s="72"/>
      <c r="J157" s="99" t="s">
        <v>1647</v>
      </c>
      <c r="K157" s="99">
        <v>41844</v>
      </c>
      <c r="L157" s="131" t="s">
        <v>1649</v>
      </c>
      <c r="M157" s="175">
        <v>41847</v>
      </c>
      <c r="N157" s="65" t="s">
        <v>1672</v>
      </c>
      <c r="O157" s="104">
        <v>41855</v>
      </c>
      <c r="P157" s="182" t="s">
        <v>1465</v>
      </c>
      <c r="Q157" s="131" t="s">
        <v>1658</v>
      </c>
      <c r="R157" s="104">
        <v>41851</v>
      </c>
      <c r="S157" s="146" t="s">
        <v>1703</v>
      </c>
      <c r="T157" s="104">
        <v>41863</v>
      </c>
      <c r="U157" s="105" t="s">
        <v>1465</v>
      </c>
      <c r="V157" s="106" t="s">
        <v>1442</v>
      </c>
      <c r="W157" s="142"/>
      <c r="X157" s="142"/>
      <c r="Y157" s="143"/>
      <c r="Z157" s="144"/>
      <c r="AA157" s="143"/>
      <c r="AB157" s="144"/>
      <c r="AC157" s="143"/>
      <c r="AD157" s="143"/>
      <c r="AE157" s="143"/>
      <c r="AF157" s="143"/>
      <c r="AG157" s="144"/>
      <c r="AH157" s="143"/>
      <c r="AI157" s="143"/>
    </row>
    <row r="158" spans="1:35" s="112" customFormat="1" ht="24.95" hidden="1" customHeight="1" x14ac:dyDescent="0.2">
      <c r="A158" s="93"/>
      <c r="B158" s="516"/>
      <c r="C158" s="535"/>
      <c r="D158" s="535"/>
      <c r="E158" s="46" t="s">
        <v>1432</v>
      </c>
      <c r="F158" s="98" t="s">
        <v>1442</v>
      </c>
      <c r="G158" s="99" t="s">
        <v>1442</v>
      </c>
      <c r="H158" s="99"/>
      <c r="I158" s="72" t="s">
        <v>1442</v>
      </c>
      <c r="J158" s="99" t="s">
        <v>1842</v>
      </c>
      <c r="K158" s="99">
        <v>41898</v>
      </c>
      <c r="L158" s="131" t="s">
        <v>1843</v>
      </c>
      <c r="M158" s="175">
        <v>41900</v>
      </c>
      <c r="N158" s="65" t="s">
        <v>1928</v>
      </c>
      <c r="O158" s="104">
        <v>41905</v>
      </c>
      <c r="P158" s="182" t="s">
        <v>1465</v>
      </c>
      <c r="Q158" s="131" t="s">
        <v>1899</v>
      </c>
      <c r="R158" s="104">
        <v>41904</v>
      </c>
      <c r="S158" s="146" t="s">
        <v>1920</v>
      </c>
      <c r="T158" s="26">
        <v>41906</v>
      </c>
      <c r="U158" s="63" t="s">
        <v>1465</v>
      </c>
      <c r="V158" s="106" t="s">
        <v>1442</v>
      </c>
      <c r="W158" s="142"/>
      <c r="X158" s="142"/>
      <c r="Y158" s="143"/>
      <c r="Z158" s="144"/>
      <c r="AA158" s="143"/>
      <c r="AB158" s="144"/>
      <c r="AC158" s="143"/>
      <c r="AD158" s="143"/>
      <c r="AE158" s="143"/>
      <c r="AF158" s="143"/>
      <c r="AG158" s="144"/>
      <c r="AH158" s="143"/>
      <c r="AI158" s="143"/>
    </row>
    <row r="159" spans="1:35" s="112" customFormat="1" ht="24.95" hidden="1" customHeight="1" x14ac:dyDescent="0.2">
      <c r="A159" s="93">
        <f>A157+1</f>
        <v>137</v>
      </c>
      <c r="B159" s="221" t="s">
        <v>678</v>
      </c>
      <c r="C159" s="239" t="s">
        <v>948</v>
      </c>
      <c r="D159" s="239" t="s">
        <v>1227</v>
      </c>
      <c r="E159" s="46"/>
      <c r="F159" s="98">
        <v>3</v>
      </c>
      <c r="G159" s="99">
        <v>41832</v>
      </c>
      <c r="H159" s="99"/>
      <c r="I159" s="72" t="s">
        <v>1441</v>
      </c>
      <c r="J159" s="99"/>
      <c r="K159" s="99"/>
      <c r="L159" s="114"/>
      <c r="M159" s="104"/>
      <c r="N159" s="101"/>
      <c r="O159" s="102"/>
      <c r="P159" s="101"/>
      <c r="Q159" s="101"/>
      <c r="R159" s="101"/>
      <c r="S159" s="101"/>
      <c r="T159" s="102"/>
      <c r="U159" s="101"/>
      <c r="V159" s="185" t="s">
        <v>1441</v>
      </c>
      <c r="W159" s="142"/>
      <c r="X159" s="142"/>
      <c r="Y159" s="143"/>
      <c r="Z159" s="144"/>
      <c r="AA159" s="143"/>
      <c r="AB159" s="144"/>
      <c r="AC159" s="143"/>
      <c r="AD159" s="143"/>
      <c r="AE159" s="143"/>
      <c r="AF159" s="143"/>
      <c r="AG159" s="144"/>
      <c r="AH159" s="143"/>
      <c r="AI159" s="143"/>
    </row>
    <row r="160" spans="1:35" s="112" customFormat="1" ht="24.95" hidden="1" customHeight="1" x14ac:dyDescent="0.2">
      <c r="A160" s="93">
        <f t="shared" si="3"/>
        <v>138</v>
      </c>
      <c r="B160" s="221" t="s">
        <v>679</v>
      </c>
      <c r="C160" s="239" t="s">
        <v>949</v>
      </c>
      <c r="D160" s="239" t="s">
        <v>1228</v>
      </c>
      <c r="E160" s="46"/>
      <c r="F160" s="98">
        <v>3</v>
      </c>
      <c r="G160" s="99">
        <v>41840</v>
      </c>
      <c r="H160" s="99"/>
      <c r="I160" s="72" t="s">
        <v>1441</v>
      </c>
      <c r="J160" s="99"/>
      <c r="K160" s="99"/>
      <c r="L160" s="114"/>
      <c r="M160" s="104"/>
      <c r="N160" s="101"/>
      <c r="O160" s="102"/>
      <c r="P160" s="101"/>
      <c r="Q160" s="101"/>
      <c r="R160" s="101"/>
      <c r="S160" s="101"/>
      <c r="T160" s="102"/>
      <c r="U160" s="101"/>
      <c r="V160" s="185" t="s">
        <v>1441</v>
      </c>
      <c r="W160" s="142"/>
      <c r="X160" s="142"/>
      <c r="Y160" s="143"/>
      <c r="Z160" s="144"/>
      <c r="AA160" s="143"/>
      <c r="AB160" s="144"/>
      <c r="AC160" s="143"/>
      <c r="AD160" s="143"/>
      <c r="AE160" s="143"/>
      <c r="AF160" s="143"/>
      <c r="AG160" s="144"/>
      <c r="AH160" s="143"/>
      <c r="AI160" s="143"/>
    </row>
    <row r="161" spans="1:35" s="112" customFormat="1" ht="24.95" hidden="1" customHeight="1" x14ac:dyDescent="0.2">
      <c r="A161" s="93">
        <f t="shared" si="3"/>
        <v>139</v>
      </c>
      <c r="B161" s="221" t="s">
        <v>680</v>
      </c>
      <c r="C161" s="239" t="s">
        <v>950</v>
      </c>
      <c r="D161" s="239" t="s">
        <v>1229</v>
      </c>
      <c r="E161" s="46"/>
      <c r="F161" s="98">
        <v>3</v>
      </c>
      <c r="G161" s="99">
        <v>41848</v>
      </c>
      <c r="H161" s="99"/>
      <c r="I161" s="72" t="s">
        <v>1441</v>
      </c>
      <c r="J161" s="99"/>
      <c r="K161" s="99"/>
      <c r="L161" s="114"/>
      <c r="M161" s="104"/>
      <c r="N161" s="101"/>
      <c r="O161" s="102"/>
      <c r="P161" s="101"/>
      <c r="Q161" s="101"/>
      <c r="R161" s="101"/>
      <c r="S161" s="101"/>
      <c r="T161" s="102"/>
      <c r="U161" s="101"/>
      <c r="V161" s="185" t="s">
        <v>1441</v>
      </c>
      <c r="W161" s="142"/>
      <c r="X161" s="142"/>
      <c r="Y161" s="143"/>
      <c r="Z161" s="144"/>
      <c r="AA161" s="143"/>
      <c r="AB161" s="144"/>
      <c r="AC161" s="143"/>
      <c r="AD161" s="143"/>
      <c r="AE161" s="143"/>
      <c r="AF161" s="143"/>
      <c r="AG161" s="144"/>
      <c r="AH161" s="143"/>
      <c r="AI161" s="143"/>
    </row>
    <row r="162" spans="1:35" s="112" customFormat="1" ht="24.95" customHeight="1" x14ac:dyDescent="0.2">
      <c r="A162" s="93">
        <f t="shared" si="3"/>
        <v>140</v>
      </c>
      <c r="B162" s="518" t="s">
        <v>681</v>
      </c>
      <c r="C162" s="500" t="s">
        <v>951</v>
      </c>
      <c r="D162" s="500" t="s">
        <v>1230</v>
      </c>
      <c r="E162" s="46" t="s">
        <v>1369</v>
      </c>
      <c r="F162" s="98">
        <v>3</v>
      </c>
      <c r="G162" s="18">
        <v>42165</v>
      </c>
      <c r="H162" s="225">
        <v>42095</v>
      </c>
      <c r="I162" s="72">
        <v>-8</v>
      </c>
      <c r="J162" s="61" t="s">
        <v>2421</v>
      </c>
      <c r="K162" s="99">
        <v>42173</v>
      </c>
      <c r="L162" s="17" t="s">
        <v>2422</v>
      </c>
      <c r="M162" s="104">
        <v>42176</v>
      </c>
      <c r="N162" s="46" t="s">
        <v>2443</v>
      </c>
      <c r="O162" s="104">
        <v>42180</v>
      </c>
      <c r="P162" s="114">
        <v>2</v>
      </c>
      <c r="Q162" s="131" t="s">
        <v>2425</v>
      </c>
      <c r="R162" s="104">
        <v>42176</v>
      </c>
      <c r="S162" s="46" t="s">
        <v>2427</v>
      </c>
      <c r="T162" s="104">
        <v>42176</v>
      </c>
      <c r="U162" s="114" t="s">
        <v>1369</v>
      </c>
      <c r="V162" s="106" t="s">
        <v>1442</v>
      </c>
      <c r="W162" s="142"/>
      <c r="X162" s="142"/>
      <c r="Y162" s="143"/>
      <c r="Z162" s="144"/>
      <c r="AA162" s="143"/>
      <c r="AB162" s="144"/>
      <c r="AC162" s="143"/>
      <c r="AD162" s="143"/>
      <c r="AE162" s="143"/>
      <c r="AF162" s="143"/>
      <c r="AG162" s="144"/>
      <c r="AH162" s="143"/>
      <c r="AI162" s="143"/>
    </row>
    <row r="163" spans="1:35" s="112" customFormat="1" ht="24.95" customHeight="1" x14ac:dyDescent="0.2">
      <c r="A163" s="93"/>
      <c r="B163" s="519"/>
      <c r="C163" s="509"/>
      <c r="D163" s="509"/>
      <c r="E163" s="46" t="s">
        <v>3124</v>
      </c>
      <c r="F163" s="98" t="s">
        <v>1442</v>
      </c>
      <c r="G163" s="18" t="s">
        <v>1442</v>
      </c>
      <c r="H163" s="225" t="s">
        <v>1442</v>
      </c>
      <c r="I163" s="72" t="s">
        <v>1442</v>
      </c>
      <c r="J163" s="61" t="s">
        <v>3126</v>
      </c>
      <c r="K163" s="99">
        <v>42345</v>
      </c>
      <c r="L163" s="17" t="s">
        <v>3125</v>
      </c>
      <c r="M163" s="104">
        <v>42347</v>
      </c>
      <c r="N163" s="46" t="s">
        <v>3180</v>
      </c>
      <c r="O163" s="104">
        <v>42372</v>
      </c>
      <c r="P163" s="114">
        <v>1</v>
      </c>
      <c r="Q163" s="131" t="s">
        <v>3155</v>
      </c>
      <c r="R163" s="104">
        <v>42355</v>
      </c>
      <c r="S163" s="46"/>
      <c r="T163" s="104"/>
      <c r="U163" s="114"/>
      <c r="V163" s="106" t="s">
        <v>1442</v>
      </c>
      <c r="W163" s="142"/>
      <c r="X163" s="142"/>
      <c r="Y163" s="143"/>
      <c r="Z163" s="144"/>
      <c r="AA163" s="143"/>
      <c r="AB163" s="144"/>
      <c r="AC163" s="143"/>
      <c r="AD163" s="143"/>
      <c r="AE163" s="143"/>
      <c r="AF163" s="143"/>
      <c r="AG163" s="144"/>
      <c r="AH163" s="143"/>
      <c r="AI163" s="143"/>
    </row>
    <row r="164" spans="1:35" s="112" customFormat="1" ht="24.95" customHeight="1" x14ac:dyDescent="0.2">
      <c r="A164" s="93"/>
      <c r="B164" s="520"/>
      <c r="C164" s="501"/>
      <c r="D164" s="501"/>
      <c r="E164" s="46">
        <v>0</v>
      </c>
      <c r="F164" s="98" t="s">
        <v>1442</v>
      </c>
      <c r="G164" s="18" t="s">
        <v>1442</v>
      </c>
      <c r="H164" s="225"/>
      <c r="I164" s="72" t="s">
        <v>1442</v>
      </c>
      <c r="J164" s="61" t="s">
        <v>2503</v>
      </c>
      <c r="K164" s="99">
        <v>42197</v>
      </c>
      <c r="L164" s="17" t="s">
        <v>2504</v>
      </c>
      <c r="M164" s="104">
        <v>42198</v>
      </c>
      <c r="N164" s="46" t="s">
        <v>2546</v>
      </c>
      <c r="O164" s="250">
        <v>42207</v>
      </c>
      <c r="P164" s="114">
        <v>1</v>
      </c>
      <c r="Q164" s="17" t="s">
        <v>2521</v>
      </c>
      <c r="R164" s="163">
        <v>42199</v>
      </c>
      <c r="S164" s="290" t="s">
        <v>3073</v>
      </c>
      <c r="T164" s="26">
        <v>42332</v>
      </c>
      <c r="U164" s="17" t="s">
        <v>1369</v>
      </c>
      <c r="V164" s="106" t="s">
        <v>1442</v>
      </c>
      <c r="W164" s="142"/>
      <c r="X164" s="142"/>
      <c r="Y164" s="143"/>
      <c r="Z164" s="144"/>
      <c r="AA164" s="143"/>
      <c r="AB164" s="144"/>
      <c r="AC164" s="143"/>
      <c r="AD164" s="143"/>
      <c r="AE164" s="143"/>
      <c r="AF164" s="143"/>
      <c r="AG164" s="144"/>
      <c r="AH164" s="143"/>
      <c r="AI164" s="143"/>
    </row>
    <row r="165" spans="1:35" s="112" customFormat="1" ht="24.95" customHeight="1" x14ac:dyDescent="0.2">
      <c r="A165" s="93">
        <f>A162+1</f>
        <v>141</v>
      </c>
      <c r="B165" s="514" t="s">
        <v>682</v>
      </c>
      <c r="C165" s="500" t="s">
        <v>952</v>
      </c>
      <c r="D165" s="500" t="s">
        <v>1231</v>
      </c>
      <c r="E165" s="46" t="s">
        <v>1369</v>
      </c>
      <c r="F165" s="98">
        <v>3</v>
      </c>
      <c r="G165" s="18">
        <v>42169</v>
      </c>
      <c r="H165" s="227">
        <v>42102</v>
      </c>
      <c r="I165" s="72">
        <v>-11</v>
      </c>
      <c r="J165" s="61" t="s">
        <v>2441</v>
      </c>
      <c r="K165" s="99">
        <v>42180</v>
      </c>
      <c r="L165" s="17" t="s">
        <v>2442</v>
      </c>
      <c r="M165" s="104">
        <v>42185</v>
      </c>
      <c r="N165" s="46" t="s">
        <v>2528</v>
      </c>
      <c r="O165" s="245">
        <v>42199</v>
      </c>
      <c r="P165" s="244">
        <v>2</v>
      </c>
      <c r="Q165" s="17" t="s">
        <v>2466</v>
      </c>
      <c r="R165" s="62">
        <v>42186</v>
      </c>
      <c r="S165" s="46" t="s">
        <v>2462</v>
      </c>
      <c r="T165" s="104">
        <v>42186</v>
      </c>
      <c r="U165" s="114" t="s">
        <v>1369</v>
      </c>
      <c r="V165" s="106" t="s">
        <v>1442</v>
      </c>
      <c r="W165" s="142"/>
      <c r="X165" s="142"/>
      <c r="Y165" s="143"/>
      <c r="Z165" s="144"/>
      <c r="AA165" s="143"/>
      <c r="AB165" s="144"/>
      <c r="AC165" s="143"/>
      <c r="AD165" s="143"/>
      <c r="AE165" s="143"/>
      <c r="AF165" s="143"/>
      <c r="AG165" s="144"/>
      <c r="AH165" s="143"/>
      <c r="AI165" s="143"/>
    </row>
    <row r="166" spans="1:35" s="112" customFormat="1" ht="24.95" customHeight="1" x14ac:dyDescent="0.2">
      <c r="A166" s="93"/>
      <c r="B166" s="515"/>
      <c r="C166" s="501"/>
      <c r="D166" s="501"/>
      <c r="E166" s="46" t="s">
        <v>3124</v>
      </c>
      <c r="F166" s="98"/>
      <c r="G166" s="18"/>
      <c r="H166" s="227"/>
      <c r="I166" s="72"/>
      <c r="J166" s="61" t="s">
        <v>3141</v>
      </c>
      <c r="K166" s="99">
        <v>42351</v>
      </c>
      <c r="L166" s="17" t="s">
        <v>3142</v>
      </c>
      <c r="M166" s="18">
        <v>42352</v>
      </c>
      <c r="N166" s="46" t="s">
        <v>3200</v>
      </c>
      <c r="O166" s="245">
        <v>42401</v>
      </c>
      <c r="P166" s="244">
        <v>1</v>
      </c>
      <c r="Q166" s="244" t="s">
        <v>3146</v>
      </c>
      <c r="R166" s="18">
        <v>42353</v>
      </c>
      <c r="S166" s="256"/>
      <c r="T166" s="104"/>
      <c r="U166" s="114"/>
      <c r="V166" s="106" t="s">
        <v>1442</v>
      </c>
      <c r="W166" s="142"/>
      <c r="X166" s="142"/>
      <c r="Y166" s="143"/>
      <c r="Z166" s="144"/>
      <c r="AA166" s="143"/>
      <c r="AB166" s="144"/>
      <c r="AC166" s="143"/>
      <c r="AD166" s="143"/>
      <c r="AE166" s="143"/>
      <c r="AF166" s="143"/>
      <c r="AG166" s="144"/>
      <c r="AH166" s="143"/>
      <c r="AI166" s="143"/>
    </row>
    <row r="167" spans="1:35" s="112" customFormat="1" ht="24.95" customHeight="1" x14ac:dyDescent="0.2">
      <c r="A167" s="93">
        <f>A165+1</f>
        <v>142</v>
      </c>
      <c r="B167" s="514" t="s">
        <v>683</v>
      </c>
      <c r="C167" s="500" t="s">
        <v>953</v>
      </c>
      <c r="D167" s="500" t="s">
        <v>1232</v>
      </c>
      <c r="E167" s="46" t="s">
        <v>1369</v>
      </c>
      <c r="F167" s="98">
        <v>3</v>
      </c>
      <c r="G167" s="61">
        <f>G165+3</f>
        <v>42172</v>
      </c>
      <c r="H167" s="227">
        <v>42109</v>
      </c>
      <c r="I167" s="72">
        <v>-25</v>
      </c>
      <c r="J167" s="61" t="s">
        <v>2503</v>
      </c>
      <c r="K167" s="99">
        <v>42197</v>
      </c>
      <c r="L167" s="17" t="s">
        <v>2504</v>
      </c>
      <c r="M167" s="104">
        <v>42198</v>
      </c>
      <c r="N167" s="46" t="s">
        <v>2545</v>
      </c>
      <c r="O167" s="250">
        <v>42207</v>
      </c>
      <c r="P167" s="244">
        <v>2</v>
      </c>
      <c r="Q167" s="17" t="s">
        <v>2521</v>
      </c>
      <c r="R167" s="163">
        <v>42199</v>
      </c>
      <c r="S167" s="101"/>
      <c r="T167" s="102"/>
      <c r="U167" s="101"/>
      <c r="V167" s="106" t="s">
        <v>1552</v>
      </c>
      <c r="W167" s="142"/>
      <c r="X167" s="142"/>
      <c r="Y167" s="143"/>
      <c r="Z167" s="144"/>
      <c r="AA167" s="143"/>
      <c r="AB167" s="144"/>
      <c r="AC167" s="143"/>
      <c r="AD167" s="143"/>
      <c r="AE167" s="143"/>
      <c r="AF167" s="143"/>
      <c r="AG167" s="144"/>
      <c r="AH167" s="143"/>
      <c r="AI167" s="143"/>
    </row>
    <row r="168" spans="1:35" s="112" customFormat="1" ht="24.95" customHeight="1" x14ac:dyDescent="0.2">
      <c r="A168" s="93"/>
      <c r="B168" s="515"/>
      <c r="C168" s="501"/>
      <c r="D168" s="501"/>
      <c r="E168" s="46">
        <v>0</v>
      </c>
      <c r="F168" s="98" t="s">
        <v>1442</v>
      </c>
      <c r="G168" s="61" t="s">
        <v>1442</v>
      </c>
      <c r="H168" s="227"/>
      <c r="I168" s="72" t="s">
        <v>1442</v>
      </c>
      <c r="J168" s="61" t="s">
        <v>2534</v>
      </c>
      <c r="K168" s="99">
        <v>42207</v>
      </c>
      <c r="L168" s="17" t="s">
        <v>2535</v>
      </c>
      <c r="M168" s="250">
        <v>42208</v>
      </c>
      <c r="N168" s="46" t="s">
        <v>2559</v>
      </c>
      <c r="O168" s="104">
        <v>42213</v>
      </c>
      <c r="P168" s="114">
        <v>1</v>
      </c>
      <c r="Q168" s="17" t="s">
        <v>2547</v>
      </c>
      <c r="R168" s="163">
        <v>42208</v>
      </c>
      <c r="S168" s="46" t="s">
        <v>2549</v>
      </c>
      <c r="T168" s="104">
        <v>42211</v>
      </c>
      <c r="U168" s="114" t="s">
        <v>1369</v>
      </c>
      <c r="V168" s="106" t="s">
        <v>1442</v>
      </c>
      <c r="W168" s="142"/>
      <c r="X168" s="142"/>
      <c r="Y168" s="143"/>
      <c r="Z168" s="144"/>
      <c r="AA168" s="143"/>
      <c r="AB168" s="144"/>
      <c r="AC168" s="143"/>
      <c r="AD168" s="143"/>
      <c r="AE168" s="143"/>
      <c r="AF168" s="143"/>
      <c r="AG168" s="144"/>
      <c r="AH168" s="143"/>
      <c r="AI168" s="143"/>
    </row>
    <row r="169" spans="1:35" s="112" customFormat="1" ht="24.95" customHeight="1" x14ac:dyDescent="0.2">
      <c r="A169" s="93">
        <f>A167+1</f>
        <v>143</v>
      </c>
      <c r="B169" s="514" t="s">
        <v>684</v>
      </c>
      <c r="C169" s="500" t="s">
        <v>954</v>
      </c>
      <c r="D169" s="500" t="s">
        <v>1233</v>
      </c>
      <c r="E169" s="46" t="s">
        <v>1369</v>
      </c>
      <c r="F169" s="98">
        <v>3</v>
      </c>
      <c r="G169" s="61">
        <f>G167+3</f>
        <v>42175</v>
      </c>
      <c r="H169" s="227">
        <v>42116</v>
      </c>
      <c r="I169" s="72">
        <v>-22</v>
      </c>
      <c r="J169" s="61" t="s">
        <v>2503</v>
      </c>
      <c r="K169" s="99">
        <v>42197</v>
      </c>
      <c r="L169" s="17" t="s">
        <v>2504</v>
      </c>
      <c r="M169" s="104">
        <v>42198</v>
      </c>
      <c r="N169" s="46" t="s">
        <v>2545</v>
      </c>
      <c r="O169" s="250">
        <v>42207</v>
      </c>
      <c r="P169" s="244">
        <v>2</v>
      </c>
      <c r="Q169" s="17" t="s">
        <v>2521</v>
      </c>
      <c r="R169" s="163">
        <v>42199</v>
      </c>
      <c r="S169" s="101"/>
      <c r="T169" s="102"/>
      <c r="U169" s="101"/>
      <c r="V169" s="106" t="s">
        <v>1552</v>
      </c>
      <c r="W169" s="142"/>
      <c r="X169" s="142"/>
      <c r="Y169" s="143"/>
      <c r="Z169" s="144"/>
      <c r="AA169" s="143"/>
      <c r="AB169" s="144"/>
      <c r="AC169" s="143"/>
      <c r="AD169" s="143"/>
      <c r="AE169" s="143"/>
      <c r="AF169" s="143"/>
      <c r="AG169" s="144"/>
      <c r="AH169" s="143"/>
      <c r="AI169" s="143"/>
    </row>
    <row r="170" spans="1:35" s="112" customFormat="1" ht="24.95" customHeight="1" x14ac:dyDescent="0.2">
      <c r="A170" s="93"/>
      <c r="B170" s="515"/>
      <c r="C170" s="501"/>
      <c r="D170" s="501"/>
      <c r="E170" s="46">
        <v>0</v>
      </c>
      <c r="F170" s="98" t="s">
        <v>1442</v>
      </c>
      <c r="G170" s="61" t="s">
        <v>1442</v>
      </c>
      <c r="H170" s="227"/>
      <c r="I170" s="72" t="s">
        <v>1442</v>
      </c>
      <c r="J170" s="61" t="s">
        <v>2536</v>
      </c>
      <c r="K170" s="99">
        <v>42207</v>
      </c>
      <c r="L170" s="17" t="s">
        <v>2537</v>
      </c>
      <c r="M170" s="250">
        <v>42208</v>
      </c>
      <c r="N170" s="46" t="s">
        <v>2560</v>
      </c>
      <c r="O170" s="104">
        <v>42213</v>
      </c>
      <c r="P170" s="114">
        <v>1</v>
      </c>
      <c r="Q170" s="247" t="s">
        <v>2548</v>
      </c>
      <c r="R170" s="163">
        <v>42208</v>
      </c>
      <c r="S170" s="46" t="s">
        <v>2572</v>
      </c>
      <c r="T170" s="104">
        <v>42220</v>
      </c>
      <c r="U170" s="114" t="s">
        <v>1369</v>
      </c>
      <c r="V170" s="106" t="s">
        <v>1442</v>
      </c>
      <c r="W170" s="142"/>
      <c r="X170" s="142"/>
      <c r="Y170" s="143"/>
      <c r="Z170" s="144"/>
      <c r="AA170" s="143"/>
      <c r="AB170" s="144"/>
      <c r="AC170" s="143"/>
      <c r="AD170" s="143"/>
      <c r="AE170" s="143"/>
      <c r="AF170" s="143"/>
      <c r="AG170" s="144"/>
      <c r="AH170" s="143"/>
      <c r="AI170" s="143"/>
    </row>
    <row r="171" spans="1:35" s="112" customFormat="1" ht="24.95" customHeight="1" x14ac:dyDescent="0.2">
      <c r="A171" s="93">
        <f>A169+1</f>
        <v>144</v>
      </c>
      <c r="B171" s="220" t="s">
        <v>2591</v>
      </c>
      <c r="C171" s="219" t="s">
        <v>955</v>
      </c>
      <c r="D171" s="219" t="s">
        <v>1234</v>
      </c>
      <c r="E171" s="46" t="s">
        <v>1369</v>
      </c>
      <c r="F171" s="98">
        <v>3</v>
      </c>
      <c r="G171" s="61">
        <f>G169+3</f>
        <v>42178</v>
      </c>
      <c r="H171" s="227">
        <v>42123</v>
      </c>
      <c r="I171" s="72">
        <v>-48</v>
      </c>
      <c r="J171" s="61" t="s">
        <v>2589</v>
      </c>
      <c r="K171" s="99">
        <v>42226</v>
      </c>
      <c r="L171" s="17" t="s">
        <v>2590</v>
      </c>
      <c r="M171" s="250">
        <v>42227</v>
      </c>
      <c r="N171" s="46" t="s">
        <v>2629</v>
      </c>
      <c r="O171" s="245">
        <v>42232</v>
      </c>
      <c r="P171" s="244">
        <v>1</v>
      </c>
      <c r="Q171" s="114" t="s">
        <v>2599</v>
      </c>
      <c r="R171" s="163">
        <v>42227</v>
      </c>
      <c r="S171" s="133" t="s">
        <v>3112</v>
      </c>
      <c r="T171" s="104">
        <v>42337</v>
      </c>
      <c r="U171" s="114" t="s">
        <v>1369</v>
      </c>
      <c r="V171" s="106" t="s">
        <v>1442</v>
      </c>
      <c r="W171" s="142"/>
      <c r="X171" s="142"/>
      <c r="Y171" s="143"/>
      <c r="Z171" s="144"/>
      <c r="AA171" s="143"/>
      <c r="AB171" s="144"/>
      <c r="AC171" s="143"/>
      <c r="AD171" s="143"/>
      <c r="AE171" s="143"/>
      <c r="AF171" s="143"/>
      <c r="AG171" s="144"/>
      <c r="AH171" s="143"/>
      <c r="AI171" s="143"/>
    </row>
    <row r="172" spans="1:35" s="112" customFormat="1" ht="24.95" customHeight="1" x14ac:dyDescent="0.2">
      <c r="A172" s="93">
        <f t="shared" si="3"/>
        <v>145</v>
      </c>
      <c r="B172" s="514" t="s">
        <v>685</v>
      </c>
      <c r="C172" s="510" t="s">
        <v>956</v>
      </c>
      <c r="D172" s="510" t="s">
        <v>1235</v>
      </c>
      <c r="E172" s="46" t="s">
        <v>1369</v>
      </c>
      <c r="F172" s="98">
        <v>3</v>
      </c>
      <c r="G172" s="61">
        <f t="shared" ref="G172:G191" si="4">G171+3</f>
        <v>42181</v>
      </c>
      <c r="H172" s="227">
        <v>42130</v>
      </c>
      <c r="I172" s="72">
        <v>-52</v>
      </c>
      <c r="J172" s="61" t="s">
        <v>2652</v>
      </c>
      <c r="K172" s="99">
        <v>42233</v>
      </c>
      <c r="L172" s="17" t="s">
        <v>2653</v>
      </c>
      <c r="M172" s="18">
        <v>42234</v>
      </c>
      <c r="N172" s="46" t="s">
        <v>2703</v>
      </c>
      <c r="O172" s="104">
        <v>42239</v>
      </c>
      <c r="P172" s="114">
        <v>3</v>
      </c>
      <c r="Q172" s="244" t="s">
        <v>2662</v>
      </c>
      <c r="R172" s="18">
        <v>42234</v>
      </c>
      <c r="S172" s="133" t="s">
        <v>3074</v>
      </c>
      <c r="T172" s="26">
        <v>42332</v>
      </c>
      <c r="U172" s="17" t="s">
        <v>1369</v>
      </c>
      <c r="V172" s="106" t="s">
        <v>1442</v>
      </c>
      <c r="W172" s="142"/>
      <c r="X172" s="142"/>
      <c r="Y172" s="143"/>
      <c r="Z172" s="144"/>
      <c r="AA172" s="143"/>
      <c r="AB172" s="144"/>
      <c r="AC172" s="143"/>
      <c r="AD172" s="143"/>
      <c r="AE172" s="143"/>
      <c r="AF172" s="143"/>
      <c r="AG172" s="144"/>
      <c r="AH172" s="143"/>
      <c r="AI172" s="143"/>
    </row>
    <row r="173" spans="1:35" s="112" customFormat="1" ht="24.95" customHeight="1" x14ac:dyDescent="0.2">
      <c r="A173" s="93"/>
      <c r="B173" s="515"/>
      <c r="C173" s="511"/>
      <c r="D173" s="511"/>
      <c r="E173" s="290">
        <v>0</v>
      </c>
      <c r="F173" s="98"/>
      <c r="G173" s="61"/>
      <c r="H173" s="227"/>
      <c r="I173" s="72" t="s">
        <v>1442</v>
      </c>
      <c r="J173" s="61" t="s">
        <v>3139</v>
      </c>
      <c r="K173" s="99">
        <v>42351</v>
      </c>
      <c r="L173" s="17" t="s">
        <v>3140</v>
      </c>
      <c r="M173" s="18">
        <v>42352</v>
      </c>
      <c r="N173" s="46" t="s">
        <v>3159</v>
      </c>
      <c r="O173" s="104">
        <v>42367</v>
      </c>
      <c r="P173" s="114">
        <v>1</v>
      </c>
      <c r="Q173" s="244" t="s">
        <v>3145</v>
      </c>
      <c r="R173" s="18">
        <v>42353</v>
      </c>
      <c r="S173" s="133" t="s">
        <v>3157</v>
      </c>
      <c r="T173" s="163">
        <v>42367</v>
      </c>
      <c r="U173" s="17" t="s">
        <v>1369</v>
      </c>
      <c r="V173" s="106" t="s">
        <v>1442</v>
      </c>
      <c r="W173" s="142"/>
      <c r="X173" s="142"/>
      <c r="Y173" s="143"/>
      <c r="Z173" s="144"/>
      <c r="AA173" s="143"/>
      <c r="AB173" s="144"/>
      <c r="AC173" s="143"/>
      <c r="AD173" s="143"/>
      <c r="AE173" s="143"/>
      <c r="AF173" s="143"/>
      <c r="AG173" s="144"/>
      <c r="AH173" s="143"/>
      <c r="AI173" s="143"/>
    </row>
    <row r="174" spans="1:35" s="112" customFormat="1" ht="24.95" customHeight="1" x14ac:dyDescent="0.2">
      <c r="A174" s="93">
        <f>A172+1</f>
        <v>146</v>
      </c>
      <c r="B174" s="514" t="s">
        <v>686</v>
      </c>
      <c r="C174" s="500" t="s">
        <v>957</v>
      </c>
      <c r="D174" s="500" t="s">
        <v>1236</v>
      </c>
      <c r="E174" s="46" t="s">
        <v>1369</v>
      </c>
      <c r="F174" s="98">
        <v>3</v>
      </c>
      <c r="G174" s="61">
        <f>G172+3</f>
        <v>42184</v>
      </c>
      <c r="H174" s="227">
        <v>42137</v>
      </c>
      <c r="I174" s="72">
        <v>-55</v>
      </c>
      <c r="J174" s="61" t="s">
        <v>2692</v>
      </c>
      <c r="K174" s="99">
        <v>42239</v>
      </c>
      <c r="L174" s="114" t="s">
        <v>2693</v>
      </c>
      <c r="M174" s="18">
        <v>42240</v>
      </c>
      <c r="N174" s="46" t="s">
        <v>2759</v>
      </c>
      <c r="O174" s="104">
        <v>42243</v>
      </c>
      <c r="P174" s="114">
        <v>2</v>
      </c>
      <c r="Q174" s="114" t="s">
        <v>2696</v>
      </c>
      <c r="R174" s="18">
        <v>42239</v>
      </c>
      <c r="S174" s="133" t="s">
        <v>3092</v>
      </c>
      <c r="T174" s="104">
        <v>42333</v>
      </c>
      <c r="U174" s="114" t="s">
        <v>1369</v>
      </c>
      <c r="V174" s="106" t="s">
        <v>1442</v>
      </c>
      <c r="W174" s="142"/>
      <c r="X174" s="142"/>
      <c r="Y174" s="143"/>
      <c r="Z174" s="144"/>
      <c r="AA174" s="143"/>
      <c r="AB174" s="144"/>
      <c r="AC174" s="143"/>
      <c r="AD174" s="143"/>
      <c r="AE174" s="143"/>
      <c r="AF174" s="143"/>
      <c r="AG174" s="144"/>
      <c r="AH174" s="143"/>
      <c r="AI174" s="143"/>
    </row>
    <row r="175" spans="1:35" s="112" customFormat="1" ht="24.95" customHeight="1" x14ac:dyDescent="0.2">
      <c r="A175" s="93"/>
      <c r="B175" s="515"/>
      <c r="C175" s="501"/>
      <c r="D175" s="501"/>
      <c r="E175" s="46" t="s">
        <v>3124</v>
      </c>
      <c r="F175" s="98"/>
      <c r="G175" s="61"/>
      <c r="H175" s="227"/>
      <c r="I175" s="72"/>
      <c r="J175" s="61" t="s">
        <v>3141</v>
      </c>
      <c r="K175" s="99">
        <v>42351</v>
      </c>
      <c r="L175" s="17" t="s">
        <v>3142</v>
      </c>
      <c r="M175" s="18">
        <v>42352</v>
      </c>
      <c r="N175" s="46" t="s">
        <v>3200</v>
      </c>
      <c r="O175" s="104">
        <v>42401</v>
      </c>
      <c r="P175" s="114">
        <v>1</v>
      </c>
      <c r="Q175" s="244" t="s">
        <v>3146</v>
      </c>
      <c r="R175" s="18">
        <v>42353</v>
      </c>
      <c r="S175" s="133"/>
      <c r="T175" s="104"/>
      <c r="U175" s="114"/>
      <c r="V175" s="106" t="s">
        <v>1442</v>
      </c>
      <c r="W175" s="142"/>
      <c r="X175" s="142"/>
      <c r="Y175" s="143"/>
      <c r="Z175" s="144"/>
      <c r="AA175" s="143"/>
      <c r="AB175" s="144"/>
      <c r="AC175" s="143"/>
      <c r="AD175" s="143"/>
      <c r="AE175" s="143"/>
      <c r="AF175" s="143"/>
      <c r="AG175" s="144"/>
      <c r="AH175" s="143"/>
      <c r="AI175" s="143"/>
    </row>
    <row r="176" spans="1:35" s="112" customFormat="1" ht="24.95" customHeight="1" x14ac:dyDescent="0.2">
      <c r="A176" s="93">
        <f>A174+1</f>
        <v>147</v>
      </c>
      <c r="B176" s="220" t="s">
        <v>687</v>
      </c>
      <c r="C176" s="219" t="s">
        <v>958</v>
      </c>
      <c r="D176" s="219" t="s">
        <v>1237</v>
      </c>
      <c r="E176" s="46" t="s">
        <v>1369</v>
      </c>
      <c r="F176" s="98">
        <v>3</v>
      </c>
      <c r="G176" s="61">
        <f>G174+3</f>
        <v>42187</v>
      </c>
      <c r="H176" s="227">
        <v>42144</v>
      </c>
      <c r="I176" s="72">
        <v>-56</v>
      </c>
      <c r="J176" s="61" t="s">
        <v>2765</v>
      </c>
      <c r="K176" s="99">
        <v>42247</v>
      </c>
      <c r="L176" s="114" t="s">
        <v>2766</v>
      </c>
      <c r="M176" s="18">
        <v>42249</v>
      </c>
      <c r="N176" s="46" t="s">
        <v>2883</v>
      </c>
      <c r="O176" s="104">
        <v>42256</v>
      </c>
      <c r="P176" s="114">
        <v>1</v>
      </c>
      <c r="Q176" s="17" t="s">
        <v>2789</v>
      </c>
      <c r="R176" s="62">
        <v>42249</v>
      </c>
      <c r="S176" s="133" t="s">
        <v>3075</v>
      </c>
      <c r="T176" s="26">
        <v>42332</v>
      </c>
      <c r="U176" s="17" t="s">
        <v>1369</v>
      </c>
      <c r="V176" s="106" t="s">
        <v>1442</v>
      </c>
      <c r="W176" s="142"/>
      <c r="X176" s="142"/>
      <c r="Y176" s="143"/>
      <c r="Z176" s="144"/>
      <c r="AA176" s="143"/>
      <c r="AB176" s="144"/>
      <c r="AC176" s="143"/>
      <c r="AD176" s="143"/>
      <c r="AE176" s="143"/>
      <c r="AF176" s="143"/>
      <c r="AG176" s="144"/>
      <c r="AH176" s="143"/>
      <c r="AI176" s="143"/>
    </row>
    <row r="177" spans="1:35" s="112" customFormat="1" ht="24.95" customHeight="1" x14ac:dyDescent="0.2">
      <c r="A177" s="93">
        <f t="shared" si="3"/>
        <v>148</v>
      </c>
      <c r="B177" s="220" t="s">
        <v>688</v>
      </c>
      <c r="C177" s="219" t="s">
        <v>959</v>
      </c>
      <c r="D177" s="219" t="s">
        <v>1238</v>
      </c>
      <c r="E177" s="46" t="s">
        <v>1369</v>
      </c>
      <c r="F177" s="98">
        <v>3</v>
      </c>
      <c r="G177" s="61">
        <f t="shared" si="4"/>
        <v>42190</v>
      </c>
      <c r="H177" s="227">
        <v>42151</v>
      </c>
      <c r="I177" s="72">
        <v>-64</v>
      </c>
      <c r="J177" s="99" t="s">
        <v>2826</v>
      </c>
      <c r="K177" s="99">
        <v>42254</v>
      </c>
      <c r="L177" s="114" t="s">
        <v>2827</v>
      </c>
      <c r="M177" s="18">
        <v>42256</v>
      </c>
      <c r="N177" s="133" t="s">
        <v>3054</v>
      </c>
      <c r="O177" s="104">
        <v>42297</v>
      </c>
      <c r="P177" s="114">
        <v>1</v>
      </c>
      <c r="Q177" s="114" t="s">
        <v>2867</v>
      </c>
      <c r="R177" s="62">
        <v>42255</v>
      </c>
      <c r="S177" s="46" t="s">
        <v>2877</v>
      </c>
      <c r="T177" s="104">
        <v>42256</v>
      </c>
      <c r="U177" s="114" t="s">
        <v>1369</v>
      </c>
      <c r="V177" s="106" t="s">
        <v>1442</v>
      </c>
      <c r="W177" s="142"/>
      <c r="X177" s="142"/>
      <c r="Y177" s="143"/>
      <c r="Z177" s="144"/>
      <c r="AA177" s="143"/>
      <c r="AB177" s="144"/>
      <c r="AC177" s="143"/>
      <c r="AD177" s="143"/>
      <c r="AE177" s="143"/>
      <c r="AF177" s="143"/>
      <c r="AG177" s="144"/>
      <c r="AH177" s="143"/>
      <c r="AI177" s="143"/>
    </row>
    <row r="178" spans="1:35" s="112" customFormat="1" ht="24.95" customHeight="1" x14ac:dyDescent="0.2">
      <c r="A178" s="93">
        <f t="shared" si="3"/>
        <v>149</v>
      </c>
      <c r="B178" s="220" t="s">
        <v>689</v>
      </c>
      <c r="C178" s="219" t="s">
        <v>960</v>
      </c>
      <c r="D178" s="219" t="s">
        <v>1239</v>
      </c>
      <c r="E178" s="46" t="s">
        <v>1369</v>
      </c>
      <c r="F178" s="98">
        <v>3</v>
      </c>
      <c r="G178" s="61">
        <f t="shared" si="4"/>
        <v>42193</v>
      </c>
      <c r="H178" s="227">
        <v>42158</v>
      </c>
      <c r="I178" s="72">
        <v>-63</v>
      </c>
      <c r="J178" s="99" t="s">
        <v>2871</v>
      </c>
      <c r="K178" s="99">
        <v>42256</v>
      </c>
      <c r="L178" s="114" t="s">
        <v>2872</v>
      </c>
      <c r="M178" s="18">
        <v>42257</v>
      </c>
      <c r="N178" s="133" t="s">
        <v>3054</v>
      </c>
      <c r="O178" s="104">
        <v>42297</v>
      </c>
      <c r="P178" s="114">
        <v>1</v>
      </c>
      <c r="Q178" s="114" t="s">
        <v>2905</v>
      </c>
      <c r="R178" s="18">
        <v>42257</v>
      </c>
      <c r="S178" s="46" t="s">
        <v>2903</v>
      </c>
      <c r="T178" s="104">
        <v>42260</v>
      </c>
      <c r="U178" s="114" t="s">
        <v>1369</v>
      </c>
      <c r="V178" s="106" t="s">
        <v>1442</v>
      </c>
      <c r="W178" s="142"/>
      <c r="X178" s="142"/>
      <c r="Y178" s="143"/>
      <c r="Z178" s="144"/>
      <c r="AA178" s="143"/>
      <c r="AB178" s="144"/>
      <c r="AC178" s="143"/>
      <c r="AD178" s="143"/>
      <c r="AE178" s="143"/>
      <c r="AF178" s="143"/>
      <c r="AG178" s="144"/>
      <c r="AH178" s="143"/>
      <c r="AI178" s="143"/>
    </row>
    <row r="179" spans="1:35" s="112" customFormat="1" ht="24.95" customHeight="1" x14ac:dyDescent="0.2">
      <c r="A179" s="93">
        <f t="shared" si="3"/>
        <v>150</v>
      </c>
      <c r="B179" s="220" t="s">
        <v>2898</v>
      </c>
      <c r="C179" s="219" t="s">
        <v>961</v>
      </c>
      <c r="D179" s="219" t="s">
        <v>1240</v>
      </c>
      <c r="E179" s="46" t="s">
        <v>1369</v>
      </c>
      <c r="F179" s="98">
        <v>3</v>
      </c>
      <c r="G179" s="61">
        <f t="shared" si="4"/>
        <v>42196</v>
      </c>
      <c r="H179" s="227">
        <v>42165</v>
      </c>
      <c r="I179" s="72">
        <v>-65</v>
      </c>
      <c r="J179" s="274" t="s">
        <v>2899</v>
      </c>
      <c r="K179" s="274">
        <v>42260</v>
      </c>
      <c r="L179" s="114" t="s">
        <v>2900</v>
      </c>
      <c r="M179" s="18">
        <v>42261</v>
      </c>
      <c r="N179" s="133" t="s">
        <v>3054</v>
      </c>
      <c r="O179" s="104">
        <v>42297</v>
      </c>
      <c r="P179" s="114">
        <v>1</v>
      </c>
      <c r="Q179" s="17" t="s">
        <v>2921</v>
      </c>
      <c r="R179" s="18">
        <v>42262</v>
      </c>
      <c r="S179" s="133" t="s">
        <v>3093</v>
      </c>
      <c r="T179" s="104">
        <v>42333</v>
      </c>
      <c r="U179" s="114" t="s">
        <v>1369</v>
      </c>
      <c r="V179" s="106" t="s">
        <v>1442</v>
      </c>
      <c r="W179" s="142"/>
      <c r="X179" s="142"/>
      <c r="Y179" s="143"/>
      <c r="Z179" s="144"/>
      <c r="AA179" s="143"/>
      <c r="AB179" s="144"/>
      <c r="AC179" s="143"/>
      <c r="AD179" s="143"/>
      <c r="AE179" s="143"/>
      <c r="AF179" s="143"/>
      <c r="AG179" s="144"/>
      <c r="AH179" s="143"/>
      <c r="AI179" s="143"/>
    </row>
    <row r="180" spans="1:35" s="112" customFormat="1" ht="24.95" customHeight="1" x14ac:dyDescent="0.2">
      <c r="A180" s="93">
        <f t="shared" si="3"/>
        <v>151</v>
      </c>
      <c r="B180" s="220" t="s">
        <v>2901</v>
      </c>
      <c r="C180" s="219" t="s">
        <v>962</v>
      </c>
      <c r="D180" s="219" t="s">
        <v>1241</v>
      </c>
      <c r="E180" s="46" t="s">
        <v>1369</v>
      </c>
      <c r="F180" s="98">
        <v>3</v>
      </c>
      <c r="G180" s="61">
        <f t="shared" si="4"/>
        <v>42199</v>
      </c>
      <c r="H180" s="227">
        <v>42172</v>
      </c>
      <c r="I180" s="72">
        <v>-62</v>
      </c>
      <c r="J180" s="274" t="s">
        <v>2899</v>
      </c>
      <c r="K180" s="274">
        <v>42260</v>
      </c>
      <c r="L180" s="114" t="s">
        <v>2900</v>
      </c>
      <c r="M180" s="18">
        <v>42261</v>
      </c>
      <c r="N180" s="133" t="s">
        <v>3054</v>
      </c>
      <c r="O180" s="104">
        <v>42297</v>
      </c>
      <c r="P180" s="114">
        <v>1</v>
      </c>
      <c r="Q180" s="17" t="s">
        <v>2921</v>
      </c>
      <c r="R180" s="18">
        <v>42262</v>
      </c>
      <c r="S180" s="133" t="s">
        <v>2985</v>
      </c>
      <c r="T180" s="104">
        <v>42267</v>
      </c>
      <c r="U180" s="114" t="s">
        <v>1369</v>
      </c>
      <c r="V180" s="106" t="s">
        <v>1442</v>
      </c>
      <c r="W180" s="142"/>
      <c r="X180" s="142"/>
      <c r="Y180" s="143"/>
      <c r="Z180" s="144"/>
      <c r="AA180" s="143"/>
      <c r="AB180" s="144"/>
      <c r="AC180" s="143"/>
      <c r="AD180" s="143"/>
      <c r="AE180" s="143"/>
      <c r="AF180" s="143"/>
      <c r="AG180" s="144"/>
      <c r="AH180" s="143"/>
      <c r="AI180" s="143"/>
    </row>
    <row r="181" spans="1:35" s="112" customFormat="1" ht="24.95" customHeight="1" x14ac:dyDescent="0.2">
      <c r="A181" s="93">
        <f t="shared" si="3"/>
        <v>152</v>
      </c>
      <c r="B181" s="220" t="s">
        <v>690</v>
      </c>
      <c r="C181" s="219" t="s">
        <v>963</v>
      </c>
      <c r="D181" s="219" t="s">
        <v>1242</v>
      </c>
      <c r="E181" s="46" t="s">
        <v>1369</v>
      </c>
      <c r="F181" s="98">
        <v>3</v>
      </c>
      <c r="G181" s="61">
        <f t="shared" si="4"/>
        <v>42202</v>
      </c>
      <c r="H181" s="227">
        <v>42179</v>
      </c>
      <c r="I181" s="72">
        <v>-62</v>
      </c>
      <c r="J181" s="99" t="s">
        <v>2950</v>
      </c>
      <c r="K181" s="99">
        <v>42264</v>
      </c>
      <c r="L181" s="114" t="s">
        <v>2951</v>
      </c>
      <c r="M181" s="18">
        <v>42267</v>
      </c>
      <c r="N181" s="133" t="s">
        <v>3023</v>
      </c>
      <c r="O181" s="104">
        <v>42274</v>
      </c>
      <c r="P181" s="114">
        <v>1</v>
      </c>
      <c r="Q181" s="114" t="s">
        <v>3016</v>
      </c>
      <c r="R181" s="18">
        <v>42268</v>
      </c>
      <c r="S181" s="133" t="s">
        <v>3094</v>
      </c>
      <c r="T181" s="104">
        <v>42333</v>
      </c>
      <c r="U181" s="114" t="s">
        <v>1369</v>
      </c>
      <c r="V181" s="106" t="s">
        <v>1442</v>
      </c>
      <c r="W181" s="142"/>
      <c r="X181" s="142"/>
      <c r="Y181" s="143"/>
      <c r="Z181" s="144"/>
      <c r="AA181" s="143"/>
      <c r="AB181" s="144"/>
      <c r="AC181" s="143"/>
      <c r="AD181" s="143"/>
      <c r="AE181" s="143"/>
      <c r="AF181" s="143"/>
      <c r="AG181" s="144"/>
      <c r="AH181" s="143"/>
      <c r="AI181" s="143"/>
    </row>
    <row r="182" spans="1:35" s="112" customFormat="1" ht="24.95" customHeight="1" x14ac:dyDescent="0.2">
      <c r="A182" s="93">
        <f t="shared" si="3"/>
        <v>153</v>
      </c>
      <c r="B182" s="220" t="s">
        <v>691</v>
      </c>
      <c r="C182" s="219" t="s">
        <v>964</v>
      </c>
      <c r="D182" s="219" t="s">
        <v>1243</v>
      </c>
      <c r="E182" s="290" t="s">
        <v>1369</v>
      </c>
      <c r="F182" s="98">
        <v>3</v>
      </c>
      <c r="G182" s="61">
        <f t="shared" si="4"/>
        <v>42205</v>
      </c>
      <c r="H182" s="227">
        <v>42186</v>
      </c>
      <c r="I182" s="72">
        <v>-90</v>
      </c>
      <c r="J182" s="62" t="s">
        <v>2972</v>
      </c>
      <c r="K182" s="99">
        <v>42267</v>
      </c>
      <c r="L182" s="114" t="s">
        <v>2958</v>
      </c>
      <c r="M182" s="104">
        <v>42269</v>
      </c>
      <c r="N182" s="133" t="s">
        <v>3054</v>
      </c>
      <c r="O182" s="104">
        <v>42297</v>
      </c>
      <c r="P182" s="114">
        <v>1</v>
      </c>
      <c r="Q182" s="114" t="s">
        <v>3017</v>
      </c>
      <c r="R182" s="18">
        <v>42269</v>
      </c>
      <c r="S182" s="133" t="s">
        <v>3095</v>
      </c>
      <c r="T182" s="104">
        <v>42333</v>
      </c>
      <c r="U182" s="114" t="s">
        <v>1369</v>
      </c>
      <c r="V182" s="106" t="s">
        <v>1442</v>
      </c>
      <c r="W182" s="142"/>
      <c r="X182" s="142"/>
      <c r="Y182" s="143"/>
      <c r="Z182" s="144"/>
      <c r="AA182" s="143"/>
      <c r="AB182" s="144"/>
      <c r="AC182" s="143"/>
      <c r="AD182" s="143"/>
      <c r="AE182" s="143"/>
      <c r="AF182" s="143"/>
      <c r="AG182" s="144"/>
      <c r="AH182" s="143"/>
      <c r="AI182" s="143"/>
    </row>
    <row r="183" spans="1:35" s="112" customFormat="1" ht="24.95" customHeight="1" x14ac:dyDescent="0.2">
      <c r="A183" s="93">
        <f t="shared" si="3"/>
        <v>154</v>
      </c>
      <c r="B183" s="220" t="s">
        <v>692</v>
      </c>
      <c r="C183" s="219" t="s">
        <v>965</v>
      </c>
      <c r="D183" s="219" t="s">
        <v>1244</v>
      </c>
      <c r="E183" s="46"/>
      <c r="F183" s="98">
        <v>3</v>
      </c>
      <c r="G183" s="61">
        <f t="shared" si="4"/>
        <v>42208</v>
      </c>
      <c r="H183" s="227">
        <v>42193</v>
      </c>
      <c r="I183" s="72">
        <f t="shared" ref="I183:I191" ca="1" si="5">G183-TODAY()</f>
        <v>-1854</v>
      </c>
      <c r="J183" s="99"/>
      <c r="K183" s="99"/>
      <c r="L183" s="114"/>
      <c r="M183" s="104"/>
      <c r="N183" s="101"/>
      <c r="O183" s="102"/>
      <c r="P183" s="101"/>
      <c r="Q183" s="101"/>
      <c r="R183" s="101"/>
      <c r="S183" s="101"/>
      <c r="T183" s="102"/>
      <c r="U183" s="101"/>
      <c r="V183" s="106"/>
      <c r="W183" s="142"/>
      <c r="X183" s="142"/>
      <c r="Y183" s="143"/>
      <c r="Z183" s="144"/>
      <c r="AA183" s="143"/>
      <c r="AB183" s="144"/>
      <c r="AC183" s="143"/>
      <c r="AD183" s="143"/>
      <c r="AE183" s="143"/>
      <c r="AF183" s="143"/>
      <c r="AG183" s="144"/>
      <c r="AH183" s="143"/>
      <c r="AI183" s="143"/>
    </row>
    <row r="184" spans="1:35" s="112" customFormat="1" ht="24.95" customHeight="1" x14ac:dyDescent="0.2">
      <c r="A184" s="93">
        <f t="shared" si="3"/>
        <v>155</v>
      </c>
      <c r="B184" s="220" t="s">
        <v>693</v>
      </c>
      <c r="C184" s="219" t="s">
        <v>966</v>
      </c>
      <c r="D184" s="219" t="s">
        <v>1245</v>
      </c>
      <c r="E184" s="46"/>
      <c r="F184" s="98">
        <v>3</v>
      </c>
      <c r="G184" s="61">
        <f t="shared" si="4"/>
        <v>42211</v>
      </c>
      <c r="H184" s="227">
        <v>42200</v>
      </c>
      <c r="I184" s="72">
        <f t="shared" ca="1" si="5"/>
        <v>-1851</v>
      </c>
      <c r="J184" s="99"/>
      <c r="K184" s="99"/>
      <c r="L184" s="114"/>
      <c r="M184" s="104"/>
      <c r="N184" s="101"/>
      <c r="O184" s="102"/>
      <c r="P184" s="101"/>
      <c r="Q184" s="101"/>
      <c r="R184" s="101"/>
      <c r="S184" s="101"/>
      <c r="T184" s="102"/>
      <c r="U184" s="101"/>
      <c r="V184" s="106"/>
      <c r="W184" s="142"/>
      <c r="X184" s="142"/>
      <c r="Y184" s="143"/>
      <c r="Z184" s="144"/>
      <c r="AA184" s="143"/>
      <c r="AB184" s="144"/>
      <c r="AC184" s="143"/>
      <c r="AD184" s="143"/>
      <c r="AE184" s="143"/>
      <c r="AF184" s="143"/>
      <c r="AG184" s="144"/>
      <c r="AH184" s="143"/>
      <c r="AI184" s="143"/>
    </row>
    <row r="185" spans="1:35" s="112" customFormat="1" ht="24.95" customHeight="1" x14ac:dyDescent="0.2">
      <c r="A185" s="93">
        <f t="shared" si="3"/>
        <v>156</v>
      </c>
      <c r="B185" s="220" t="s">
        <v>694</v>
      </c>
      <c r="C185" s="219" t="s">
        <v>967</v>
      </c>
      <c r="D185" s="219" t="s">
        <v>1246</v>
      </c>
      <c r="E185" s="46"/>
      <c r="F185" s="98">
        <v>3</v>
      </c>
      <c r="G185" s="61">
        <f t="shared" si="4"/>
        <v>42214</v>
      </c>
      <c r="H185" s="227">
        <v>42207</v>
      </c>
      <c r="I185" s="72">
        <f t="shared" ca="1" si="5"/>
        <v>-1848</v>
      </c>
      <c r="J185" s="99"/>
      <c r="K185" s="99"/>
      <c r="L185" s="114"/>
      <c r="M185" s="104"/>
      <c r="N185" s="101"/>
      <c r="O185" s="102"/>
      <c r="P185" s="101"/>
      <c r="Q185" s="101"/>
      <c r="R185" s="101"/>
      <c r="S185" s="101"/>
      <c r="T185" s="102"/>
      <c r="U185" s="101"/>
      <c r="V185" s="106"/>
      <c r="W185" s="142"/>
      <c r="X185" s="142"/>
      <c r="Y185" s="143"/>
      <c r="Z185" s="144"/>
      <c r="AA185" s="143"/>
      <c r="AB185" s="144"/>
      <c r="AC185" s="143"/>
      <c r="AD185" s="143"/>
      <c r="AE185" s="143"/>
      <c r="AF185" s="143"/>
      <c r="AG185" s="144"/>
      <c r="AH185" s="143"/>
      <c r="AI185" s="143"/>
    </row>
    <row r="186" spans="1:35" s="112" customFormat="1" ht="24.95" customHeight="1" x14ac:dyDescent="0.2">
      <c r="A186" s="93">
        <f t="shared" si="3"/>
        <v>157</v>
      </c>
      <c r="B186" s="220" t="s">
        <v>695</v>
      </c>
      <c r="C186" s="219" t="s">
        <v>968</v>
      </c>
      <c r="D186" s="219" t="s">
        <v>1247</v>
      </c>
      <c r="E186" s="46"/>
      <c r="F186" s="98">
        <v>3</v>
      </c>
      <c r="G186" s="61">
        <f t="shared" si="4"/>
        <v>42217</v>
      </c>
      <c r="H186" s="227">
        <v>42214</v>
      </c>
      <c r="I186" s="72">
        <f t="shared" ca="1" si="5"/>
        <v>-1845</v>
      </c>
      <c r="J186" s="99"/>
      <c r="K186" s="99"/>
      <c r="L186" s="114"/>
      <c r="M186" s="104"/>
      <c r="N186" s="101"/>
      <c r="O186" s="102"/>
      <c r="P186" s="101"/>
      <c r="Q186" s="101"/>
      <c r="R186" s="101"/>
      <c r="S186" s="101"/>
      <c r="T186" s="102"/>
      <c r="U186" s="101"/>
      <c r="V186" s="106"/>
      <c r="W186" s="142"/>
      <c r="X186" s="142"/>
      <c r="Y186" s="143"/>
      <c r="Z186" s="144"/>
      <c r="AA186" s="143"/>
      <c r="AB186" s="144"/>
      <c r="AC186" s="143"/>
      <c r="AD186" s="143"/>
      <c r="AE186" s="143"/>
      <c r="AF186" s="143"/>
      <c r="AG186" s="144"/>
      <c r="AH186" s="143"/>
      <c r="AI186" s="143"/>
    </row>
    <row r="187" spans="1:35" s="112" customFormat="1" ht="24.95" customHeight="1" x14ac:dyDescent="0.2">
      <c r="A187" s="93">
        <f t="shared" si="3"/>
        <v>158</v>
      </c>
      <c r="B187" s="220" t="s">
        <v>696</v>
      </c>
      <c r="C187" s="219" t="s">
        <v>969</v>
      </c>
      <c r="D187" s="219" t="s">
        <v>1248</v>
      </c>
      <c r="E187" s="46"/>
      <c r="F187" s="98">
        <v>3</v>
      </c>
      <c r="G187" s="61">
        <f t="shared" si="4"/>
        <v>42220</v>
      </c>
      <c r="H187" s="227">
        <v>42221</v>
      </c>
      <c r="I187" s="72">
        <f t="shared" ca="1" si="5"/>
        <v>-1842</v>
      </c>
      <c r="J187" s="99"/>
      <c r="K187" s="99"/>
      <c r="L187" s="114"/>
      <c r="M187" s="104"/>
      <c r="N187" s="101"/>
      <c r="O187" s="102"/>
      <c r="P187" s="101"/>
      <c r="Q187" s="101"/>
      <c r="R187" s="101"/>
      <c r="S187" s="101"/>
      <c r="T187" s="102"/>
      <c r="U187" s="101"/>
      <c r="V187" s="106"/>
      <c r="W187" s="142"/>
      <c r="X187" s="142"/>
      <c r="Y187" s="143"/>
      <c r="Z187" s="144"/>
      <c r="AA187" s="143"/>
      <c r="AB187" s="144"/>
      <c r="AC187" s="143"/>
      <c r="AD187" s="143"/>
      <c r="AE187" s="143"/>
      <c r="AF187" s="143"/>
      <c r="AG187" s="144"/>
      <c r="AH187" s="143"/>
      <c r="AI187" s="143"/>
    </row>
    <row r="188" spans="1:35" s="112" customFormat="1" ht="24.95" customHeight="1" x14ac:dyDescent="0.2">
      <c r="A188" s="93">
        <f t="shared" si="3"/>
        <v>159</v>
      </c>
      <c r="B188" s="220" t="s">
        <v>697</v>
      </c>
      <c r="C188" s="219" t="s">
        <v>970</v>
      </c>
      <c r="D188" s="219" t="s">
        <v>1249</v>
      </c>
      <c r="E188" s="46"/>
      <c r="F188" s="98">
        <v>3</v>
      </c>
      <c r="G188" s="61">
        <f t="shared" si="4"/>
        <v>42223</v>
      </c>
      <c r="H188" s="227">
        <v>42228</v>
      </c>
      <c r="I188" s="72">
        <f t="shared" ca="1" si="5"/>
        <v>-1839</v>
      </c>
      <c r="J188" s="99"/>
      <c r="K188" s="99"/>
      <c r="L188" s="114"/>
      <c r="M188" s="104"/>
      <c r="N188" s="101"/>
      <c r="O188" s="102"/>
      <c r="P188" s="101"/>
      <c r="Q188" s="101"/>
      <c r="R188" s="101"/>
      <c r="S188" s="101"/>
      <c r="T188" s="102"/>
      <c r="U188" s="101"/>
      <c r="V188" s="106"/>
      <c r="W188" s="142"/>
      <c r="X188" s="142"/>
      <c r="Y188" s="143"/>
      <c r="Z188" s="144"/>
      <c r="AA188" s="143"/>
      <c r="AB188" s="144"/>
      <c r="AC188" s="143"/>
      <c r="AD188" s="143"/>
      <c r="AE188" s="143"/>
      <c r="AF188" s="143"/>
      <c r="AG188" s="144"/>
      <c r="AH188" s="143"/>
      <c r="AI188" s="143"/>
    </row>
    <row r="189" spans="1:35" s="112" customFormat="1" ht="24.95" customHeight="1" x14ac:dyDescent="0.2">
      <c r="A189" s="93">
        <f t="shared" si="3"/>
        <v>160</v>
      </c>
      <c r="B189" s="220" t="s">
        <v>698</v>
      </c>
      <c r="C189" s="219" t="s">
        <v>971</v>
      </c>
      <c r="D189" s="219" t="s">
        <v>1250</v>
      </c>
      <c r="E189" s="46"/>
      <c r="F189" s="98">
        <v>3</v>
      </c>
      <c r="G189" s="61">
        <f t="shared" si="4"/>
        <v>42226</v>
      </c>
      <c r="H189" s="227">
        <v>42235</v>
      </c>
      <c r="I189" s="72">
        <f t="shared" ca="1" si="5"/>
        <v>-1836</v>
      </c>
      <c r="J189" s="99"/>
      <c r="K189" s="99"/>
      <c r="L189" s="114"/>
      <c r="M189" s="104"/>
      <c r="N189" s="101"/>
      <c r="O189" s="102"/>
      <c r="P189" s="101"/>
      <c r="Q189" s="101"/>
      <c r="R189" s="101"/>
      <c r="S189" s="101"/>
      <c r="T189" s="102"/>
      <c r="U189" s="101"/>
      <c r="V189" s="106"/>
      <c r="W189" s="142"/>
      <c r="X189" s="142"/>
      <c r="Y189" s="143"/>
      <c r="Z189" s="144"/>
      <c r="AA189" s="143"/>
      <c r="AB189" s="144"/>
      <c r="AC189" s="143"/>
      <c r="AD189" s="143"/>
      <c r="AE189" s="143"/>
      <c r="AF189" s="143"/>
      <c r="AG189" s="144"/>
      <c r="AH189" s="143"/>
      <c r="AI189" s="143"/>
    </row>
    <row r="190" spans="1:35" s="112" customFormat="1" ht="24.95" customHeight="1" x14ac:dyDescent="0.2">
      <c r="A190" s="93">
        <f t="shared" si="3"/>
        <v>161</v>
      </c>
      <c r="B190" s="220" t="s">
        <v>699</v>
      </c>
      <c r="C190" s="219" t="s">
        <v>972</v>
      </c>
      <c r="D190" s="219" t="s">
        <v>1251</v>
      </c>
      <c r="E190" s="137"/>
      <c r="F190" s="98">
        <v>3</v>
      </c>
      <c r="G190" s="61">
        <f t="shared" si="4"/>
        <v>42229</v>
      </c>
      <c r="H190" s="227">
        <v>42242</v>
      </c>
      <c r="I190" s="72">
        <f t="shared" ca="1" si="5"/>
        <v>-1833</v>
      </c>
      <c r="J190" s="99"/>
      <c r="K190" s="99"/>
      <c r="L190" s="114"/>
      <c r="M190" s="104"/>
      <c r="N190" s="101"/>
      <c r="O190" s="102"/>
      <c r="P190" s="101"/>
      <c r="Q190" s="101"/>
      <c r="R190" s="101"/>
      <c r="S190" s="101"/>
      <c r="T190" s="102"/>
      <c r="U190" s="101"/>
      <c r="V190" s="106"/>
      <c r="W190" s="142"/>
      <c r="X190" s="142"/>
      <c r="Y190" s="143"/>
      <c r="Z190" s="144"/>
      <c r="AA190" s="143"/>
      <c r="AB190" s="144"/>
      <c r="AC190" s="143"/>
      <c r="AD190" s="143"/>
      <c r="AE190" s="143"/>
      <c r="AF190" s="143"/>
      <c r="AG190" s="144"/>
      <c r="AH190" s="143"/>
      <c r="AI190" s="143"/>
    </row>
    <row r="191" spans="1:35" s="112" customFormat="1" ht="24.95" customHeight="1" x14ac:dyDescent="0.2">
      <c r="A191" s="93">
        <f t="shared" si="3"/>
        <v>162</v>
      </c>
      <c r="B191" s="220" t="s">
        <v>700</v>
      </c>
      <c r="C191" s="219" t="s">
        <v>973</v>
      </c>
      <c r="D191" s="219" t="s">
        <v>1252</v>
      </c>
      <c r="E191" s="137"/>
      <c r="F191" s="98">
        <v>3</v>
      </c>
      <c r="G191" s="61">
        <f t="shared" si="4"/>
        <v>42232</v>
      </c>
      <c r="H191" s="227">
        <v>42249</v>
      </c>
      <c r="I191" s="72">
        <f t="shared" ca="1" si="5"/>
        <v>-1830</v>
      </c>
      <c r="J191" s="99"/>
      <c r="K191" s="99"/>
      <c r="L191" s="114"/>
      <c r="M191" s="104"/>
      <c r="N191" s="101"/>
      <c r="O191" s="102"/>
      <c r="P191" s="101"/>
      <c r="Q191" s="101"/>
      <c r="R191" s="101"/>
      <c r="S191" s="101"/>
      <c r="T191" s="102"/>
      <c r="U191" s="101"/>
      <c r="V191" s="106"/>
      <c r="W191" s="142"/>
      <c r="X191" s="142"/>
      <c r="Y191" s="143"/>
      <c r="Z191" s="144"/>
      <c r="AA191" s="143"/>
      <c r="AB191" s="144"/>
      <c r="AC191" s="143"/>
      <c r="AD191" s="143"/>
      <c r="AE191" s="143"/>
      <c r="AF191" s="143"/>
      <c r="AG191" s="144"/>
      <c r="AH191" s="143"/>
      <c r="AI191" s="143"/>
    </row>
    <row r="192" spans="1:35" s="112" customFormat="1" ht="24.95" hidden="1" customHeight="1" x14ac:dyDescent="0.2">
      <c r="A192" s="93">
        <f t="shared" si="3"/>
        <v>163</v>
      </c>
      <c r="B192" s="148" t="s">
        <v>701</v>
      </c>
      <c r="C192" s="219" t="s">
        <v>974</v>
      </c>
      <c r="D192" s="219" t="s">
        <v>1253</v>
      </c>
      <c r="E192" s="113" t="s">
        <v>1369</v>
      </c>
      <c r="F192" s="98">
        <v>3</v>
      </c>
      <c r="G192" s="61">
        <v>42256</v>
      </c>
      <c r="H192" s="61">
        <v>42256</v>
      </c>
      <c r="I192" s="72">
        <v>-27</v>
      </c>
      <c r="J192" s="145" t="s">
        <v>1897</v>
      </c>
      <c r="K192" s="99">
        <v>41904</v>
      </c>
      <c r="L192" s="114" t="s">
        <v>1898</v>
      </c>
      <c r="M192" s="104">
        <v>41912</v>
      </c>
      <c r="N192" s="113" t="s">
        <v>2046</v>
      </c>
      <c r="O192" s="104">
        <v>41918</v>
      </c>
      <c r="P192" s="105" t="s">
        <v>1465</v>
      </c>
      <c r="Q192" s="15" t="s">
        <v>1990</v>
      </c>
      <c r="R192" s="62">
        <v>41914</v>
      </c>
      <c r="S192" s="146" t="s">
        <v>1931</v>
      </c>
      <c r="T192" s="104">
        <v>41907</v>
      </c>
      <c r="U192" s="105" t="s">
        <v>1465</v>
      </c>
      <c r="V192" s="106" t="s">
        <v>1442</v>
      </c>
      <c r="W192" s="142"/>
      <c r="X192" s="142"/>
      <c r="Y192" s="143"/>
      <c r="Z192" s="144"/>
      <c r="AA192" s="143"/>
      <c r="AB192" s="144"/>
      <c r="AC192" s="143"/>
      <c r="AD192" s="143"/>
      <c r="AE192" s="143"/>
      <c r="AF192" s="143"/>
      <c r="AG192" s="144"/>
      <c r="AH192" s="143"/>
      <c r="AI192" s="143"/>
    </row>
    <row r="193" spans="1:35" s="112" customFormat="1" ht="24.95" hidden="1" customHeight="1" x14ac:dyDescent="0.2">
      <c r="A193" s="93">
        <f t="shared" si="3"/>
        <v>164</v>
      </c>
      <c r="B193" s="148" t="s">
        <v>702</v>
      </c>
      <c r="C193" s="219" t="s">
        <v>975</v>
      </c>
      <c r="D193" s="219" t="s">
        <v>1254</v>
      </c>
      <c r="E193" s="113" t="s">
        <v>1369</v>
      </c>
      <c r="F193" s="98">
        <v>3</v>
      </c>
      <c r="G193" s="61">
        <v>42263</v>
      </c>
      <c r="H193" s="61">
        <v>42263</v>
      </c>
      <c r="I193" s="72">
        <v>-19</v>
      </c>
      <c r="J193" s="99" t="s">
        <v>2002</v>
      </c>
      <c r="K193" s="99" t="s">
        <v>1442</v>
      </c>
      <c r="L193" s="114" t="s">
        <v>2009</v>
      </c>
      <c r="M193" s="104">
        <v>41925</v>
      </c>
      <c r="N193" s="113" t="s">
        <v>2065</v>
      </c>
      <c r="O193" s="104">
        <v>41933</v>
      </c>
      <c r="P193" s="105" t="s">
        <v>1465</v>
      </c>
      <c r="Q193" s="187" t="s">
        <v>2029</v>
      </c>
      <c r="R193" s="62">
        <v>41925</v>
      </c>
      <c r="S193" s="146" t="s">
        <v>2097</v>
      </c>
      <c r="T193" s="104">
        <v>41924</v>
      </c>
      <c r="U193" s="105" t="s">
        <v>1465</v>
      </c>
      <c r="V193" s="106" t="s">
        <v>1442</v>
      </c>
      <c r="W193" s="142"/>
      <c r="X193" s="142"/>
      <c r="Y193" s="143"/>
      <c r="Z193" s="144"/>
      <c r="AA193" s="143"/>
      <c r="AB193" s="144"/>
      <c r="AC193" s="143"/>
      <c r="AD193" s="143"/>
      <c r="AE193" s="143"/>
      <c r="AF193" s="143"/>
      <c r="AG193" s="144"/>
      <c r="AH193" s="143"/>
      <c r="AI193" s="143"/>
    </row>
    <row r="194" spans="1:35" s="112" customFormat="1" ht="24.95" customHeight="1" x14ac:dyDescent="0.2">
      <c r="A194" s="93">
        <f t="shared" si="3"/>
        <v>165</v>
      </c>
      <c r="B194" s="220" t="s">
        <v>703</v>
      </c>
      <c r="C194" s="219" t="s">
        <v>976</v>
      </c>
      <c r="D194" s="219" t="s">
        <v>1255</v>
      </c>
      <c r="E194" s="46" t="s">
        <v>1369</v>
      </c>
      <c r="F194" s="98">
        <v>3</v>
      </c>
      <c r="G194" s="61">
        <v>42215</v>
      </c>
      <c r="H194" s="227">
        <v>42256</v>
      </c>
      <c r="I194" s="72">
        <v>-11</v>
      </c>
      <c r="J194" s="61" t="s">
        <v>2584</v>
      </c>
      <c r="K194" s="99">
        <v>42226</v>
      </c>
      <c r="L194" s="114" t="s">
        <v>2585</v>
      </c>
      <c r="M194" s="250">
        <v>42227</v>
      </c>
      <c r="N194" s="46" t="s">
        <v>2630</v>
      </c>
      <c r="O194" s="245">
        <v>42232</v>
      </c>
      <c r="P194" s="244">
        <v>1</v>
      </c>
      <c r="Q194" s="114" t="s">
        <v>2600</v>
      </c>
      <c r="R194" s="163">
        <v>42227</v>
      </c>
      <c r="S194" s="46" t="s">
        <v>2620</v>
      </c>
      <c r="T194" s="245">
        <v>42229</v>
      </c>
      <c r="U194" s="244" t="s">
        <v>1369</v>
      </c>
      <c r="V194" s="106" t="s">
        <v>1442</v>
      </c>
      <c r="W194" s="142"/>
      <c r="X194" s="142"/>
      <c r="Y194" s="143"/>
      <c r="Z194" s="144"/>
      <c r="AA194" s="143"/>
      <c r="AB194" s="144"/>
      <c r="AC194" s="143"/>
      <c r="AD194" s="143"/>
      <c r="AE194" s="143"/>
      <c r="AF194" s="143"/>
      <c r="AG194" s="144"/>
      <c r="AH194" s="143"/>
      <c r="AI194" s="143"/>
    </row>
    <row r="195" spans="1:35" s="112" customFormat="1" ht="24.95" customHeight="1" x14ac:dyDescent="0.2">
      <c r="A195" s="93">
        <f t="shared" si="3"/>
        <v>166</v>
      </c>
      <c r="B195" s="253" t="s">
        <v>704</v>
      </c>
      <c r="C195" s="254" t="s">
        <v>977</v>
      </c>
      <c r="D195" s="254" t="s">
        <v>1256</v>
      </c>
      <c r="E195" s="46" t="s">
        <v>1369</v>
      </c>
      <c r="F195" s="98">
        <v>3</v>
      </c>
      <c r="G195" s="61">
        <v>42219</v>
      </c>
      <c r="H195" s="227">
        <v>42263</v>
      </c>
      <c r="I195" s="72">
        <v>-31</v>
      </c>
      <c r="J195" s="99" t="s">
        <v>2797</v>
      </c>
      <c r="K195" s="99">
        <v>42250</v>
      </c>
      <c r="L195" s="114" t="s">
        <v>2798</v>
      </c>
      <c r="M195" s="18">
        <v>42253</v>
      </c>
      <c r="N195" s="46" t="s">
        <v>2885</v>
      </c>
      <c r="O195" s="104">
        <v>42256</v>
      </c>
      <c r="P195" s="114">
        <v>1</v>
      </c>
      <c r="Q195" s="17" t="s">
        <v>2843</v>
      </c>
      <c r="R195" s="18">
        <v>42254</v>
      </c>
      <c r="S195" s="133" t="s">
        <v>3096</v>
      </c>
      <c r="T195" s="104">
        <v>42333</v>
      </c>
      <c r="U195" s="114" t="s">
        <v>1369</v>
      </c>
      <c r="V195" s="106" t="s">
        <v>1442</v>
      </c>
      <c r="W195" s="142"/>
      <c r="X195" s="142"/>
      <c r="Y195" s="143"/>
      <c r="Z195" s="144"/>
      <c r="AA195" s="143"/>
      <c r="AB195" s="144"/>
      <c r="AC195" s="143"/>
      <c r="AD195" s="143"/>
      <c r="AE195" s="143"/>
      <c r="AF195" s="143"/>
      <c r="AG195" s="144"/>
      <c r="AH195" s="143"/>
      <c r="AI195" s="143"/>
    </row>
    <row r="196" spans="1:35" s="112" customFormat="1" ht="24.95" customHeight="1" x14ac:dyDescent="0.2">
      <c r="A196" s="93">
        <f>A195+1</f>
        <v>167</v>
      </c>
      <c r="B196" s="220" t="s">
        <v>705</v>
      </c>
      <c r="C196" s="219" t="s">
        <v>978</v>
      </c>
      <c r="D196" s="219" t="s">
        <v>1257</v>
      </c>
      <c r="E196" s="137"/>
      <c r="F196" s="98">
        <v>3</v>
      </c>
      <c r="G196" s="228">
        <v>42270</v>
      </c>
      <c r="H196" s="227">
        <v>42270</v>
      </c>
      <c r="I196" s="72">
        <f ca="1">G196-TODAY()</f>
        <v>-1792</v>
      </c>
      <c r="J196" s="99"/>
      <c r="K196" s="99"/>
      <c r="L196" s="114"/>
      <c r="M196" s="104"/>
      <c r="N196" s="101"/>
      <c r="O196" s="102"/>
      <c r="P196" s="101"/>
      <c r="Q196" s="101"/>
      <c r="R196" s="101"/>
      <c r="S196" s="101"/>
      <c r="T196" s="102"/>
      <c r="U196" s="101"/>
      <c r="V196" s="106"/>
      <c r="W196" s="142"/>
      <c r="X196" s="142"/>
      <c r="Y196" s="143"/>
      <c r="Z196" s="144"/>
      <c r="AA196" s="143"/>
      <c r="AB196" s="144"/>
      <c r="AC196" s="143"/>
      <c r="AD196" s="143"/>
      <c r="AE196" s="143"/>
      <c r="AF196" s="143"/>
      <c r="AG196" s="144"/>
      <c r="AH196" s="143"/>
      <c r="AI196" s="143"/>
    </row>
    <row r="197" spans="1:35" s="112" customFormat="1" ht="24.95" hidden="1" customHeight="1" x14ac:dyDescent="0.2">
      <c r="A197" s="93">
        <f t="shared" si="3"/>
        <v>168</v>
      </c>
      <c r="B197" s="148" t="s">
        <v>706</v>
      </c>
      <c r="C197" s="219" t="s">
        <v>979</v>
      </c>
      <c r="D197" s="219" t="s">
        <v>1258</v>
      </c>
      <c r="E197" s="113" t="s">
        <v>1369</v>
      </c>
      <c r="F197" s="98">
        <v>3</v>
      </c>
      <c r="G197" s="145">
        <v>41855</v>
      </c>
      <c r="H197" s="234">
        <v>41855</v>
      </c>
      <c r="I197" s="72">
        <v>-51</v>
      </c>
      <c r="J197" s="145" t="s">
        <v>1908</v>
      </c>
      <c r="K197" s="145">
        <v>41906</v>
      </c>
      <c r="L197" s="131" t="s">
        <v>1909</v>
      </c>
      <c r="M197" s="104">
        <v>41907</v>
      </c>
      <c r="N197" s="113" t="s">
        <v>2185</v>
      </c>
      <c r="O197" s="104">
        <v>41959</v>
      </c>
      <c r="P197" s="105" t="s">
        <v>1465</v>
      </c>
      <c r="Q197" s="15" t="s">
        <v>1948</v>
      </c>
      <c r="R197" s="62">
        <v>41909</v>
      </c>
      <c r="S197" s="146" t="s">
        <v>1957</v>
      </c>
      <c r="T197" s="104">
        <v>41911</v>
      </c>
      <c r="U197" s="105" t="s">
        <v>1465</v>
      </c>
      <c r="V197" s="106" t="s">
        <v>1442</v>
      </c>
      <c r="W197" s="142"/>
      <c r="X197" s="142"/>
      <c r="Y197" s="143"/>
      <c r="Z197" s="144"/>
      <c r="AA197" s="143"/>
      <c r="AB197" s="144"/>
      <c r="AC197" s="143"/>
      <c r="AD197" s="143"/>
      <c r="AE197" s="143"/>
      <c r="AF197" s="143"/>
      <c r="AG197" s="144"/>
      <c r="AH197" s="143"/>
      <c r="AI197" s="143"/>
    </row>
    <row r="198" spans="1:35" s="112" customFormat="1" ht="24.95" hidden="1" customHeight="1" x14ac:dyDescent="0.2">
      <c r="A198" s="93">
        <f t="shared" si="3"/>
        <v>169</v>
      </c>
      <c r="B198" s="148" t="s">
        <v>707</v>
      </c>
      <c r="C198" s="219" t="s">
        <v>980</v>
      </c>
      <c r="D198" s="219" t="s">
        <v>1259</v>
      </c>
      <c r="E198" s="113" t="s">
        <v>1369</v>
      </c>
      <c r="F198" s="98">
        <v>3</v>
      </c>
      <c r="G198" s="145">
        <v>41859</v>
      </c>
      <c r="H198" s="234">
        <v>41859</v>
      </c>
      <c r="I198" s="72">
        <v>-52</v>
      </c>
      <c r="J198" s="99" t="s">
        <v>1954</v>
      </c>
      <c r="K198" s="61">
        <v>41911</v>
      </c>
      <c r="L198" s="114" t="s">
        <v>1955</v>
      </c>
      <c r="M198" s="18">
        <v>41912</v>
      </c>
      <c r="N198" s="113" t="s">
        <v>2047</v>
      </c>
      <c r="O198" s="104">
        <v>41918</v>
      </c>
      <c r="P198" s="105" t="s">
        <v>1465</v>
      </c>
      <c r="Q198" s="15" t="s">
        <v>1992</v>
      </c>
      <c r="R198" s="62">
        <v>41914</v>
      </c>
      <c r="S198" s="146" t="s">
        <v>2105</v>
      </c>
      <c r="T198" s="104">
        <v>41927</v>
      </c>
      <c r="U198" s="105" t="s">
        <v>1465</v>
      </c>
      <c r="V198" s="106" t="s">
        <v>1442</v>
      </c>
      <c r="W198" s="142"/>
      <c r="X198" s="142"/>
      <c r="Y198" s="143"/>
      <c r="Z198" s="144"/>
      <c r="AA198" s="143"/>
      <c r="AB198" s="144"/>
      <c r="AC198" s="143"/>
      <c r="AD198" s="143"/>
      <c r="AE198" s="143"/>
      <c r="AF198" s="143"/>
      <c r="AG198" s="144"/>
      <c r="AH198" s="143"/>
      <c r="AI198" s="143"/>
    </row>
    <row r="199" spans="1:35" s="112" customFormat="1" ht="24.95" hidden="1" customHeight="1" x14ac:dyDescent="0.2">
      <c r="A199" s="93">
        <f t="shared" si="3"/>
        <v>170</v>
      </c>
      <c r="B199" s="516" t="s">
        <v>708</v>
      </c>
      <c r="C199" s="502" t="s">
        <v>981</v>
      </c>
      <c r="D199" s="502" t="s">
        <v>1260</v>
      </c>
      <c r="E199" s="113" t="s">
        <v>1369</v>
      </c>
      <c r="F199" s="98">
        <v>3</v>
      </c>
      <c r="G199" s="145">
        <v>41846</v>
      </c>
      <c r="H199" s="234">
        <v>41846</v>
      </c>
      <c r="I199" s="72"/>
      <c r="J199" s="145" t="s">
        <v>1630</v>
      </c>
      <c r="K199" s="145">
        <v>41841</v>
      </c>
      <c r="L199" s="131" t="s">
        <v>1631</v>
      </c>
      <c r="M199" s="138">
        <v>41850</v>
      </c>
      <c r="N199" s="113" t="s">
        <v>1728</v>
      </c>
      <c r="O199" s="104">
        <v>41871</v>
      </c>
      <c r="P199" s="105" t="s">
        <v>1465</v>
      </c>
      <c r="Q199" s="131" t="s">
        <v>1663</v>
      </c>
      <c r="R199" s="104">
        <v>41854</v>
      </c>
      <c r="S199" s="146" t="s">
        <v>1781</v>
      </c>
      <c r="T199" s="104">
        <v>41892</v>
      </c>
      <c r="U199" s="105" t="s">
        <v>1465</v>
      </c>
      <c r="V199" s="106" t="s">
        <v>1442</v>
      </c>
      <c r="W199" s="142"/>
      <c r="X199" s="142"/>
      <c r="Y199" s="143"/>
      <c r="Z199" s="144"/>
      <c r="AA199" s="143"/>
      <c r="AB199" s="144"/>
      <c r="AC199" s="143"/>
      <c r="AD199" s="143"/>
      <c r="AE199" s="143"/>
      <c r="AF199" s="143"/>
      <c r="AG199" s="144"/>
      <c r="AH199" s="143"/>
      <c r="AI199" s="143"/>
    </row>
    <row r="200" spans="1:35" s="112" customFormat="1" ht="24.95" hidden="1" customHeight="1" x14ac:dyDescent="0.2">
      <c r="A200" s="93"/>
      <c r="B200" s="516"/>
      <c r="C200" s="502"/>
      <c r="D200" s="502"/>
      <c r="E200" s="113" t="s">
        <v>1432</v>
      </c>
      <c r="F200" s="98" t="s">
        <v>1442</v>
      </c>
      <c r="G200" s="145"/>
      <c r="H200" s="234"/>
      <c r="I200" s="72"/>
      <c r="J200" s="99" t="s">
        <v>1968</v>
      </c>
      <c r="K200" s="99">
        <v>41912</v>
      </c>
      <c r="L200" s="114" t="s">
        <v>1969</v>
      </c>
      <c r="M200" s="104">
        <v>41914</v>
      </c>
      <c r="N200" s="113" t="s">
        <v>2186</v>
      </c>
      <c r="O200" s="104">
        <v>41960</v>
      </c>
      <c r="P200" s="105" t="s">
        <v>1465</v>
      </c>
      <c r="Q200" s="15" t="s">
        <v>1989</v>
      </c>
      <c r="R200" s="62">
        <v>41914</v>
      </c>
      <c r="S200" s="146" t="s">
        <v>2105</v>
      </c>
      <c r="T200" s="104">
        <v>41927</v>
      </c>
      <c r="U200" s="105" t="s">
        <v>1465</v>
      </c>
      <c r="V200" s="106" t="s">
        <v>1442</v>
      </c>
      <c r="W200" s="142"/>
      <c r="X200" s="142"/>
      <c r="Y200" s="143"/>
      <c r="Z200" s="144"/>
      <c r="AA200" s="143"/>
      <c r="AB200" s="144"/>
      <c r="AC200" s="143"/>
      <c r="AD200" s="143"/>
      <c r="AE200" s="143"/>
      <c r="AF200" s="143"/>
      <c r="AG200" s="144"/>
      <c r="AH200" s="143"/>
      <c r="AI200" s="143"/>
    </row>
    <row r="201" spans="1:35" s="112" customFormat="1" ht="24.95" hidden="1" customHeight="1" x14ac:dyDescent="0.2">
      <c r="A201" s="93">
        <f>A199+1</f>
        <v>171</v>
      </c>
      <c r="B201" s="148" t="s">
        <v>709</v>
      </c>
      <c r="C201" s="219" t="s">
        <v>982</v>
      </c>
      <c r="D201" s="219" t="s">
        <v>1261</v>
      </c>
      <c r="E201" s="113" t="s">
        <v>1369</v>
      </c>
      <c r="F201" s="98">
        <v>3</v>
      </c>
      <c r="G201" s="145">
        <v>41849</v>
      </c>
      <c r="H201" s="234">
        <v>41849</v>
      </c>
      <c r="I201" s="72">
        <v>-49</v>
      </c>
      <c r="J201" s="99" t="s">
        <v>1856</v>
      </c>
      <c r="K201" s="99">
        <v>41899</v>
      </c>
      <c r="L201" s="114" t="s">
        <v>1857</v>
      </c>
      <c r="M201" s="104">
        <v>41900</v>
      </c>
      <c r="N201" s="113" t="s">
        <v>1929</v>
      </c>
      <c r="O201" s="104">
        <v>41905</v>
      </c>
      <c r="P201" s="105" t="s">
        <v>1465</v>
      </c>
      <c r="Q201" s="131" t="s">
        <v>1900</v>
      </c>
      <c r="R201" s="104">
        <v>41904</v>
      </c>
      <c r="S201" s="146" t="s">
        <v>1957</v>
      </c>
      <c r="T201" s="104">
        <v>41911</v>
      </c>
      <c r="U201" s="105" t="s">
        <v>1465</v>
      </c>
      <c r="V201" s="106" t="s">
        <v>1442</v>
      </c>
      <c r="W201" s="142"/>
      <c r="X201" s="142"/>
      <c r="Y201" s="143"/>
      <c r="Z201" s="144"/>
      <c r="AA201" s="143"/>
      <c r="AB201" s="144"/>
      <c r="AC201" s="143"/>
      <c r="AD201" s="143"/>
      <c r="AE201" s="143"/>
      <c r="AF201" s="143"/>
      <c r="AG201" s="144"/>
      <c r="AH201" s="143"/>
      <c r="AI201" s="143"/>
    </row>
    <row r="202" spans="1:35" s="112" customFormat="1" ht="24.95" hidden="1" customHeight="1" x14ac:dyDescent="0.2">
      <c r="A202" s="93">
        <f t="shared" si="3"/>
        <v>172</v>
      </c>
      <c r="B202" s="148" t="s">
        <v>710</v>
      </c>
      <c r="C202" s="219" t="s">
        <v>983</v>
      </c>
      <c r="D202" s="219" t="s">
        <v>1262</v>
      </c>
      <c r="E202" s="113" t="s">
        <v>1369</v>
      </c>
      <c r="F202" s="98">
        <v>3</v>
      </c>
      <c r="G202" s="145">
        <v>41852</v>
      </c>
      <c r="H202" s="234">
        <v>41852</v>
      </c>
      <c r="I202" s="72">
        <v>-45</v>
      </c>
      <c r="J202" s="99" t="s">
        <v>1838</v>
      </c>
      <c r="K202" s="99">
        <v>41897</v>
      </c>
      <c r="L202" s="114" t="s">
        <v>1839</v>
      </c>
      <c r="M202" s="104">
        <v>41900</v>
      </c>
      <c r="N202" s="113" t="s">
        <v>2186</v>
      </c>
      <c r="O202" s="104">
        <v>41960</v>
      </c>
      <c r="P202" s="105" t="s">
        <v>1465</v>
      </c>
      <c r="Q202" s="131" t="s">
        <v>1890</v>
      </c>
      <c r="R202" s="104">
        <v>41903</v>
      </c>
      <c r="S202" s="146" t="s">
        <v>1957</v>
      </c>
      <c r="T202" s="104">
        <v>41911</v>
      </c>
      <c r="U202" s="105" t="s">
        <v>1465</v>
      </c>
      <c r="V202" s="106" t="s">
        <v>1442</v>
      </c>
      <c r="W202" s="142"/>
      <c r="X202" s="142"/>
      <c r="Y202" s="143"/>
      <c r="Z202" s="144"/>
      <c r="AA202" s="143"/>
      <c r="AB202" s="144"/>
      <c r="AC202" s="143"/>
      <c r="AD202" s="143"/>
      <c r="AE202" s="143"/>
      <c r="AF202" s="143"/>
      <c r="AG202" s="144"/>
      <c r="AH202" s="143"/>
      <c r="AI202" s="143"/>
    </row>
    <row r="203" spans="1:35" s="112" customFormat="1" ht="24.95" hidden="1" customHeight="1" x14ac:dyDescent="0.2">
      <c r="A203" s="93">
        <f t="shared" si="3"/>
        <v>173</v>
      </c>
      <c r="B203" s="148" t="s">
        <v>711</v>
      </c>
      <c r="C203" s="219" t="s">
        <v>984</v>
      </c>
      <c r="D203" s="219" t="s">
        <v>1263</v>
      </c>
      <c r="E203" s="113" t="s">
        <v>1369</v>
      </c>
      <c r="F203" s="98">
        <v>3</v>
      </c>
      <c r="G203" s="145">
        <v>41855</v>
      </c>
      <c r="H203" s="234">
        <v>41855</v>
      </c>
      <c r="I203" s="72">
        <v>-42</v>
      </c>
      <c r="J203" s="61" t="s">
        <v>1835</v>
      </c>
      <c r="K203" s="61">
        <v>41897</v>
      </c>
      <c r="L203" s="181" t="s">
        <v>1837</v>
      </c>
      <c r="M203" s="18">
        <v>41900</v>
      </c>
      <c r="N203" s="113" t="s">
        <v>1930</v>
      </c>
      <c r="O203" s="104">
        <v>41905</v>
      </c>
      <c r="P203" s="105" t="s">
        <v>1465</v>
      </c>
      <c r="Q203" s="131" t="s">
        <v>1891</v>
      </c>
      <c r="R203" s="104">
        <v>41903</v>
      </c>
      <c r="S203" s="146" t="s">
        <v>1957</v>
      </c>
      <c r="T203" s="104">
        <v>41911</v>
      </c>
      <c r="U203" s="105" t="s">
        <v>1465</v>
      </c>
      <c r="V203" s="106" t="s">
        <v>1442</v>
      </c>
      <c r="W203" s="142"/>
      <c r="X203" s="142"/>
      <c r="Y203" s="143"/>
      <c r="Z203" s="144"/>
      <c r="AA203" s="143"/>
      <c r="AB203" s="144"/>
      <c r="AC203" s="143"/>
      <c r="AD203" s="143"/>
      <c r="AE203" s="143"/>
      <c r="AF203" s="143"/>
      <c r="AG203" s="144"/>
      <c r="AH203" s="143"/>
      <c r="AI203" s="143"/>
    </row>
    <row r="204" spans="1:35" s="112" customFormat="1" ht="24.95" hidden="1" customHeight="1" x14ac:dyDescent="0.2">
      <c r="A204" s="93">
        <f t="shared" si="3"/>
        <v>174</v>
      </c>
      <c r="B204" s="148" t="s">
        <v>712</v>
      </c>
      <c r="C204" s="219" t="s">
        <v>985</v>
      </c>
      <c r="D204" s="219" t="s">
        <v>1264</v>
      </c>
      <c r="E204" s="113" t="s">
        <v>1369</v>
      </c>
      <c r="F204" s="98">
        <v>3</v>
      </c>
      <c r="G204" s="145">
        <v>41858</v>
      </c>
      <c r="H204" s="234">
        <v>41858</v>
      </c>
      <c r="I204" s="72">
        <v>-39</v>
      </c>
      <c r="J204" s="99" t="s">
        <v>1798</v>
      </c>
      <c r="K204" s="99">
        <v>41893</v>
      </c>
      <c r="L204" s="114" t="s">
        <v>1799</v>
      </c>
      <c r="M204" s="104">
        <v>41894</v>
      </c>
      <c r="N204" s="113" t="s">
        <v>2184</v>
      </c>
      <c r="O204" s="104">
        <v>41959</v>
      </c>
      <c r="P204" s="105" t="s">
        <v>1465</v>
      </c>
      <c r="Q204" s="131" t="s">
        <v>1848</v>
      </c>
      <c r="R204" s="104">
        <v>41898</v>
      </c>
      <c r="S204" s="146" t="s">
        <v>1957</v>
      </c>
      <c r="T204" s="104">
        <v>41911</v>
      </c>
      <c r="U204" s="105" t="s">
        <v>1465</v>
      </c>
      <c r="V204" s="106" t="s">
        <v>1442</v>
      </c>
      <c r="W204" s="142"/>
      <c r="X204" s="142"/>
      <c r="Y204" s="143"/>
      <c r="Z204" s="144"/>
      <c r="AA204" s="143"/>
      <c r="AB204" s="144"/>
      <c r="AC204" s="143"/>
      <c r="AD204" s="143"/>
      <c r="AE204" s="143"/>
      <c r="AF204" s="143"/>
      <c r="AG204" s="144"/>
      <c r="AH204" s="143"/>
      <c r="AI204" s="143"/>
    </row>
    <row r="205" spans="1:35" s="112" customFormat="1" ht="24.95" hidden="1" customHeight="1" x14ac:dyDescent="0.2">
      <c r="A205" s="93">
        <f t="shared" si="3"/>
        <v>175</v>
      </c>
      <c r="B205" s="148" t="s">
        <v>713</v>
      </c>
      <c r="C205" s="219" t="s">
        <v>986</v>
      </c>
      <c r="D205" s="219" t="s">
        <v>1265</v>
      </c>
      <c r="E205" s="113" t="s">
        <v>1369</v>
      </c>
      <c r="F205" s="98">
        <v>3</v>
      </c>
      <c r="G205" s="145">
        <v>41861</v>
      </c>
      <c r="H205" s="234">
        <v>41861</v>
      </c>
      <c r="I205" s="72">
        <v>-36</v>
      </c>
      <c r="J205" s="99" t="s">
        <v>1775</v>
      </c>
      <c r="K205" s="99">
        <v>41892</v>
      </c>
      <c r="L205" s="114" t="s">
        <v>1776</v>
      </c>
      <c r="M205" s="104">
        <v>41893</v>
      </c>
      <c r="N205" s="113" t="s">
        <v>2183</v>
      </c>
      <c r="O205" s="104">
        <v>41959</v>
      </c>
      <c r="P205" s="105" t="s">
        <v>1465</v>
      </c>
      <c r="Q205" s="131" t="s">
        <v>1820</v>
      </c>
      <c r="R205" s="104">
        <v>41893</v>
      </c>
      <c r="S205" s="146" t="s">
        <v>1957</v>
      </c>
      <c r="T205" s="104">
        <v>41911</v>
      </c>
      <c r="U205" s="105" t="s">
        <v>1465</v>
      </c>
      <c r="V205" s="106" t="s">
        <v>1442</v>
      </c>
      <c r="W205" s="142"/>
      <c r="X205" s="142"/>
      <c r="Y205" s="143"/>
      <c r="Z205" s="144"/>
      <c r="AA205" s="143"/>
      <c r="AB205" s="144"/>
      <c r="AC205" s="143"/>
      <c r="AD205" s="143"/>
      <c r="AE205" s="143"/>
      <c r="AF205" s="143"/>
      <c r="AG205" s="144"/>
      <c r="AH205" s="143"/>
      <c r="AI205" s="143"/>
    </row>
    <row r="206" spans="1:35" s="112" customFormat="1" ht="24.95" hidden="1" customHeight="1" x14ac:dyDescent="0.2">
      <c r="A206" s="93">
        <f t="shared" si="3"/>
        <v>176</v>
      </c>
      <c r="B206" s="516" t="s">
        <v>714</v>
      </c>
      <c r="C206" s="502" t="s">
        <v>987</v>
      </c>
      <c r="D206" s="502" t="s">
        <v>1266</v>
      </c>
      <c r="E206" s="113" t="s">
        <v>1369</v>
      </c>
      <c r="F206" s="98">
        <v>3</v>
      </c>
      <c r="G206" s="145">
        <v>41864</v>
      </c>
      <c r="H206" s="234">
        <v>41864</v>
      </c>
      <c r="I206" s="72">
        <v>-33</v>
      </c>
      <c r="J206" s="99" t="s">
        <v>1825</v>
      </c>
      <c r="K206" s="99">
        <v>41896</v>
      </c>
      <c r="L206" s="114" t="s">
        <v>1826</v>
      </c>
      <c r="M206" s="104">
        <v>41898</v>
      </c>
      <c r="N206" s="113" t="s">
        <v>1880</v>
      </c>
      <c r="O206" s="104">
        <v>41899</v>
      </c>
      <c r="P206" s="114" t="s">
        <v>1852</v>
      </c>
      <c r="Q206" s="131" t="s">
        <v>1870</v>
      </c>
      <c r="R206" s="104">
        <v>41900</v>
      </c>
      <c r="S206" s="146" t="s">
        <v>1937</v>
      </c>
      <c r="T206" s="104">
        <v>41907</v>
      </c>
      <c r="U206" s="105" t="s">
        <v>1465</v>
      </c>
      <c r="V206" s="106" t="s">
        <v>1442</v>
      </c>
      <c r="W206" s="142"/>
      <c r="X206" s="142"/>
      <c r="Y206" s="143"/>
      <c r="Z206" s="144"/>
      <c r="AA206" s="143"/>
      <c r="AB206" s="144"/>
      <c r="AC206" s="143"/>
      <c r="AD206" s="143"/>
      <c r="AE206" s="143"/>
      <c r="AF206" s="143"/>
      <c r="AG206" s="144"/>
      <c r="AH206" s="143"/>
      <c r="AI206" s="143"/>
    </row>
    <row r="207" spans="1:35" s="112" customFormat="1" ht="24.95" hidden="1" customHeight="1" x14ac:dyDescent="0.2">
      <c r="A207" s="93"/>
      <c r="B207" s="516"/>
      <c r="C207" s="502"/>
      <c r="D207" s="502"/>
      <c r="E207" s="113" t="s">
        <v>1432</v>
      </c>
      <c r="F207" s="98" t="s">
        <v>1442</v>
      </c>
      <c r="G207" s="145" t="s">
        <v>1442</v>
      </c>
      <c r="H207" s="234" t="s">
        <v>1442</v>
      </c>
      <c r="I207" s="72" t="s">
        <v>1442</v>
      </c>
      <c r="J207" s="99" t="s">
        <v>2002</v>
      </c>
      <c r="K207" s="99" t="s">
        <v>1442</v>
      </c>
      <c r="L207" s="114" t="s">
        <v>2008</v>
      </c>
      <c r="M207" s="104">
        <v>41921</v>
      </c>
      <c r="N207" s="113" t="s">
        <v>2064</v>
      </c>
      <c r="O207" s="104">
        <v>41928</v>
      </c>
      <c r="P207" s="105" t="s">
        <v>1465</v>
      </c>
      <c r="Q207" s="187" t="s">
        <v>2028</v>
      </c>
      <c r="R207" s="62">
        <v>41923</v>
      </c>
      <c r="S207" s="146" t="s">
        <v>2108</v>
      </c>
      <c r="T207" s="104">
        <v>41927</v>
      </c>
      <c r="U207" s="105" t="s">
        <v>1465</v>
      </c>
      <c r="V207" s="106" t="s">
        <v>1442</v>
      </c>
      <c r="W207" s="142"/>
      <c r="X207" s="142"/>
      <c r="Y207" s="143"/>
      <c r="Z207" s="144"/>
      <c r="AA207" s="143"/>
      <c r="AB207" s="144"/>
      <c r="AC207" s="143"/>
      <c r="AD207" s="143"/>
      <c r="AE207" s="143"/>
      <c r="AF207" s="143"/>
      <c r="AG207" s="144"/>
      <c r="AH207" s="143"/>
      <c r="AI207" s="143"/>
    </row>
    <row r="208" spans="1:35" s="112" customFormat="1" ht="24.95" hidden="1" customHeight="1" x14ac:dyDescent="0.2">
      <c r="A208" s="93">
        <f>A206+1</f>
        <v>177</v>
      </c>
      <c r="B208" s="148" t="s">
        <v>715</v>
      </c>
      <c r="C208" s="219" t="s">
        <v>988</v>
      </c>
      <c r="D208" s="219" t="s">
        <v>1267</v>
      </c>
      <c r="E208" s="113" t="s">
        <v>1369</v>
      </c>
      <c r="F208" s="98">
        <v>3</v>
      </c>
      <c r="G208" s="145">
        <v>41863</v>
      </c>
      <c r="H208" s="234">
        <v>41863</v>
      </c>
      <c r="I208" s="72">
        <v>-43</v>
      </c>
      <c r="J208" s="99" t="s">
        <v>1921</v>
      </c>
      <c r="K208" s="99">
        <v>41906</v>
      </c>
      <c r="L208" s="114" t="s">
        <v>1922</v>
      </c>
      <c r="M208" s="104">
        <v>41909</v>
      </c>
      <c r="N208" s="101"/>
      <c r="O208" s="102"/>
      <c r="P208" s="101"/>
      <c r="Q208" s="15" t="s">
        <v>1979</v>
      </c>
      <c r="R208" s="62">
        <v>41913</v>
      </c>
      <c r="S208" s="146" t="s">
        <v>2105</v>
      </c>
      <c r="T208" s="104">
        <v>41927</v>
      </c>
      <c r="U208" s="105" t="s">
        <v>1465</v>
      </c>
      <c r="V208" s="106" t="s">
        <v>1530</v>
      </c>
      <c r="W208" s="142"/>
      <c r="X208" s="142"/>
      <c r="Y208" s="143"/>
      <c r="Z208" s="144"/>
      <c r="AA208" s="143"/>
      <c r="AB208" s="144"/>
      <c r="AC208" s="143"/>
      <c r="AD208" s="143"/>
      <c r="AE208" s="143"/>
      <c r="AF208" s="143"/>
      <c r="AG208" s="144"/>
      <c r="AH208" s="143"/>
      <c r="AI208" s="143"/>
    </row>
    <row r="209" spans="1:35" s="112" customFormat="1" ht="24.95" hidden="1" customHeight="1" x14ac:dyDescent="0.2">
      <c r="A209" s="93">
        <f t="shared" si="3"/>
        <v>178</v>
      </c>
      <c r="B209" s="148" t="s">
        <v>716</v>
      </c>
      <c r="C209" s="219" t="s">
        <v>989</v>
      </c>
      <c r="D209" s="219" t="s">
        <v>1268</v>
      </c>
      <c r="E209" s="113" t="s">
        <v>1369</v>
      </c>
      <c r="F209" s="98">
        <v>3</v>
      </c>
      <c r="G209" s="145">
        <v>41867</v>
      </c>
      <c r="H209" s="234">
        <v>41867</v>
      </c>
      <c r="I209" s="72">
        <v>-33</v>
      </c>
      <c r="J209" s="99" t="s">
        <v>1864</v>
      </c>
      <c r="K209" s="99">
        <v>41900</v>
      </c>
      <c r="L209" s="114" t="s">
        <v>1865</v>
      </c>
      <c r="M209" s="18">
        <v>41900</v>
      </c>
      <c r="N209" s="113" t="s">
        <v>1927</v>
      </c>
      <c r="O209" s="104">
        <v>41905</v>
      </c>
      <c r="P209" s="105" t="s">
        <v>1465</v>
      </c>
      <c r="Q209" s="131" t="s">
        <v>1900</v>
      </c>
      <c r="R209" s="104">
        <v>41904</v>
      </c>
      <c r="S209" s="146" t="s">
        <v>1957</v>
      </c>
      <c r="T209" s="104">
        <v>41911</v>
      </c>
      <c r="U209" s="105" t="s">
        <v>1465</v>
      </c>
      <c r="V209" s="106" t="s">
        <v>1442</v>
      </c>
      <c r="W209" s="142"/>
      <c r="X209" s="142"/>
      <c r="Y209" s="143"/>
      <c r="Z209" s="144"/>
      <c r="AA209" s="143"/>
      <c r="AB209" s="144"/>
      <c r="AC209" s="143"/>
      <c r="AD209" s="143"/>
      <c r="AE209" s="143"/>
      <c r="AF209" s="143"/>
      <c r="AG209" s="144"/>
      <c r="AH209" s="143"/>
      <c r="AI209" s="143"/>
    </row>
    <row r="210" spans="1:35" s="112" customFormat="1" ht="24.95" hidden="1" customHeight="1" x14ac:dyDescent="0.2">
      <c r="A210" s="93">
        <f t="shared" si="3"/>
        <v>179</v>
      </c>
      <c r="B210" s="148" t="s">
        <v>717</v>
      </c>
      <c r="C210" s="219" t="s">
        <v>990</v>
      </c>
      <c r="D210" s="219" t="s">
        <v>1269</v>
      </c>
      <c r="E210" s="113" t="s">
        <v>1369</v>
      </c>
      <c r="F210" s="98">
        <v>3</v>
      </c>
      <c r="G210" s="145">
        <v>41871</v>
      </c>
      <c r="H210" s="234">
        <v>41871</v>
      </c>
      <c r="I210" s="72">
        <v>-41</v>
      </c>
      <c r="J210" s="99" t="s">
        <v>1968</v>
      </c>
      <c r="K210" s="99">
        <v>41912</v>
      </c>
      <c r="L210" s="114" t="s">
        <v>1969</v>
      </c>
      <c r="M210" s="104">
        <v>41914</v>
      </c>
      <c r="N210" s="113" t="s">
        <v>2186</v>
      </c>
      <c r="O210" s="104">
        <v>41960</v>
      </c>
      <c r="P210" s="105" t="s">
        <v>1465</v>
      </c>
      <c r="Q210" s="15" t="s">
        <v>1989</v>
      </c>
      <c r="R210" s="62">
        <v>41914</v>
      </c>
      <c r="S210" s="146" t="s">
        <v>2105</v>
      </c>
      <c r="T210" s="104">
        <v>41927</v>
      </c>
      <c r="U210" s="105" t="s">
        <v>1465</v>
      </c>
      <c r="V210" s="106" t="s">
        <v>1442</v>
      </c>
      <c r="W210" s="142"/>
      <c r="X210" s="142"/>
      <c r="Y210" s="143"/>
      <c r="Z210" s="144"/>
      <c r="AA210" s="143"/>
      <c r="AB210" s="144"/>
      <c r="AC210" s="143"/>
      <c r="AD210" s="143"/>
      <c r="AE210" s="143"/>
      <c r="AF210" s="143"/>
      <c r="AG210" s="144"/>
      <c r="AH210" s="143"/>
      <c r="AI210" s="143"/>
    </row>
    <row r="211" spans="1:35" s="112" customFormat="1" ht="24.95" hidden="1" customHeight="1" x14ac:dyDescent="0.2">
      <c r="A211" s="93">
        <f t="shared" si="3"/>
        <v>180</v>
      </c>
      <c r="B211" s="148" t="s">
        <v>718</v>
      </c>
      <c r="C211" s="219" t="s">
        <v>991</v>
      </c>
      <c r="D211" s="219" t="s">
        <v>1270</v>
      </c>
      <c r="E211" s="113" t="s">
        <v>1369</v>
      </c>
      <c r="F211" s="98">
        <v>3</v>
      </c>
      <c r="G211" s="145">
        <v>41875</v>
      </c>
      <c r="H211" s="234">
        <v>41875</v>
      </c>
      <c r="I211" s="72">
        <v>-36</v>
      </c>
      <c r="J211" s="99" t="s">
        <v>1954</v>
      </c>
      <c r="K211" s="61">
        <v>41911</v>
      </c>
      <c r="L211" s="114" t="s">
        <v>1955</v>
      </c>
      <c r="M211" s="18">
        <v>41912</v>
      </c>
      <c r="N211" s="113" t="s">
        <v>2047</v>
      </c>
      <c r="O211" s="104">
        <v>41918</v>
      </c>
      <c r="P211" s="105" t="s">
        <v>1465</v>
      </c>
      <c r="Q211" s="15" t="s">
        <v>1992</v>
      </c>
      <c r="R211" s="62">
        <v>41914</v>
      </c>
      <c r="S211" s="146" t="s">
        <v>2105</v>
      </c>
      <c r="T211" s="104">
        <v>41927</v>
      </c>
      <c r="U211" s="105" t="s">
        <v>1465</v>
      </c>
      <c r="V211" s="106" t="s">
        <v>1442</v>
      </c>
      <c r="W211" s="142"/>
      <c r="X211" s="142"/>
      <c r="Y211" s="143"/>
      <c r="Z211" s="144"/>
      <c r="AA211" s="143"/>
      <c r="AB211" s="144"/>
      <c r="AC211" s="143"/>
      <c r="AD211" s="143"/>
      <c r="AE211" s="143"/>
      <c r="AF211" s="143"/>
      <c r="AG211" s="144"/>
      <c r="AH211" s="143"/>
      <c r="AI211" s="143"/>
    </row>
    <row r="212" spans="1:35" s="112" customFormat="1" ht="21" x14ac:dyDescent="0.2">
      <c r="A212" s="93">
        <f t="shared" si="3"/>
        <v>181</v>
      </c>
      <c r="B212" s="220" t="s">
        <v>719</v>
      </c>
      <c r="C212" s="219" t="s">
        <v>992</v>
      </c>
      <c r="D212" s="219" t="s">
        <v>1271</v>
      </c>
      <c r="E212" s="46" t="s">
        <v>1369</v>
      </c>
      <c r="F212" s="98">
        <v>3</v>
      </c>
      <c r="G212" s="232">
        <v>42095</v>
      </c>
      <c r="H212" s="225">
        <v>42095</v>
      </c>
      <c r="I212" s="72">
        <v>-152</v>
      </c>
      <c r="J212" s="99" t="s">
        <v>2774</v>
      </c>
      <c r="K212" s="99">
        <v>42247</v>
      </c>
      <c r="L212" s="114" t="s">
        <v>2775</v>
      </c>
      <c r="M212" s="18">
        <v>42249</v>
      </c>
      <c r="N212" s="174" t="s">
        <v>2941</v>
      </c>
      <c r="O212" s="278" t="s">
        <v>2942</v>
      </c>
      <c r="P212" s="114">
        <v>1</v>
      </c>
      <c r="Q212" s="17" t="s">
        <v>2792</v>
      </c>
      <c r="R212" s="62">
        <v>42249</v>
      </c>
      <c r="S212" s="46" t="s">
        <v>2801</v>
      </c>
      <c r="T212" s="104">
        <v>42253</v>
      </c>
      <c r="U212" s="114" t="s">
        <v>1369</v>
      </c>
      <c r="V212" s="106" t="s">
        <v>1442</v>
      </c>
      <c r="W212" s="142"/>
      <c r="X212" s="142"/>
      <c r="Y212" s="143"/>
      <c r="Z212" s="144"/>
      <c r="AA212" s="143"/>
      <c r="AB212" s="144"/>
      <c r="AC212" s="143"/>
      <c r="AD212" s="143"/>
      <c r="AE212" s="143"/>
      <c r="AF212" s="143"/>
      <c r="AG212" s="144"/>
      <c r="AH212" s="143"/>
      <c r="AI212" s="143"/>
    </row>
    <row r="213" spans="1:35" s="112" customFormat="1" ht="24.95" customHeight="1" x14ac:dyDescent="0.2">
      <c r="A213" s="93">
        <f t="shared" si="3"/>
        <v>182</v>
      </c>
      <c r="B213" s="514" t="s">
        <v>720</v>
      </c>
      <c r="C213" s="510" t="s">
        <v>993</v>
      </c>
      <c r="D213" s="510" t="s">
        <v>1272</v>
      </c>
      <c r="E213" s="46" t="s">
        <v>1369</v>
      </c>
      <c r="F213" s="98">
        <v>3</v>
      </c>
      <c r="G213" s="232">
        <v>42109</v>
      </c>
      <c r="H213" s="225">
        <v>42109</v>
      </c>
      <c r="I213" s="72">
        <v>-5</v>
      </c>
      <c r="J213" s="61" t="s">
        <v>2327</v>
      </c>
      <c r="K213" s="99">
        <v>42114</v>
      </c>
      <c r="L213" s="17" t="s">
        <v>2329</v>
      </c>
      <c r="M213" s="18">
        <v>42123</v>
      </c>
      <c r="N213" s="46" t="s">
        <v>2364</v>
      </c>
      <c r="O213" s="104">
        <v>42141</v>
      </c>
      <c r="P213" s="114">
        <v>2</v>
      </c>
      <c r="Q213" s="114" t="s">
        <v>2339</v>
      </c>
      <c r="R213" s="18">
        <v>42137</v>
      </c>
      <c r="S213" s="46" t="s">
        <v>2353</v>
      </c>
      <c r="T213" s="104">
        <v>42142</v>
      </c>
      <c r="U213" s="114" t="s">
        <v>1369</v>
      </c>
      <c r="V213" s="106" t="s">
        <v>1442</v>
      </c>
      <c r="W213" s="142"/>
      <c r="X213" s="142"/>
      <c r="Y213" s="143"/>
      <c r="Z213" s="144"/>
      <c r="AA213" s="143"/>
      <c r="AB213" s="144"/>
      <c r="AC213" s="143"/>
      <c r="AD213" s="143"/>
      <c r="AE213" s="143"/>
      <c r="AF213" s="143"/>
      <c r="AG213" s="144"/>
      <c r="AH213" s="143"/>
      <c r="AI213" s="143"/>
    </row>
    <row r="214" spans="1:35" s="112" customFormat="1" ht="24.95" customHeight="1" x14ac:dyDescent="0.2">
      <c r="A214" s="93"/>
      <c r="B214" s="515"/>
      <c r="C214" s="511"/>
      <c r="D214" s="511"/>
      <c r="E214" s="46" t="s">
        <v>1432</v>
      </c>
      <c r="F214" s="98" t="s">
        <v>1442</v>
      </c>
      <c r="G214" s="232"/>
      <c r="H214" s="225"/>
      <c r="I214" s="72"/>
      <c r="J214" s="61" t="s">
        <v>2708</v>
      </c>
      <c r="K214" s="99">
        <v>42241</v>
      </c>
      <c r="L214" s="17" t="s">
        <v>2709</v>
      </c>
      <c r="M214" s="18">
        <v>42241</v>
      </c>
      <c r="N214" s="46" t="s">
        <v>2760</v>
      </c>
      <c r="O214" s="104">
        <v>42243</v>
      </c>
      <c r="P214" s="114">
        <v>1</v>
      </c>
      <c r="Q214" s="114" t="s">
        <v>2718</v>
      </c>
      <c r="R214" s="62">
        <v>42242</v>
      </c>
      <c r="S214" s="46" t="s">
        <v>2802</v>
      </c>
      <c r="T214" s="104">
        <v>42253</v>
      </c>
      <c r="U214" s="114" t="s">
        <v>1369</v>
      </c>
      <c r="V214" s="106" t="s">
        <v>1442</v>
      </c>
      <c r="W214" s="142"/>
      <c r="X214" s="142"/>
      <c r="Y214" s="143"/>
      <c r="Z214" s="144"/>
      <c r="AA214" s="143"/>
      <c r="AB214" s="144"/>
      <c r="AC214" s="143"/>
      <c r="AD214" s="143"/>
      <c r="AE214" s="143"/>
      <c r="AF214" s="143"/>
      <c r="AG214" s="144"/>
      <c r="AH214" s="143"/>
      <c r="AI214" s="143"/>
    </row>
    <row r="215" spans="1:35" s="112" customFormat="1" ht="24.95" customHeight="1" x14ac:dyDescent="0.2">
      <c r="A215" s="93">
        <f>A213+1</f>
        <v>183</v>
      </c>
      <c r="B215" s="220" t="s">
        <v>721</v>
      </c>
      <c r="C215" s="219" t="s">
        <v>994</v>
      </c>
      <c r="D215" s="219" t="s">
        <v>1273</v>
      </c>
      <c r="E215" s="46" t="s">
        <v>1369</v>
      </c>
      <c r="F215" s="98">
        <v>3</v>
      </c>
      <c r="G215" s="232">
        <v>42123</v>
      </c>
      <c r="H215" s="225">
        <v>42123</v>
      </c>
      <c r="I215" s="72">
        <v>14</v>
      </c>
      <c r="J215" s="61" t="s">
        <v>2322</v>
      </c>
      <c r="K215" s="99">
        <v>42109</v>
      </c>
      <c r="L215" s="17" t="s">
        <v>2323</v>
      </c>
      <c r="M215" s="18">
        <v>42123</v>
      </c>
      <c r="N215" s="46" t="s">
        <v>2360</v>
      </c>
      <c r="O215" s="104">
        <v>42142</v>
      </c>
      <c r="P215" s="114">
        <v>1</v>
      </c>
      <c r="Q215" s="114" t="s">
        <v>2342</v>
      </c>
      <c r="R215" s="18">
        <v>42137</v>
      </c>
      <c r="S215" s="46" t="s">
        <v>2354</v>
      </c>
      <c r="T215" s="104">
        <v>42142</v>
      </c>
      <c r="U215" s="114" t="s">
        <v>1369</v>
      </c>
      <c r="V215" s="106" t="s">
        <v>1442</v>
      </c>
      <c r="W215" s="142"/>
      <c r="X215" s="142"/>
      <c r="Y215" s="143"/>
      <c r="Z215" s="144"/>
      <c r="AA215" s="143"/>
      <c r="AB215" s="144"/>
      <c r="AC215" s="143"/>
      <c r="AD215" s="143"/>
      <c r="AE215" s="143"/>
      <c r="AF215" s="143"/>
      <c r="AG215" s="144"/>
      <c r="AH215" s="143"/>
      <c r="AI215" s="143"/>
    </row>
    <row r="216" spans="1:35" s="112" customFormat="1" ht="24.95" customHeight="1" x14ac:dyDescent="0.2">
      <c r="A216" s="93">
        <f t="shared" si="3"/>
        <v>184</v>
      </c>
      <c r="B216" s="220" t="s">
        <v>722</v>
      </c>
      <c r="C216" s="219" t="s">
        <v>995</v>
      </c>
      <c r="D216" s="219" t="s">
        <v>1274</v>
      </c>
      <c r="E216" s="46" t="s">
        <v>1369</v>
      </c>
      <c r="F216" s="98">
        <v>3</v>
      </c>
      <c r="G216" s="232">
        <v>42137</v>
      </c>
      <c r="H216" s="225">
        <v>42137</v>
      </c>
      <c r="I216" s="72">
        <v>-89</v>
      </c>
      <c r="J216" s="99" t="s">
        <v>2592</v>
      </c>
      <c r="K216" s="99">
        <v>42227</v>
      </c>
      <c r="L216" s="114" t="s">
        <v>2593</v>
      </c>
      <c r="M216" s="18">
        <v>42228</v>
      </c>
      <c r="N216" s="46" t="s">
        <v>2677</v>
      </c>
      <c r="O216" s="250">
        <v>42234</v>
      </c>
      <c r="P216" s="114">
        <v>1</v>
      </c>
      <c r="Q216" s="114" t="s">
        <v>2605</v>
      </c>
      <c r="R216" s="18">
        <v>42228</v>
      </c>
      <c r="S216" s="46" t="s">
        <v>2628</v>
      </c>
      <c r="T216" s="245">
        <v>42232</v>
      </c>
      <c r="U216" s="244" t="s">
        <v>1369</v>
      </c>
      <c r="V216" s="106" t="s">
        <v>1442</v>
      </c>
      <c r="W216" s="142"/>
      <c r="X216" s="142"/>
      <c r="Y216" s="143"/>
      <c r="Z216" s="144"/>
      <c r="AA216" s="143"/>
      <c r="AB216" s="144"/>
      <c r="AC216" s="143"/>
      <c r="AD216" s="143"/>
      <c r="AE216" s="143"/>
      <c r="AF216" s="143"/>
      <c r="AG216" s="144"/>
      <c r="AH216" s="143"/>
      <c r="AI216" s="143"/>
    </row>
    <row r="217" spans="1:35" s="112" customFormat="1" ht="24.95" customHeight="1" x14ac:dyDescent="0.2">
      <c r="A217" s="93">
        <f t="shared" si="3"/>
        <v>185</v>
      </c>
      <c r="B217" s="220" t="s">
        <v>723</v>
      </c>
      <c r="C217" s="219" t="s">
        <v>996</v>
      </c>
      <c r="D217" s="219" t="s">
        <v>1275</v>
      </c>
      <c r="E217" s="46" t="s">
        <v>1369</v>
      </c>
      <c r="F217" s="98">
        <v>3</v>
      </c>
      <c r="G217" s="232">
        <v>42151</v>
      </c>
      <c r="H217" s="225">
        <v>42151</v>
      </c>
      <c r="I217" s="72">
        <v>37</v>
      </c>
      <c r="J217" s="61" t="s">
        <v>2327</v>
      </c>
      <c r="K217" s="99">
        <v>42114</v>
      </c>
      <c r="L217" s="17" t="s">
        <v>2329</v>
      </c>
      <c r="M217" s="18">
        <v>42123</v>
      </c>
      <c r="N217" s="46" t="s">
        <v>2364</v>
      </c>
      <c r="O217" s="104">
        <v>42141</v>
      </c>
      <c r="P217" s="114">
        <v>2</v>
      </c>
      <c r="Q217" s="114" t="s">
        <v>2339</v>
      </c>
      <c r="R217" s="18">
        <v>42137</v>
      </c>
      <c r="S217" s="46" t="s">
        <v>2352</v>
      </c>
      <c r="T217" s="104">
        <v>42142</v>
      </c>
      <c r="U217" s="114" t="s">
        <v>1369</v>
      </c>
      <c r="V217" s="106" t="s">
        <v>3066</v>
      </c>
      <c r="W217" s="142"/>
      <c r="X217" s="142"/>
      <c r="Y217" s="143"/>
      <c r="Z217" s="144"/>
      <c r="AA217" s="143"/>
      <c r="AB217" s="144"/>
      <c r="AC217" s="143"/>
      <c r="AD217" s="143"/>
      <c r="AE217" s="143"/>
      <c r="AF217" s="143"/>
      <c r="AG217" s="144"/>
      <c r="AH217" s="143"/>
      <c r="AI217" s="143"/>
    </row>
    <row r="218" spans="1:35" s="112" customFormat="1" ht="24.95" customHeight="1" x14ac:dyDescent="0.2">
      <c r="A218" s="93">
        <f t="shared" si="3"/>
        <v>186</v>
      </c>
      <c r="B218" s="220" t="s">
        <v>724</v>
      </c>
      <c r="C218" s="219" t="s">
        <v>997</v>
      </c>
      <c r="D218" s="219" t="s">
        <v>1276</v>
      </c>
      <c r="E218" s="46" t="s">
        <v>1369</v>
      </c>
      <c r="F218" s="98">
        <v>3</v>
      </c>
      <c r="G218" s="232">
        <v>42165</v>
      </c>
      <c r="H218" s="225">
        <v>42165</v>
      </c>
      <c r="I218" s="72">
        <v>-68</v>
      </c>
      <c r="J218" s="99" t="s">
        <v>2650</v>
      </c>
      <c r="K218" s="99">
        <v>42233</v>
      </c>
      <c r="L218" s="114" t="s">
        <v>2651</v>
      </c>
      <c r="M218" s="18">
        <v>42234</v>
      </c>
      <c r="N218" s="46" t="s">
        <v>2702</v>
      </c>
      <c r="O218" s="104">
        <v>42239</v>
      </c>
      <c r="P218" s="114">
        <v>1</v>
      </c>
      <c r="Q218" s="244" t="s">
        <v>2661</v>
      </c>
      <c r="R218" s="18">
        <v>42234</v>
      </c>
      <c r="S218" s="46" t="s">
        <v>2830</v>
      </c>
      <c r="T218" s="104">
        <v>42254</v>
      </c>
      <c r="U218" s="244" t="s">
        <v>1369</v>
      </c>
      <c r="V218" s="106" t="s">
        <v>1442</v>
      </c>
      <c r="W218" s="142"/>
      <c r="X218" s="142"/>
      <c r="Y218" s="143"/>
      <c r="Z218" s="144"/>
      <c r="AA218" s="143"/>
      <c r="AB218" s="144"/>
      <c r="AC218" s="143"/>
      <c r="AD218" s="143"/>
      <c r="AE218" s="143"/>
      <c r="AF218" s="143"/>
      <c r="AG218" s="144"/>
      <c r="AH218" s="143"/>
      <c r="AI218" s="143"/>
    </row>
    <row r="219" spans="1:35" s="112" customFormat="1" ht="24.95" customHeight="1" x14ac:dyDescent="0.2">
      <c r="A219" s="93">
        <f t="shared" si="3"/>
        <v>187</v>
      </c>
      <c r="B219" s="220" t="s">
        <v>725</v>
      </c>
      <c r="C219" s="219" t="s">
        <v>998</v>
      </c>
      <c r="D219" s="219" t="s">
        <v>1277</v>
      </c>
      <c r="E219" s="46" t="s">
        <v>1369</v>
      </c>
      <c r="F219" s="98">
        <v>3</v>
      </c>
      <c r="G219" s="232">
        <v>42179</v>
      </c>
      <c r="H219" s="225">
        <v>42179</v>
      </c>
      <c r="I219" s="72">
        <v>-57</v>
      </c>
      <c r="J219" s="99" t="s">
        <v>2685</v>
      </c>
      <c r="K219" s="99">
        <v>42236</v>
      </c>
      <c r="L219" s="114" t="s">
        <v>2686</v>
      </c>
      <c r="M219" s="18">
        <v>42239</v>
      </c>
      <c r="N219" s="46" t="s">
        <v>2732</v>
      </c>
      <c r="O219" s="104">
        <v>42242</v>
      </c>
      <c r="P219" s="114">
        <v>2</v>
      </c>
      <c r="Q219" s="114" t="s">
        <v>2695</v>
      </c>
      <c r="R219" s="18">
        <v>42239</v>
      </c>
      <c r="S219" s="46" t="s">
        <v>2831</v>
      </c>
      <c r="T219" s="104">
        <v>42254</v>
      </c>
      <c r="U219" s="244" t="s">
        <v>1369</v>
      </c>
      <c r="V219" s="106" t="s">
        <v>3066</v>
      </c>
      <c r="W219" s="142"/>
      <c r="X219" s="142"/>
      <c r="Y219" s="143"/>
      <c r="Z219" s="144"/>
      <c r="AA219" s="143"/>
      <c r="AB219" s="144"/>
      <c r="AC219" s="143"/>
      <c r="AD219" s="143"/>
      <c r="AE219" s="143"/>
      <c r="AF219" s="143"/>
      <c r="AG219" s="144"/>
      <c r="AH219" s="143"/>
      <c r="AI219" s="143"/>
    </row>
    <row r="220" spans="1:35" s="112" customFormat="1" ht="24.95" customHeight="1" x14ac:dyDescent="0.2">
      <c r="A220" s="93">
        <f t="shared" si="3"/>
        <v>188</v>
      </c>
      <c r="B220" s="220" t="s">
        <v>726</v>
      </c>
      <c r="C220" s="219" t="s">
        <v>999</v>
      </c>
      <c r="D220" s="219" t="s">
        <v>1278</v>
      </c>
      <c r="E220" s="46" t="s">
        <v>1369</v>
      </c>
      <c r="F220" s="98">
        <v>3</v>
      </c>
      <c r="G220" s="232">
        <v>42193</v>
      </c>
      <c r="H220" s="225">
        <v>42193</v>
      </c>
      <c r="I220" s="72">
        <v>-57</v>
      </c>
      <c r="J220" s="99" t="s">
        <v>2795</v>
      </c>
      <c r="K220" s="99">
        <v>42250</v>
      </c>
      <c r="L220" s="114" t="s">
        <v>2796</v>
      </c>
      <c r="M220" s="18">
        <v>42253</v>
      </c>
      <c r="N220" s="133" t="s">
        <v>3007</v>
      </c>
      <c r="O220" s="104">
        <v>42264</v>
      </c>
      <c r="P220" s="114">
        <v>1</v>
      </c>
      <c r="Q220" s="17" t="s">
        <v>2842</v>
      </c>
      <c r="R220" s="18">
        <v>42254</v>
      </c>
      <c r="S220" s="46" t="s">
        <v>2914</v>
      </c>
      <c r="T220" s="104">
        <v>42261</v>
      </c>
      <c r="U220" s="244" t="s">
        <v>1369</v>
      </c>
      <c r="V220" s="106" t="s">
        <v>1442</v>
      </c>
      <c r="W220" s="142"/>
      <c r="X220" s="142"/>
      <c r="Y220" s="143"/>
      <c r="Z220" s="144"/>
      <c r="AA220" s="143"/>
      <c r="AB220" s="144"/>
      <c r="AC220" s="143"/>
      <c r="AD220" s="143"/>
      <c r="AE220" s="143"/>
      <c r="AF220" s="143"/>
      <c r="AG220" s="144"/>
      <c r="AH220" s="143"/>
      <c r="AI220" s="143"/>
    </row>
    <row r="221" spans="1:35" s="112" customFormat="1" ht="24.95" customHeight="1" x14ac:dyDescent="0.2">
      <c r="A221" s="93">
        <f t="shared" si="3"/>
        <v>189</v>
      </c>
      <c r="B221" s="220" t="s">
        <v>727</v>
      </c>
      <c r="C221" s="219" t="s">
        <v>1000</v>
      </c>
      <c r="D221" s="219" t="s">
        <v>1279</v>
      </c>
      <c r="E221" s="46" t="s">
        <v>1369</v>
      </c>
      <c r="F221" s="98">
        <v>3</v>
      </c>
      <c r="G221" s="232">
        <v>42207</v>
      </c>
      <c r="H221" s="225">
        <v>42207</v>
      </c>
      <c r="I221" s="72">
        <v>-40</v>
      </c>
      <c r="J221" s="99" t="s">
        <v>2763</v>
      </c>
      <c r="K221" s="99">
        <v>42247</v>
      </c>
      <c r="L221" s="114" t="s">
        <v>2764</v>
      </c>
      <c r="M221" s="18">
        <v>42253</v>
      </c>
      <c r="N221" s="133" t="s">
        <v>3004</v>
      </c>
      <c r="O221" s="104">
        <v>42264</v>
      </c>
      <c r="P221" s="114">
        <v>1</v>
      </c>
      <c r="Q221" s="17" t="s">
        <v>2840</v>
      </c>
      <c r="R221" s="18">
        <v>42254</v>
      </c>
      <c r="S221" s="46" t="s">
        <v>2915</v>
      </c>
      <c r="T221" s="104">
        <v>42261</v>
      </c>
      <c r="U221" s="244" t="s">
        <v>1369</v>
      </c>
      <c r="V221" s="106" t="s">
        <v>1442</v>
      </c>
      <c r="W221" s="142"/>
      <c r="X221" s="142"/>
      <c r="Y221" s="143"/>
      <c r="Z221" s="144"/>
      <c r="AA221" s="143"/>
      <c r="AB221" s="144"/>
      <c r="AC221" s="143"/>
      <c r="AD221" s="143"/>
      <c r="AE221" s="143"/>
      <c r="AF221" s="143"/>
      <c r="AG221" s="144"/>
      <c r="AH221" s="143"/>
      <c r="AI221" s="143"/>
    </row>
    <row r="222" spans="1:35" s="112" customFormat="1" ht="24.95" customHeight="1" x14ac:dyDescent="0.2">
      <c r="A222" s="93">
        <f t="shared" si="3"/>
        <v>190</v>
      </c>
      <c r="B222" s="220" t="s">
        <v>728</v>
      </c>
      <c r="C222" s="219" t="s">
        <v>1001</v>
      </c>
      <c r="D222" s="219" t="s">
        <v>1280</v>
      </c>
      <c r="E222" s="46" t="s">
        <v>1369</v>
      </c>
      <c r="F222" s="98">
        <v>3</v>
      </c>
      <c r="G222" s="232">
        <v>42221</v>
      </c>
      <c r="H222" s="225">
        <v>42221</v>
      </c>
      <c r="I222" s="72">
        <v>-28</v>
      </c>
      <c r="J222" s="99" t="s">
        <v>2780</v>
      </c>
      <c r="K222" s="99">
        <v>42249</v>
      </c>
      <c r="L222" s="114" t="s">
        <v>2781</v>
      </c>
      <c r="M222" s="18">
        <v>42250</v>
      </c>
      <c r="N222" s="133" t="s">
        <v>3003</v>
      </c>
      <c r="O222" s="104">
        <v>42264</v>
      </c>
      <c r="P222" s="114">
        <v>1</v>
      </c>
      <c r="Q222" s="114" t="s">
        <v>2819</v>
      </c>
      <c r="R222" s="62">
        <v>42253</v>
      </c>
      <c r="S222" s="46" t="s">
        <v>2916</v>
      </c>
      <c r="T222" s="104">
        <v>42261</v>
      </c>
      <c r="U222" s="244" t="s">
        <v>1369</v>
      </c>
      <c r="V222" s="106" t="s">
        <v>1442</v>
      </c>
      <c r="W222" s="142"/>
      <c r="X222" s="142"/>
      <c r="Y222" s="143"/>
      <c r="Z222" s="144"/>
      <c r="AA222" s="143"/>
      <c r="AB222" s="144"/>
      <c r="AC222" s="143"/>
      <c r="AD222" s="143"/>
      <c r="AE222" s="143"/>
      <c r="AF222" s="143"/>
      <c r="AG222" s="144"/>
      <c r="AH222" s="143"/>
      <c r="AI222" s="143"/>
    </row>
    <row r="223" spans="1:35" s="112" customFormat="1" ht="24.95" customHeight="1" x14ac:dyDescent="0.2">
      <c r="A223" s="93">
        <f t="shared" si="3"/>
        <v>191</v>
      </c>
      <c r="B223" s="514" t="s">
        <v>729</v>
      </c>
      <c r="C223" s="510" t="s">
        <v>1002</v>
      </c>
      <c r="D223" s="510" t="s">
        <v>1281</v>
      </c>
      <c r="E223" s="46" t="s">
        <v>1369</v>
      </c>
      <c r="F223" s="98">
        <v>3</v>
      </c>
      <c r="G223" s="232">
        <v>42235</v>
      </c>
      <c r="H223" s="225">
        <v>42235</v>
      </c>
      <c r="I223" s="72">
        <v>-61</v>
      </c>
      <c r="J223" s="99" t="s">
        <v>2975</v>
      </c>
      <c r="K223" s="99">
        <v>42269</v>
      </c>
      <c r="L223" s="114" t="s">
        <v>2962</v>
      </c>
      <c r="M223" s="104">
        <v>42269</v>
      </c>
      <c r="N223" s="133" t="s">
        <v>3036</v>
      </c>
      <c r="O223" s="104">
        <v>42281</v>
      </c>
      <c r="P223" s="114">
        <v>1</v>
      </c>
      <c r="Q223" s="114" t="s">
        <v>3021</v>
      </c>
      <c r="R223" s="62">
        <v>42269</v>
      </c>
      <c r="S223" s="133" t="s">
        <v>3097</v>
      </c>
      <c r="T223" s="104">
        <v>42333</v>
      </c>
      <c r="U223" s="114" t="s">
        <v>1369</v>
      </c>
      <c r="V223" s="106" t="s">
        <v>1442</v>
      </c>
      <c r="W223" s="142"/>
      <c r="X223" s="142"/>
      <c r="Y223" s="143"/>
      <c r="Z223" s="144"/>
      <c r="AA223" s="143"/>
      <c r="AB223" s="144"/>
      <c r="AC223" s="143"/>
      <c r="AD223" s="143"/>
      <c r="AE223" s="143"/>
      <c r="AF223" s="143"/>
      <c r="AG223" s="144"/>
      <c r="AH223" s="143"/>
      <c r="AI223" s="143"/>
    </row>
    <row r="224" spans="1:35" s="112" customFormat="1" ht="24.95" customHeight="1" x14ac:dyDescent="0.2">
      <c r="A224" s="93"/>
      <c r="B224" s="515"/>
      <c r="C224" s="511"/>
      <c r="D224" s="511"/>
      <c r="E224" s="46" t="s">
        <v>1432</v>
      </c>
      <c r="F224" s="98"/>
      <c r="G224" s="232"/>
      <c r="H224" s="225"/>
      <c r="I224" s="72"/>
      <c r="J224" s="99" t="s">
        <v>3220</v>
      </c>
      <c r="K224" s="99">
        <v>42407</v>
      </c>
      <c r="L224" s="114" t="s">
        <v>3222</v>
      </c>
      <c r="M224" s="175">
        <v>42046</v>
      </c>
      <c r="N224" s="133" t="s">
        <v>3294</v>
      </c>
      <c r="O224" s="104">
        <v>42444</v>
      </c>
      <c r="P224" s="114">
        <v>1</v>
      </c>
      <c r="Q224" s="114" t="s">
        <v>3248</v>
      </c>
      <c r="R224" s="62">
        <v>42414</v>
      </c>
      <c r="S224" s="133"/>
      <c r="T224" s="104"/>
      <c r="U224" s="114"/>
      <c r="V224" s="106" t="s">
        <v>1552</v>
      </c>
      <c r="W224" s="142"/>
      <c r="X224" s="142"/>
      <c r="Y224" s="143"/>
      <c r="Z224" s="144"/>
      <c r="AA224" s="143"/>
      <c r="AB224" s="144"/>
      <c r="AC224" s="143"/>
      <c r="AD224" s="143"/>
      <c r="AE224" s="143"/>
      <c r="AF224" s="143"/>
      <c r="AG224" s="144"/>
      <c r="AH224" s="143"/>
      <c r="AI224" s="143"/>
    </row>
    <row r="225" spans="1:35" s="112" customFormat="1" ht="24.95" customHeight="1" x14ac:dyDescent="0.2">
      <c r="A225" s="93">
        <f>A223+1</f>
        <v>192</v>
      </c>
      <c r="B225" s="514" t="s">
        <v>730</v>
      </c>
      <c r="C225" s="510" t="s">
        <v>1003</v>
      </c>
      <c r="D225" s="510" t="s">
        <v>1282</v>
      </c>
      <c r="E225" s="46" t="s">
        <v>1369</v>
      </c>
      <c r="F225" s="98">
        <v>3</v>
      </c>
      <c r="G225" s="232">
        <v>42249</v>
      </c>
      <c r="H225" s="225">
        <v>42249</v>
      </c>
      <c r="I225" s="72">
        <v>-47</v>
      </c>
      <c r="J225" s="99" t="s">
        <v>2975</v>
      </c>
      <c r="K225" s="99">
        <v>42269</v>
      </c>
      <c r="L225" s="114" t="s">
        <v>2962</v>
      </c>
      <c r="M225" s="104">
        <v>42269</v>
      </c>
      <c r="N225" s="133" t="s">
        <v>3036</v>
      </c>
      <c r="O225" s="104">
        <v>42281</v>
      </c>
      <c r="P225" s="114">
        <v>1</v>
      </c>
      <c r="Q225" s="114" t="s">
        <v>3021</v>
      </c>
      <c r="R225" s="62">
        <v>42269</v>
      </c>
      <c r="S225" s="133" t="s">
        <v>3098</v>
      </c>
      <c r="T225" s="104">
        <v>42333</v>
      </c>
      <c r="U225" s="114" t="s">
        <v>1369</v>
      </c>
      <c r="V225" s="106" t="s">
        <v>1442</v>
      </c>
      <c r="W225" s="142"/>
      <c r="X225" s="142"/>
      <c r="Y225" s="143"/>
      <c r="Z225" s="144"/>
      <c r="AA225" s="143"/>
      <c r="AB225" s="144"/>
      <c r="AC225" s="143"/>
      <c r="AD225" s="143"/>
      <c r="AE225" s="143"/>
      <c r="AF225" s="143"/>
      <c r="AG225" s="144"/>
      <c r="AH225" s="143"/>
      <c r="AI225" s="143"/>
    </row>
    <row r="226" spans="1:35" s="112" customFormat="1" ht="24.95" customHeight="1" x14ac:dyDescent="0.2">
      <c r="A226" s="93"/>
      <c r="B226" s="515"/>
      <c r="C226" s="511"/>
      <c r="D226" s="511"/>
      <c r="E226" s="46" t="s">
        <v>1432</v>
      </c>
      <c r="F226" s="98"/>
      <c r="G226" s="232"/>
      <c r="H226" s="225"/>
      <c r="I226" s="72"/>
      <c r="J226" s="99" t="s">
        <v>3220</v>
      </c>
      <c r="K226" s="99">
        <v>42407</v>
      </c>
      <c r="L226" s="114" t="s">
        <v>3222</v>
      </c>
      <c r="M226" s="175">
        <v>42046</v>
      </c>
      <c r="N226" s="133" t="s">
        <v>3294</v>
      </c>
      <c r="O226" s="104">
        <v>42444</v>
      </c>
      <c r="P226" s="114">
        <v>1</v>
      </c>
      <c r="Q226" s="114" t="s">
        <v>3248</v>
      </c>
      <c r="R226" s="62">
        <v>42414</v>
      </c>
      <c r="S226" s="133"/>
      <c r="T226" s="104"/>
      <c r="U226" s="114"/>
      <c r="V226" s="106" t="s">
        <v>1552</v>
      </c>
      <c r="W226" s="142"/>
      <c r="X226" s="142"/>
      <c r="Y226" s="143"/>
      <c r="Z226" s="144"/>
      <c r="AA226" s="143"/>
      <c r="AB226" s="144"/>
      <c r="AC226" s="143"/>
      <c r="AD226" s="143"/>
      <c r="AE226" s="143"/>
      <c r="AF226" s="143"/>
      <c r="AG226" s="144"/>
      <c r="AH226" s="143"/>
      <c r="AI226" s="143"/>
    </row>
    <row r="227" spans="1:35" s="112" customFormat="1" ht="24.95" customHeight="1" x14ac:dyDescent="0.2">
      <c r="A227" s="93">
        <f>A225+1</f>
        <v>193</v>
      </c>
      <c r="B227" s="220" t="s">
        <v>2896</v>
      </c>
      <c r="C227" s="219" t="s">
        <v>1004</v>
      </c>
      <c r="D227" s="219" t="s">
        <v>1283</v>
      </c>
      <c r="E227" s="46" t="s">
        <v>1369</v>
      </c>
      <c r="F227" s="98">
        <v>3</v>
      </c>
      <c r="G227" s="232">
        <v>42263</v>
      </c>
      <c r="H227" s="225">
        <v>42263</v>
      </c>
      <c r="I227" s="72">
        <v>2</v>
      </c>
      <c r="J227" s="274" t="s">
        <v>2892</v>
      </c>
      <c r="K227" s="274">
        <v>42260</v>
      </c>
      <c r="L227" s="114" t="s">
        <v>2897</v>
      </c>
      <c r="M227" s="104">
        <v>42261</v>
      </c>
      <c r="N227" s="133" t="s">
        <v>3030</v>
      </c>
      <c r="O227" s="250">
        <v>42277</v>
      </c>
      <c r="P227" s="114">
        <v>1</v>
      </c>
      <c r="Q227" s="17" t="s">
        <v>2920</v>
      </c>
      <c r="R227" s="18">
        <v>42262</v>
      </c>
      <c r="S227" s="133" t="s">
        <v>2986</v>
      </c>
      <c r="T227" s="104">
        <v>42267</v>
      </c>
      <c r="U227" s="114" t="s">
        <v>1369</v>
      </c>
      <c r="V227" s="106" t="s">
        <v>1442</v>
      </c>
      <c r="W227" s="142"/>
      <c r="X227" s="142"/>
      <c r="Y227" s="143"/>
      <c r="Z227" s="144"/>
      <c r="AA227" s="143"/>
      <c r="AB227" s="144"/>
      <c r="AC227" s="143"/>
      <c r="AD227" s="143"/>
      <c r="AE227" s="143"/>
      <c r="AF227" s="143"/>
      <c r="AG227" s="144"/>
      <c r="AH227" s="143"/>
      <c r="AI227" s="143"/>
    </row>
    <row r="228" spans="1:35" s="112" customFormat="1" ht="24.95" hidden="1" customHeight="1" x14ac:dyDescent="0.2">
      <c r="A228" s="93">
        <f t="shared" si="3"/>
        <v>194</v>
      </c>
      <c r="B228" s="516" t="s">
        <v>731</v>
      </c>
      <c r="C228" s="502" t="s">
        <v>1005</v>
      </c>
      <c r="D228" s="502" t="s">
        <v>1284</v>
      </c>
      <c r="E228" s="46" t="s">
        <v>1369</v>
      </c>
      <c r="F228" s="98">
        <v>2</v>
      </c>
      <c r="G228" s="145">
        <v>41888</v>
      </c>
      <c r="H228" s="235"/>
      <c r="I228" s="72">
        <v>-39</v>
      </c>
      <c r="J228" s="99" t="s">
        <v>2002</v>
      </c>
      <c r="K228" s="99" t="s">
        <v>1442</v>
      </c>
      <c r="L228" s="114" t="s">
        <v>2034</v>
      </c>
      <c r="M228" s="104">
        <v>41927</v>
      </c>
      <c r="N228" s="113" t="s">
        <v>2066</v>
      </c>
      <c r="O228" s="104">
        <v>41933</v>
      </c>
      <c r="P228" s="105" t="s">
        <v>1465</v>
      </c>
      <c r="Q228" s="187" t="s">
        <v>2033</v>
      </c>
      <c r="R228" s="62">
        <v>41928</v>
      </c>
      <c r="S228" s="146" t="s">
        <v>2112</v>
      </c>
      <c r="T228" s="104">
        <v>41941</v>
      </c>
      <c r="U228" s="105" t="s">
        <v>1465</v>
      </c>
      <c r="V228" s="106" t="s">
        <v>1442</v>
      </c>
      <c r="W228" s="142"/>
      <c r="X228" s="142"/>
      <c r="Y228" s="143"/>
      <c r="Z228" s="144"/>
      <c r="AA228" s="143"/>
      <c r="AB228" s="144"/>
      <c r="AC228" s="143"/>
      <c r="AD228" s="143"/>
      <c r="AE228" s="143"/>
      <c r="AF228" s="143"/>
      <c r="AG228" s="144"/>
      <c r="AH228" s="143"/>
      <c r="AI228" s="143"/>
    </row>
    <row r="229" spans="1:35" s="112" customFormat="1" ht="24.95" hidden="1" customHeight="1" x14ac:dyDescent="0.2">
      <c r="A229" s="93"/>
      <c r="B229" s="516"/>
      <c r="C229" s="502"/>
      <c r="D229" s="502"/>
      <c r="E229" s="46" t="s">
        <v>1432</v>
      </c>
      <c r="F229" s="98" t="s">
        <v>1442</v>
      </c>
      <c r="G229" s="145" t="s">
        <v>1442</v>
      </c>
      <c r="H229" s="235"/>
      <c r="I229" s="72" t="s">
        <v>1442</v>
      </c>
      <c r="J229" s="61" t="s">
        <v>2148</v>
      </c>
      <c r="K229" s="61">
        <v>41952</v>
      </c>
      <c r="L229" s="114" t="s">
        <v>2150</v>
      </c>
      <c r="M229" s="104">
        <v>41953</v>
      </c>
      <c r="N229" s="113" t="s">
        <v>2171</v>
      </c>
      <c r="O229" s="104">
        <v>41959</v>
      </c>
      <c r="P229" s="105" t="s">
        <v>1465</v>
      </c>
      <c r="Q229" s="202" t="s">
        <v>2153</v>
      </c>
      <c r="R229" s="62">
        <v>41954</v>
      </c>
      <c r="S229" s="146" t="s">
        <v>2164</v>
      </c>
      <c r="T229" s="104">
        <v>41956</v>
      </c>
      <c r="U229" s="105" t="s">
        <v>1465</v>
      </c>
      <c r="V229" s="190" t="s">
        <v>1442</v>
      </c>
      <c r="W229" s="142"/>
      <c r="X229" s="142"/>
      <c r="Y229" s="143"/>
      <c r="Z229" s="144"/>
      <c r="AA229" s="143"/>
      <c r="AB229" s="144"/>
      <c r="AC229" s="143"/>
      <c r="AD229" s="143"/>
      <c r="AE229" s="143"/>
      <c r="AF229" s="143"/>
      <c r="AG229" s="144"/>
      <c r="AH229" s="143"/>
      <c r="AI229" s="143"/>
    </row>
    <row r="230" spans="1:35" s="112" customFormat="1" ht="24.95" hidden="1" customHeight="1" x14ac:dyDescent="0.2">
      <c r="A230" s="93">
        <f>A228+1</f>
        <v>195</v>
      </c>
      <c r="B230" s="516" t="s">
        <v>732</v>
      </c>
      <c r="C230" s="502" t="s">
        <v>1006</v>
      </c>
      <c r="D230" s="502" t="s">
        <v>1285</v>
      </c>
      <c r="E230" s="46" t="s">
        <v>1369</v>
      </c>
      <c r="F230" s="98">
        <v>2</v>
      </c>
      <c r="G230" s="145">
        <v>41855</v>
      </c>
      <c r="H230" s="235"/>
      <c r="I230" s="72">
        <v>-50</v>
      </c>
      <c r="J230" s="145" t="s">
        <v>1908</v>
      </c>
      <c r="K230" s="145">
        <v>41906</v>
      </c>
      <c r="L230" s="131" t="s">
        <v>1909</v>
      </c>
      <c r="M230" s="175">
        <v>41907</v>
      </c>
      <c r="N230" s="113" t="s">
        <v>2185</v>
      </c>
      <c r="O230" s="104">
        <v>41959</v>
      </c>
      <c r="P230" s="105" t="s">
        <v>1465</v>
      </c>
      <c r="Q230" s="15" t="s">
        <v>1948</v>
      </c>
      <c r="R230" s="62">
        <v>41909</v>
      </c>
      <c r="S230" s="146" t="s">
        <v>1982</v>
      </c>
      <c r="T230" s="104">
        <v>41913</v>
      </c>
      <c r="U230" s="105" t="s">
        <v>1465</v>
      </c>
      <c r="V230" s="106" t="s">
        <v>1442</v>
      </c>
      <c r="W230" s="142"/>
      <c r="X230" s="142"/>
      <c r="Y230" s="143"/>
      <c r="Z230" s="144"/>
      <c r="AA230" s="143"/>
      <c r="AB230" s="144"/>
      <c r="AC230" s="143"/>
      <c r="AD230" s="143"/>
      <c r="AE230" s="143"/>
      <c r="AF230" s="143"/>
      <c r="AG230" s="144"/>
      <c r="AH230" s="143"/>
      <c r="AI230" s="143"/>
    </row>
    <row r="231" spans="1:35" s="112" customFormat="1" ht="24.95" hidden="1" customHeight="1" x14ac:dyDescent="0.2">
      <c r="A231" s="93"/>
      <c r="B231" s="516"/>
      <c r="C231" s="502"/>
      <c r="D231" s="502"/>
      <c r="E231" s="46" t="s">
        <v>1432</v>
      </c>
      <c r="F231" s="98"/>
      <c r="G231" s="145"/>
      <c r="H231" s="235"/>
      <c r="I231" s="72"/>
      <c r="J231" s="99" t="s">
        <v>1997</v>
      </c>
      <c r="K231" s="62">
        <v>41939</v>
      </c>
      <c r="L231" s="114" t="s">
        <v>1998</v>
      </c>
      <c r="M231" s="175">
        <v>41941</v>
      </c>
      <c r="N231" s="113" t="s">
        <v>2145</v>
      </c>
      <c r="O231" s="104">
        <v>41947</v>
      </c>
      <c r="P231" s="105" t="s">
        <v>1465</v>
      </c>
      <c r="Q231" s="187" t="s">
        <v>2118</v>
      </c>
      <c r="R231" s="62">
        <v>41214</v>
      </c>
      <c r="S231" s="146" t="s">
        <v>2128</v>
      </c>
      <c r="T231" s="104">
        <v>41945</v>
      </c>
      <c r="U231" s="105" t="s">
        <v>1465</v>
      </c>
      <c r="V231" s="106" t="s">
        <v>1442</v>
      </c>
      <c r="W231" s="142"/>
      <c r="X231" s="142"/>
      <c r="Y231" s="143"/>
      <c r="Z231" s="144"/>
      <c r="AA231" s="143"/>
      <c r="AB231" s="144"/>
      <c r="AC231" s="143"/>
      <c r="AD231" s="143"/>
      <c r="AE231" s="143"/>
      <c r="AF231" s="143"/>
      <c r="AG231" s="144"/>
      <c r="AH231" s="143"/>
      <c r="AI231" s="143"/>
    </row>
    <row r="232" spans="1:35" s="112" customFormat="1" ht="24.95" hidden="1" customHeight="1" x14ac:dyDescent="0.2">
      <c r="A232" s="93">
        <f>A230+1</f>
        <v>196</v>
      </c>
      <c r="B232" s="516" t="s">
        <v>733</v>
      </c>
      <c r="C232" s="502" t="s">
        <v>1007</v>
      </c>
      <c r="D232" s="502" t="s">
        <v>1286</v>
      </c>
      <c r="E232" s="46" t="s">
        <v>1369</v>
      </c>
      <c r="F232" s="98">
        <v>2</v>
      </c>
      <c r="G232" s="145">
        <v>41859</v>
      </c>
      <c r="H232" s="235"/>
      <c r="I232" s="72">
        <v>-52</v>
      </c>
      <c r="J232" s="99" t="s">
        <v>1954</v>
      </c>
      <c r="K232" s="61">
        <v>41911</v>
      </c>
      <c r="L232" s="114" t="s">
        <v>1955</v>
      </c>
      <c r="M232" s="18">
        <v>41912</v>
      </c>
      <c r="N232" s="113" t="s">
        <v>2047</v>
      </c>
      <c r="O232" s="104">
        <v>41918</v>
      </c>
      <c r="P232" s="105" t="s">
        <v>1465</v>
      </c>
      <c r="Q232" s="15" t="s">
        <v>1992</v>
      </c>
      <c r="R232" s="62">
        <v>41914</v>
      </c>
      <c r="S232" s="146" t="s">
        <v>2102</v>
      </c>
      <c r="T232" s="104">
        <v>41925</v>
      </c>
      <c r="U232" s="105" t="s">
        <v>1465</v>
      </c>
      <c r="V232" s="106" t="s">
        <v>1442</v>
      </c>
      <c r="W232" s="142"/>
      <c r="X232" s="142"/>
      <c r="Y232" s="143"/>
      <c r="Z232" s="144"/>
      <c r="AA232" s="143"/>
      <c r="AB232" s="144"/>
      <c r="AC232" s="143"/>
      <c r="AD232" s="143"/>
      <c r="AE232" s="143"/>
      <c r="AF232" s="143"/>
      <c r="AG232" s="144"/>
      <c r="AH232" s="143"/>
      <c r="AI232" s="143"/>
    </row>
    <row r="233" spans="1:35" s="112" customFormat="1" ht="24.95" hidden="1" customHeight="1" x14ac:dyDescent="0.2">
      <c r="A233" s="93"/>
      <c r="B233" s="516"/>
      <c r="C233" s="502"/>
      <c r="D233" s="502"/>
      <c r="E233" s="46" t="s">
        <v>1432</v>
      </c>
      <c r="F233" s="98"/>
      <c r="G233" s="145"/>
      <c r="H233" s="235"/>
      <c r="I233" s="72"/>
      <c r="J233" s="99" t="s">
        <v>1993</v>
      </c>
      <c r="K233" s="62">
        <v>41939</v>
      </c>
      <c r="L233" s="114" t="s">
        <v>1994</v>
      </c>
      <c r="M233" s="175">
        <v>41940</v>
      </c>
      <c r="N233" s="113" t="s">
        <v>2134</v>
      </c>
      <c r="O233" s="104">
        <v>41946</v>
      </c>
      <c r="P233" s="105" t="s">
        <v>1465</v>
      </c>
      <c r="Q233" s="187" t="s">
        <v>2070</v>
      </c>
      <c r="R233" s="62">
        <v>41941</v>
      </c>
      <c r="S233" s="146" t="s">
        <v>2121</v>
      </c>
      <c r="T233" s="104">
        <v>41945</v>
      </c>
      <c r="U233" s="105" t="s">
        <v>1465</v>
      </c>
      <c r="V233" s="106" t="s">
        <v>1442</v>
      </c>
      <c r="W233" s="142"/>
      <c r="X233" s="142"/>
      <c r="Y233" s="143"/>
      <c r="Z233" s="144"/>
      <c r="AA233" s="143"/>
      <c r="AB233" s="144"/>
      <c r="AC233" s="143"/>
      <c r="AD233" s="143"/>
      <c r="AE233" s="143"/>
      <c r="AF233" s="143"/>
      <c r="AG233" s="144"/>
      <c r="AH233" s="143"/>
      <c r="AI233" s="143"/>
    </row>
    <row r="234" spans="1:35" s="112" customFormat="1" ht="24.95" hidden="1" customHeight="1" x14ac:dyDescent="0.2">
      <c r="A234" s="93">
        <f>A232+1</f>
        <v>197</v>
      </c>
      <c r="B234" s="148" t="s">
        <v>2177</v>
      </c>
      <c r="C234" s="219" t="s">
        <v>1008</v>
      </c>
      <c r="D234" s="219" t="s">
        <v>1287</v>
      </c>
      <c r="E234" s="46" t="s">
        <v>1369</v>
      </c>
      <c r="F234" s="98">
        <v>2</v>
      </c>
      <c r="G234" s="145">
        <v>41877</v>
      </c>
      <c r="H234" s="235"/>
      <c r="I234" s="72">
        <v>-82</v>
      </c>
      <c r="J234" s="99" t="s">
        <v>2175</v>
      </c>
      <c r="K234" s="99">
        <v>41959</v>
      </c>
      <c r="L234" s="114" t="s">
        <v>2176</v>
      </c>
      <c r="M234" s="104">
        <v>41961</v>
      </c>
      <c r="N234" s="113" t="s">
        <v>2215</v>
      </c>
      <c r="O234" s="104">
        <v>41980</v>
      </c>
      <c r="P234" s="105" t="s">
        <v>1465</v>
      </c>
      <c r="Q234" s="203" t="s">
        <v>2193</v>
      </c>
      <c r="R234" s="62">
        <v>41962</v>
      </c>
      <c r="S234" s="146" t="s">
        <v>2227</v>
      </c>
      <c r="T234" s="104">
        <v>41990</v>
      </c>
      <c r="U234" s="105" t="s">
        <v>1465</v>
      </c>
      <c r="V234" s="106" t="s">
        <v>1442</v>
      </c>
      <c r="W234" s="142"/>
      <c r="X234" s="142"/>
      <c r="Y234" s="143"/>
      <c r="Z234" s="144"/>
      <c r="AA234" s="143"/>
      <c r="AB234" s="144"/>
      <c r="AC234" s="143"/>
      <c r="AD234" s="143"/>
      <c r="AE234" s="143"/>
      <c r="AF234" s="143"/>
      <c r="AG234" s="144"/>
      <c r="AH234" s="143"/>
      <c r="AI234" s="143"/>
    </row>
    <row r="235" spans="1:35" s="112" customFormat="1" ht="24.95" hidden="1" customHeight="1" x14ac:dyDescent="0.2">
      <c r="A235" s="93">
        <f>A234+1</f>
        <v>198</v>
      </c>
      <c r="B235" s="516" t="s">
        <v>734</v>
      </c>
      <c r="C235" s="502" t="s">
        <v>1009</v>
      </c>
      <c r="D235" s="502" t="s">
        <v>1288</v>
      </c>
      <c r="E235" s="46" t="s">
        <v>1369</v>
      </c>
      <c r="F235" s="131">
        <v>2</v>
      </c>
      <c r="G235" s="145">
        <v>41908</v>
      </c>
      <c r="H235" s="234"/>
      <c r="I235" s="191"/>
      <c r="J235" s="145" t="s">
        <v>1630</v>
      </c>
      <c r="K235" s="145">
        <v>41841</v>
      </c>
      <c r="L235" s="131" t="s">
        <v>1631</v>
      </c>
      <c r="M235" s="104">
        <v>41850</v>
      </c>
      <c r="N235" s="101"/>
      <c r="O235" s="102"/>
      <c r="P235" s="101"/>
      <c r="Q235" s="131" t="s">
        <v>1663</v>
      </c>
      <c r="R235" s="104">
        <v>41854</v>
      </c>
      <c r="S235" s="146" t="s">
        <v>1778</v>
      </c>
      <c r="T235" s="104">
        <v>41892</v>
      </c>
      <c r="U235" s="52" t="s">
        <v>1529</v>
      </c>
      <c r="V235" s="106" t="s">
        <v>1530</v>
      </c>
      <c r="W235" s="142"/>
      <c r="X235" s="142"/>
      <c r="Y235" s="143"/>
      <c r="Z235" s="144"/>
      <c r="AA235" s="143"/>
      <c r="AB235" s="144"/>
      <c r="AC235" s="143"/>
      <c r="AD235" s="143"/>
      <c r="AE235" s="143"/>
      <c r="AF235" s="143"/>
      <c r="AG235" s="144"/>
      <c r="AH235" s="143"/>
      <c r="AI235" s="143"/>
    </row>
    <row r="236" spans="1:35" s="112" customFormat="1" ht="24.95" hidden="1" customHeight="1" x14ac:dyDescent="0.2">
      <c r="A236" s="93"/>
      <c r="B236" s="516"/>
      <c r="C236" s="502"/>
      <c r="D236" s="502"/>
      <c r="E236" s="46" t="s">
        <v>1432</v>
      </c>
      <c r="F236" s="131" t="s">
        <v>1442</v>
      </c>
      <c r="G236" s="145" t="s">
        <v>1442</v>
      </c>
      <c r="H236" s="234"/>
      <c r="I236" s="191" t="s">
        <v>1442</v>
      </c>
      <c r="J236" s="198" t="s">
        <v>1792</v>
      </c>
      <c r="K236" s="145">
        <v>41889</v>
      </c>
      <c r="L236" s="131" t="s">
        <v>1747</v>
      </c>
      <c r="M236" s="104">
        <v>41898</v>
      </c>
      <c r="N236" s="113" t="s">
        <v>2039</v>
      </c>
      <c r="O236" s="104">
        <v>41919</v>
      </c>
      <c r="P236" s="105" t="s">
        <v>1465</v>
      </c>
      <c r="Q236" s="131" t="s">
        <v>1871</v>
      </c>
      <c r="R236" s="104">
        <v>41900</v>
      </c>
      <c r="S236" s="146" t="s">
        <v>1919</v>
      </c>
      <c r="T236" s="104">
        <v>41906</v>
      </c>
      <c r="U236" s="105" t="s">
        <v>1465</v>
      </c>
      <c r="V236" s="106" t="s">
        <v>1442</v>
      </c>
      <c r="W236" s="142"/>
      <c r="X236" s="142"/>
      <c r="Y236" s="143"/>
      <c r="Z236" s="144"/>
      <c r="AA236" s="143"/>
      <c r="AB236" s="144"/>
      <c r="AC236" s="143"/>
      <c r="AD236" s="143"/>
      <c r="AE236" s="143"/>
      <c r="AF236" s="143"/>
      <c r="AG236" s="144"/>
      <c r="AH236" s="143"/>
      <c r="AI236" s="143"/>
    </row>
    <row r="237" spans="1:35" s="112" customFormat="1" ht="24.95" hidden="1" customHeight="1" x14ac:dyDescent="0.2">
      <c r="A237" s="93"/>
      <c r="B237" s="516"/>
      <c r="C237" s="502"/>
      <c r="D237" s="502"/>
      <c r="E237" s="46" t="s">
        <v>1459</v>
      </c>
      <c r="F237" s="131" t="s">
        <v>1442</v>
      </c>
      <c r="G237" s="145" t="s">
        <v>1442</v>
      </c>
      <c r="H237" s="234"/>
      <c r="I237" s="191" t="s">
        <v>1442</v>
      </c>
      <c r="J237" s="198" t="s">
        <v>1800</v>
      </c>
      <c r="K237" s="145">
        <v>41892</v>
      </c>
      <c r="L237" s="197"/>
      <c r="M237" s="189"/>
      <c r="N237" s="101"/>
      <c r="O237" s="102"/>
      <c r="P237" s="101"/>
      <c r="Q237" s="114"/>
      <c r="R237" s="104"/>
      <c r="S237" s="101"/>
      <c r="T237" s="102"/>
      <c r="U237" s="101"/>
      <c r="V237" s="106"/>
      <c r="W237" s="142"/>
      <c r="X237" s="142"/>
      <c r="Y237" s="143"/>
      <c r="Z237" s="144"/>
      <c r="AA237" s="143"/>
      <c r="AB237" s="144"/>
      <c r="AC237" s="143"/>
      <c r="AD237" s="143"/>
      <c r="AE237" s="143"/>
      <c r="AF237" s="143"/>
      <c r="AG237" s="144"/>
      <c r="AH237" s="143"/>
      <c r="AI237" s="143"/>
    </row>
    <row r="238" spans="1:35" s="112" customFormat="1" ht="24.95" hidden="1" customHeight="1" x14ac:dyDescent="0.2">
      <c r="A238" s="93">
        <f>A235+1</f>
        <v>199</v>
      </c>
      <c r="B238" s="148" t="s">
        <v>735</v>
      </c>
      <c r="C238" s="219" t="s">
        <v>1010</v>
      </c>
      <c r="D238" s="219" t="s">
        <v>1289</v>
      </c>
      <c r="E238" s="46" t="s">
        <v>1369</v>
      </c>
      <c r="F238" s="98">
        <v>2</v>
      </c>
      <c r="G238" s="145">
        <v>41891</v>
      </c>
      <c r="H238" s="235"/>
      <c r="I238" s="72">
        <v>-21</v>
      </c>
      <c r="J238" s="99" t="s">
        <v>1968</v>
      </c>
      <c r="K238" s="99">
        <v>41912</v>
      </c>
      <c r="L238" s="114" t="s">
        <v>1969</v>
      </c>
      <c r="M238" s="104">
        <v>41914</v>
      </c>
      <c r="N238" s="113" t="s">
        <v>2186</v>
      </c>
      <c r="O238" s="104">
        <v>41960</v>
      </c>
      <c r="P238" s="105" t="s">
        <v>1465</v>
      </c>
      <c r="Q238" s="15" t="s">
        <v>1989</v>
      </c>
      <c r="R238" s="62">
        <v>41914</v>
      </c>
      <c r="S238" s="146" t="s">
        <v>2104</v>
      </c>
      <c r="T238" s="104">
        <v>41925</v>
      </c>
      <c r="U238" s="105" t="s">
        <v>1465</v>
      </c>
      <c r="V238" s="190" t="s">
        <v>1442</v>
      </c>
      <c r="W238" s="142"/>
      <c r="X238" s="142"/>
      <c r="Y238" s="143"/>
      <c r="Z238" s="144"/>
      <c r="AA238" s="143"/>
      <c r="AB238" s="144"/>
      <c r="AC238" s="143"/>
      <c r="AD238" s="143"/>
      <c r="AE238" s="143"/>
      <c r="AF238" s="143"/>
      <c r="AG238" s="144"/>
      <c r="AH238" s="143"/>
      <c r="AI238" s="143"/>
    </row>
    <row r="239" spans="1:35" s="112" customFormat="1" ht="24.95" hidden="1" customHeight="1" x14ac:dyDescent="0.2">
      <c r="A239" s="93">
        <f>A238+1</f>
        <v>200</v>
      </c>
      <c r="B239" s="148" t="s">
        <v>736</v>
      </c>
      <c r="C239" s="219" t="s">
        <v>1011</v>
      </c>
      <c r="D239" s="219" t="s">
        <v>1290</v>
      </c>
      <c r="E239" s="46" t="s">
        <v>1369</v>
      </c>
      <c r="F239" s="98">
        <v>2</v>
      </c>
      <c r="G239" s="145">
        <v>41933</v>
      </c>
      <c r="H239" s="235"/>
      <c r="I239" s="72">
        <v>-16</v>
      </c>
      <c r="J239" s="99" t="s">
        <v>2143</v>
      </c>
      <c r="K239" s="99">
        <v>41949</v>
      </c>
      <c r="L239" s="114" t="s">
        <v>2144</v>
      </c>
      <c r="M239" s="104">
        <v>41953</v>
      </c>
      <c r="N239" s="113" t="s">
        <v>2221</v>
      </c>
      <c r="O239" s="104">
        <v>41980</v>
      </c>
      <c r="P239" s="105" t="s">
        <v>1465</v>
      </c>
      <c r="Q239" s="202" t="s">
        <v>2155</v>
      </c>
      <c r="R239" s="62">
        <v>41954</v>
      </c>
      <c r="S239" s="146" t="s">
        <v>2226</v>
      </c>
      <c r="T239" s="104">
        <v>41990</v>
      </c>
      <c r="U239" s="105" t="s">
        <v>1465</v>
      </c>
      <c r="V239" s="106" t="s">
        <v>1442</v>
      </c>
      <c r="W239" s="142"/>
      <c r="X239" s="142"/>
      <c r="Y239" s="143"/>
      <c r="Z239" s="144"/>
      <c r="AA239" s="143"/>
      <c r="AB239" s="144"/>
      <c r="AC239" s="143"/>
      <c r="AD239" s="143"/>
      <c r="AE239" s="143"/>
      <c r="AF239" s="143"/>
      <c r="AG239" s="144"/>
      <c r="AH239" s="143"/>
      <c r="AI239" s="143"/>
    </row>
    <row r="240" spans="1:35" s="112" customFormat="1" ht="24.95" hidden="1" customHeight="1" x14ac:dyDescent="0.2">
      <c r="A240" s="93">
        <f>A239+1</f>
        <v>201</v>
      </c>
      <c r="B240" s="148" t="s">
        <v>737</v>
      </c>
      <c r="C240" s="219" t="s">
        <v>1012</v>
      </c>
      <c r="D240" s="219" t="s">
        <v>1291</v>
      </c>
      <c r="E240" s="46" t="s">
        <v>1369</v>
      </c>
      <c r="F240" s="98">
        <v>2</v>
      </c>
      <c r="G240" s="145">
        <v>41911</v>
      </c>
      <c r="H240" s="235"/>
      <c r="I240" s="72">
        <v>-1</v>
      </c>
      <c r="J240" s="99" t="s">
        <v>1840</v>
      </c>
      <c r="K240" s="99">
        <v>41898</v>
      </c>
      <c r="L240" s="114" t="s">
        <v>1841</v>
      </c>
      <c r="M240" s="104">
        <v>41904</v>
      </c>
      <c r="N240" s="113" t="s">
        <v>2182</v>
      </c>
      <c r="O240" s="104">
        <v>41959</v>
      </c>
      <c r="P240" s="105" t="s">
        <v>1465</v>
      </c>
      <c r="Q240" s="15" t="s">
        <v>1917</v>
      </c>
      <c r="R240" s="62">
        <v>41906</v>
      </c>
      <c r="S240" s="146" t="s">
        <v>1967</v>
      </c>
      <c r="T240" s="104">
        <v>41912</v>
      </c>
      <c r="U240" s="105" t="s">
        <v>1465</v>
      </c>
      <c r="V240" s="190" t="s">
        <v>1442</v>
      </c>
      <c r="W240" s="142"/>
      <c r="X240" s="142"/>
      <c r="Y240" s="143"/>
      <c r="Z240" s="144"/>
      <c r="AA240" s="143"/>
      <c r="AB240" s="144"/>
      <c r="AC240" s="143"/>
      <c r="AD240" s="143"/>
      <c r="AE240" s="143"/>
      <c r="AF240" s="143"/>
      <c r="AG240" s="144"/>
      <c r="AH240" s="143"/>
      <c r="AI240" s="143"/>
    </row>
    <row r="241" spans="1:35" s="112" customFormat="1" ht="31.5" hidden="1" customHeight="1" x14ac:dyDescent="0.2">
      <c r="A241" s="93">
        <f>A240+1</f>
        <v>202</v>
      </c>
      <c r="B241" s="516" t="s">
        <v>738</v>
      </c>
      <c r="C241" s="502" t="s">
        <v>1013</v>
      </c>
      <c r="D241" s="502" t="s">
        <v>1292</v>
      </c>
      <c r="E241" s="46" t="s">
        <v>1369</v>
      </c>
      <c r="F241" s="98">
        <v>2</v>
      </c>
      <c r="G241" s="145">
        <v>41937</v>
      </c>
      <c r="H241" s="235"/>
      <c r="I241" s="72">
        <f ca="1">G241-TODAY()</f>
        <v>-2125</v>
      </c>
      <c r="J241" s="99" t="s">
        <v>2143</v>
      </c>
      <c r="K241" s="99">
        <v>41949</v>
      </c>
      <c r="L241" s="114" t="s">
        <v>2144</v>
      </c>
      <c r="M241" s="104">
        <v>41953</v>
      </c>
      <c r="N241" s="113" t="s">
        <v>2221</v>
      </c>
      <c r="O241" s="104">
        <v>41980</v>
      </c>
      <c r="P241" s="105" t="s">
        <v>1465</v>
      </c>
      <c r="Q241" s="202" t="s">
        <v>2155</v>
      </c>
      <c r="R241" s="62">
        <v>41954</v>
      </c>
      <c r="S241" s="146" t="s">
        <v>2217</v>
      </c>
      <c r="T241" s="104">
        <v>41981</v>
      </c>
      <c r="U241" s="105" t="s">
        <v>1465</v>
      </c>
      <c r="V241" s="190" t="s">
        <v>1442</v>
      </c>
      <c r="W241" s="142"/>
      <c r="X241" s="142"/>
      <c r="Y241" s="143"/>
      <c r="Z241" s="144"/>
      <c r="AA241" s="143"/>
      <c r="AB241" s="144"/>
      <c r="AC241" s="143"/>
      <c r="AD241" s="143"/>
      <c r="AE241" s="143"/>
      <c r="AF241" s="143"/>
      <c r="AG241" s="144"/>
      <c r="AH241" s="143"/>
      <c r="AI241" s="143"/>
    </row>
    <row r="242" spans="1:35" s="112" customFormat="1" ht="29.25" hidden="1" customHeight="1" x14ac:dyDescent="0.2">
      <c r="A242" s="196"/>
      <c r="B242" s="516"/>
      <c r="C242" s="502"/>
      <c r="D242" s="502"/>
      <c r="E242" s="46" t="s">
        <v>1432</v>
      </c>
      <c r="F242" s="98" t="s">
        <v>1442</v>
      </c>
      <c r="G242" s="145" t="s">
        <v>1442</v>
      </c>
      <c r="H242" s="235"/>
      <c r="I242" s="72" t="s">
        <v>1442</v>
      </c>
      <c r="J242" s="99" t="s">
        <v>2160</v>
      </c>
      <c r="K242" s="99">
        <v>41955</v>
      </c>
      <c r="L242" s="114" t="s">
        <v>2161</v>
      </c>
      <c r="M242" s="104">
        <v>41959</v>
      </c>
      <c r="N242" s="113" t="s">
        <v>2213</v>
      </c>
      <c r="O242" s="104">
        <v>41980</v>
      </c>
      <c r="P242" s="105" t="s">
        <v>1465</v>
      </c>
      <c r="Q242" s="202" t="s">
        <v>2190</v>
      </c>
      <c r="R242" s="62">
        <v>41960</v>
      </c>
      <c r="S242" s="146" t="s">
        <v>2217</v>
      </c>
      <c r="T242" s="104">
        <v>41981</v>
      </c>
      <c r="U242" s="105" t="s">
        <v>1465</v>
      </c>
      <c r="V242" s="106" t="s">
        <v>1442</v>
      </c>
      <c r="W242" s="142"/>
      <c r="X242" s="142"/>
      <c r="Y242" s="143"/>
      <c r="Z242" s="144"/>
      <c r="AA242" s="143"/>
      <c r="AB242" s="144"/>
      <c r="AC242" s="143"/>
      <c r="AD242" s="143"/>
      <c r="AE242" s="143"/>
      <c r="AF242" s="143"/>
      <c r="AG242" s="144"/>
      <c r="AH242" s="143"/>
      <c r="AI242" s="143"/>
    </row>
    <row r="243" spans="1:35" s="112" customFormat="1" ht="31.5" hidden="1" x14ac:dyDescent="0.2">
      <c r="A243" s="196">
        <f>A241+1</f>
        <v>203</v>
      </c>
      <c r="B243" s="148" t="s">
        <v>739</v>
      </c>
      <c r="C243" s="219" t="s">
        <v>1014</v>
      </c>
      <c r="D243" s="219" t="s">
        <v>1293</v>
      </c>
      <c r="E243" s="46" t="s">
        <v>1369</v>
      </c>
      <c r="F243" s="98">
        <v>2</v>
      </c>
      <c r="G243" s="145">
        <v>41915</v>
      </c>
      <c r="H243" s="235"/>
      <c r="I243" s="72">
        <v>17</v>
      </c>
      <c r="J243" s="99" t="s">
        <v>1829</v>
      </c>
      <c r="K243" s="99">
        <v>41896</v>
      </c>
      <c r="L243" s="114" t="s">
        <v>1830</v>
      </c>
      <c r="M243" s="104">
        <v>41898</v>
      </c>
      <c r="N243" s="113" t="s">
        <v>1879</v>
      </c>
      <c r="O243" s="104">
        <v>41899</v>
      </c>
      <c r="P243" s="105" t="s">
        <v>1465</v>
      </c>
      <c r="Q243" s="131" t="s">
        <v>1869</v>
      </c>
      <c r="R243" s="104">
        <v>41900</v>
      </c>
      <c r="S243" s="146" t="s">
        <v>1960</v>
      </c>
      <c r="T243" s="104">
        <v>41911</v>
      </c>
      <c r="U243" s="52" t="s">
        <v>1529</v>
      </c>
      <c r="V243" s="190" t="s">
        <v>1442</v>
      </c>
      <c r="W243" s="142"/>
      <c r="X243" s="142"/>
      <c r="Y243" s="143"/>
      <c r="Z243" s="144"/>
      <c r="AA243" s="143"/>
      <c r="AB243" s="144"/>
      <c r="AC243" s="143"/>
      <c r="AD243" s="143"/>
      <c r="AE243" s="143"/>
      <c r="AF243" s="143"/>
      <c r="AG243" s="144"/>
      <c r="AH243" s="143"/>
      <c r="AI243" s="143"/>
    </row>
    <row r="244" spans="1:35" s="112" customFormat="1" ht="24.95" hidden="1" customHeight="1" x14ac:dyDescent="0.2">
      <c r="A244" s="93">
        <f>A243+1</f>
        <v>204</v>
      </c>
      <c r="B244" s="516" t="s">
        <v>740</v>
      </c>
      <c r="C244" s="502" t="s">
        <v>1015</v>
      </c>
      <c r="D244" s="502" t="s">
        <v>1294</v>
      </c>
      <c r="E244" s="46" t="s">
        <v>1369</v>
      </c>
      <c r="F244" s="98">
        <v>2</v>
      </c>
      <c r="G244" s="145">
        <v>41941</v>
      </c>
      <c r="H244" s="235"/>
      <c r="I244" s="72">
        <v>0</v>
      </c>
      <c r="J244" s="99" t="s">
        <v>2053</v>
      </c>
      <c r="K244" s="99">
        <v>41941</v>
      </c>
      <c r="L244" s="114" t="s">
        <v>2054</v>
      </c>
      <c r="M244" s="175">
        <v>41942</v>
      </c>
      <c r="N244" s="113" t="s">
        <v>2142</v>
      </c>
      <c r="O244" s="104">
        <v>41947</v>
      </c>
      <c r="P244" s="105" t="s">
        <v>1465</v>
      </c>
      <c r="Q244" s="187" t="s">
        <v>2120</v>
      </c>
      <c r="R244" s="62">
        <v>41214</v>
      </c>
      <c r="S244" s="146" t="s">
        <v>2131</v>
      </c>
      <c r="T244" s="104">
        <v>41945</v>
      </c>
      <c r="U244" s="105" t="s">
        <v>1465</v>
      </c>
      <c r="V244" s="106" t="s">
        <v>1442</v>
      </c>
      <c r="W244" s="142"/>
      <c r="X244" s="142"/>
      <c r="Y244" s="143"/>
      <c r="Z244" s="144"/>
      <c r="AA244" s="143"/>
      <c r="AB244" s="144"/>
      <c r="AC244" s="143"/>
      <c r="AD244" s="143"/>
      <c r="AE244" s="143"/>
      <c r="AF244" s="143"/>
      <c r="AG244" s="144"/>
      <c r="AH244" s="143"/>
      <c r="AI244" s="143"/>
    </row>
    <row r="245" spans="1:35" s="112" customFormat="1" ht="24.95" hidden="1" customHeight="1" x14ac:dyDescent="0.2">
      <c r="A245" s="93"/>
      <c r="B245" s="516"/>
      <c r="C245" s="502"/>
      <c r="D245" s="502"/>
      <c r="E245" s="46" t="s">
        <v>1432</v>
      </c>
      <c r="F245" s="98" t="s">
        <v>1442</v>
      </c>
      <c r="G245" s="145" t="s">
        <v>1442</v>
      </c>
      <c r="H245" s="235"/>
      <c r="I245" s="72" t="s">
        <v>1442</v>
      </c>
      <c r="J245" s="99" t="s">
        <v>2156</v>
      </c>
      <c r="K245" s="99">
        <v>41954</v>
      </c>
      <c r="L245" s="114" t="s">
        <v>2157</v>
      </c>
      <c r="M245" s="175">
        <v>41956</v>
      </c>
      <c r="N245" s="113" t="s">
        <v>2214</v>
      </c>
      <c r="O245" s="104">
        <v>41980</v>
      </c>
      <c r="P245" s="105" t="s">
        <v>1465</v>
      </c>
      <c r="Q245" s="201" t="s">
        <v>2168</v>
      </c>
      <c r="R245" s="62">
        <v>41958</v>
      </c>
      <c r="S245" s="146" t="s">
        <v>2218</v>
      </c>
      <c r="T245" s="104">
        <v>41981</v>
      </c>
      <c r="U245" s="105" t="s">
        <v>1465</v>
      </c>
      <c r="V245" s="190" t="s">
        <v>1442</v>
      </c>
      <c r="W245" s="142"/>
      <c r="X245" s="142"/>
      <c r="Y245" s="143"/>
      <c r="Z245" s="144"/>
      <c r="AA245" s="143"/>
      <c r="AB245" s="144"/>
      <c r="AC245" s="143"/>
      <c r="AD245" s="143"/>
      <c r="AE245" s="143"/>
      <c r="AF245" s="143"/>
      <c r="AG245" s="144"/>
      <c r="AH245" s="143"/>
      <c r="AI245" s="143"/>
    </row>
    <row r="246" spans="1:35" s="112" customFormat="1" ht="24.95" hidden="1" customHeight="1" x14ac:dyDescent="0.2">
      <c r="A246" s="93">
        <f>A244+1</f>
        <v>205</v>
      </c>
      <c r="B246" s="148" t="s">
        <v>741</v>
      </c>
      <c r="C246" s="219" t="s">
        <v>1016</v>
      </c>
      <c r="D246" s="219" t="s">
        <v>1295</v>
      </c>
      <c r="E246" s="46" t="s">
        <v>1369</v>
      </c>
      <c r="F246" s="98">
        <v>2</v>
      </c>
      <c r="G246" s="145">
        <v>41919</v>
      </c>
      <c r="H246" s="235"/>
      <c r="I246" s="72"/>
      <c r="J246" s="99" t="s">
        <v>1832</v>
      </c>
      <c r="K246" s="145">
        <v>41897</v>
      </c>
      <c r="L246" s="114" t="s">
        <v>1833</v>
      </c>
      <c r="M246" s="138">
        <v>41900</v>
      </c>
      <c r="N246" s="113" t="s">
        <v>2181</v>
      </c>
      <c r="O246" s="104">
        <v>41959</v>
      </c>
      <c r="P246" s="105" t="s">
        <v>1465</v>
      </c>
      <c r="Q246" s="114" t="s">
        <v>1889</v>
      </c>
      <c r="R246" s="104">
        <v>41903</v>
      </c>
      <c r="S246" s="146" t="s">
        <v>1961</v>
      </c>
      <c r="T246" s="104">
        <v>41911</v>
      </c>
      <c r="U246" s="105" t="s">
        <v>1465</v>
      </c>
      <c r="V246" s="70" t="s">
        <v>1442</v>
      </c>
      <c r="W246" s="142"/>
      <c r="X246" s="142"/>
      <c r="Y246" s="143"/>
      <c r="Z246" s="144"/>
      <c r="AA246" s="143"/>
      <c r="AB246" s="144"/>
      <c r="AC246" s="143"/>
      <c r="AD246" s="143"/>
      <c r="AE246" s="143"/>
      <c r="AF246" s="143"/>
      <c r="AG246" s="144"/>
      <c r="AH246" s="143"/>
      <c r="AI246" s="143"/>
    </row>
    <row r="247" spans="1:35" s="112" customFormat="1" ht="24.95" hidden="1" customHeight="1" x14ac:dyDescent="0.2">
      <c r="A247" s="93">
        <f t="shared" ref="A247:A253" si="6">A246+1</f>
        <v>206</v>
      </c>
      <c r="B247" s="148" t="s">
        <v>742</v>
      </c>
      <c r="C247" s="219" t="s">
        <v>1017</v>
      </c>
      <c r="D247" s="219" t="s">
        <v>1296</v>
      </c>
      <c r="E247" s="46" t="s">
        <v>1369</v>
      </c>
      <c r="F247" s="98">
        <v>2</v>
      </c>
      <c r="G247" s="145">
        <v>41923</v>
      </c>
      <c r="H247" s="235"/>
      <c r="I247" s="72">
        <v>29</v>
      </c>
      <c r="J247" s="99" t="s">
        <v>1798</v>
      </c>
      <c r="K247" s="99">
        <v>41893</v>
      </c>
      <c r="L247" s="114" t="s">
        <v>1799</v>
      </c>
      <c r="M247" s="104">
        <v>41894</v>
      </c>
      <c r="N247" s="113" t="s">
        <v>2184</v>
      </c>
      <c r="O247" s="104">
        <v>41959</v>
      </c>
      <c r="P247" s="105" t="s">
        <v>1465</v>
      </c>
      <c r="Q247" s="131" t="s">
        <v>1847</v>
      </c>
      <c r="R247" s="104">
        <v>41898</v>
      </c>
      <c r="S247" s="146" t="s">
        <v>1938</v>
      </c>
      <c r="T247" s="104">
        <v>41907</v>
      </c>
      <c r="U247" s="52" t="s">
        <v>1529</v>
      </c>
      <c r="V247" s="106" t="s">
        <v>1442</v>
      </c>
      <c r="W247" s="142"/>
      <c r="X247" s="142"/>
      <c r="Y247" s="143"/>
      <c r="Z247" s="144"/>
      <c r="AA247" s="143"/>
      <c r="AB247" s="144"/>
      <c r="AC247" s="143"/>
      <c r="AD247" s="143"/>
      <c r="AE247" s="143"/>
      <c r="AF247" s="143"/>
      <c r="AG247" s="144"/>
      <c r="AH247" s="143"/>
      <c r="AI247" s="143"/>
    </row>
    <row r="248" spans="1:35" s="112" customFormat="1" ht="24.95" hidden="1" customHeight="1" x14ac:dyDescent="0.2">
      <c r="A248" s="93">
        <f t="shared" si="6"/>
        <v>207</v>
      </c>
      <c r="B248" s="148" t="s">
        <v>743</v>
      </c>
      <c r="C248" s="219" t="s">
        <v>1018</v>
      </c>
      <c r="D248" s="219" t="s">
        <v>1297</v>
      </c>
      <c r="E248" s="46" t="s">
        <v>1369</v>
      </c>
      <c r="F248" s="98">
        <v>2</v>
      </c>
      <c r="G248" s="145">
        <v>41894</v>
      </c>
      <c r="H248" s="235"/>
      <c r="I248" s="72">
        <v>-46</v>
      </c>
      <c r="J248" s="99" t="s">
        <v>2002</v>
      </c>
      <c r="K248" s="99" t="s">
        <v>1442</v>
      </c>
      <c r="L248" s="114" t="s">
        <v>2001</v>
      </c>
      <c r="M248" s="104">
        <v>41921</v>
      </c>
      <c r="N248" s="113" t="s">
        <v>2060</v>
      </c>
      <c r="O248" s="104">
        <v>41927</v>
      </c>
      <c r="P248" s="105" t="s">
        <v>1465</v>
      </c>
      <c r="Q248" s="131" t="s">
        <v>2021</v>
      </c>
      <c r="R248" s="104">
        <v>41923</v>
      </c>
      <c r="S248" s="146" t="s">
        <v>2106</v>
      </c>
      <c r="T248" s="104">
        <v>41927</v>
      </c>
      <c r="U248" s="105" t="s">
        <v>1465</v>
      </c>
      <c r="V248" s="106" t="s">
        <v>1442</v>
      </c>
      <c r="W248" s="142"/>
      <c r="X248" s="142"/>
      <c r="Y248" s="143"/>
      <c r="Z248" s="144"/>
      <c r="AA248" s="143"/>
      <c r="AB248" s="144"/>
      <c r="AC248" s="143"/>
      <c r="AD248" s="143"/>
      <c r="AE248" s="143"/>
      <c r="AF248" s="143"/>
      <c r="AG248" s="144"/>
      <c r="AH248" s="143"/>
      <c r="AI248" s="143"/>
    </row>
    <row r="249" spans="1:35" s="112" customFormat="1" ht="31.5" hidden="1" x14ac:dyDescent="0.2">
      <c r="A249" s="93">
        <f t="shared" si="6"/>
        <v>208</v>
      </c>
      <c r="B249" s="148" t="s">
        <v>744</v>
      </c>
      <c r="C249" s="219" t="s">
        <v>1019</v>
      </c>
      <c r="D249" s="219" t="s">
        <v>1298</v>
      </c>
      <c r="E249" s="46" t="s">
        <v>1369</v>
      </c>
      <c r="F249" s="98">
        <v>2</v>
      </c>
      <c r="G249" s="145">
        <v>41927</v>
      </c>
      <c r="H249" s="235"/>
      <c r="I249" s="72">
        <v>34</v>
      </c>
      <c r="J249" s="99" t="s">
        <v>1775</v>
      </c>
      <c r="K249" s="99">
        <v>41892</v>
      </c>
      <c r="L249" s="114" t="s">
        <v>1776</v>
      </c>
      <c r="M249" s="104">
        <v>41893</v>
      </c>
      <c r="N249" s="113" t="s">
        <v>2183</v>
      </c>
      <c r="O249" s="104">
        <v>41959</v>
      </c>
      <c r="P249" s="105" t="s">
        <v>1465</v>
      </c>
      <c r="Q249" s="131" t="s">
        <v>1820</v>
      </c>
      <c r="R249" s="104">
        <v>41893</v>
      </c>
      <c r="S249" s="146" t="s">
        <v>1934</v>
      </c>
      <c r="T249" s="104">
        <v>41907</v>
      </c>
      <c r="U249" s="105" t="s">
        <v>1465</v>
      </c>
      <c r="V249" s="106" t="s">
        <v>1442</v>
      </c>
      <c r="W249" s="142"/>
      <c r="X249" s="142"/>
      <c r="Y249" s="143"/>
      <c r="Z249" s="144"/>
      <c r="AA249" s="143"/>
      <c r="AB249" s="144"/>
      <c r="AC249" s="143"/>
      <c r="AD249" s="143"/>
      <c r="AE249" s="143"/>
      <c r="AF249" s="143"/>
      <c r="AG249" s="144"/>
      <c r="AH249" s="143"/>
      <c r="AI249" s="143"/>
    </row>
    <row r="250" spans="1:35" s="112" customFormat="1" ht="24.95" hidden="1" customHeight="1" x14ac:dyDescent="0.2">
      <c r="A250" s="93">
        <f t="shared" si="6"/>
        <v>209</v>
      </c>
      <c r="B250" s="148" t="s">
        <v>745</v>
      </c>
      <c r="C250" s="219" t="s">
        <v>1020</v>
      </c>
      <c r="D250" s="219" t="s">
        <v>1299</v>
      </c>
      <c r="E250" s="46" t="s">
        <v>1369</v>
      </c>
      <c r="F250" s="98">
        <v>2</v>
      </c>
      <c r="G250" s="145">
        <v>41897</v>
      </c>
      <c r="H250" s="235"/>
      <c r="I250" s="72">
        <v>-24</v>
      </c>
      <c r="J250" s="99" t="s">
        <v>2002</v>
      </c>
      <c r="K250" s="99" t="s">
        <v>1442</v>
      </c>
      <c r="L250" s="114" t="s">
        <v>2003</v>
      </c>
      <c r="M250" s="104">
        <v>41921</v>
      </c>
      <c r="N250" s="113" t="s">
        <v>2061</v>
      </c>
      <c r="O250" s="104">
        <v>41927</v>
      </c>
      <c r="P250" s="105" t="s">
        <v>1465</v>
      </c>
      <c r="Q250" s="131" t="s">
        <v>2022</v>
      </c>
      <c r="R250" s="104">
        <v>41923</v>
      </c>
      <c r="S250" s="146" t="s">
        <v>2107</v>
      </c>
      <c r="T250" s="104">
        <v>41927</v>
      </c>
      <c r="U250" s="105" t="s">
        <v>1465</v>
      </c>
      <c r="V250" s="106" t="s">
        <v>1442</v>
      </c>
      <c r="W250" s="142"/>
      <c r="X250" s="142"/>
      <c r="Y250" s="143"/>
      <c r="Z250" s="144"/>
      <c r="AA250" s="143"/>
      <c r="AB250" s="144"/>
      <c r="AC250" s="143"/>
      <c r="AD250" s="143"/>
      <c r="AE250" s="143"/>
      <c r="AF250" s="143"/>
      <c r="AG250" s="144"/>
      <c r="AH250" s="143"/>
      <c r="AI250" s="143"/>
    </row>
    <row r="251" spans="1:35" s="112" customFormat="1" ht="24.95" hidden="1" customHeight="1" x14ac:dyDescent="0.2">
      <c r="A251" s="93">
        <f t="shared" si="6"/>
        <v>210</v>
      </c>
      <c r="B251" s="148" t="s">
        <v>746</v>
      </c>
      <c r="C251" s="219" t="s">
        <v>1021</v>
      </c>
      <c r="D251" s="219" t="s">
        <v>1300</v>
      </c>
      <c r="E251" s="46" t="s">
        <v>1369</v>
      </c>
      <c r="F251" s="98">
        <v>2</v>
      </c>
      <c r="G251" s="145">
        <v>41931</v>
      </c>
      <c r="H251" s="235"/>
      <c r="I251" s="72">
        <v>37</v>
      </c>
      <c r="J251" s="99" t="s">
        <v>1813</v>
      </c>
      <c r="K251" s="99">
        <v>41893</v>
      </c>
      <c r="L251" s="114" t="s">
        <v>1814</v>
      </c>
      <c r="M251" s="104">
        <v>41898</v>
      </c>
      <c r="N251" s="113" t="s">
        <v>1881</v>
      </c>
      <c r="O251" s="104">
        <v>41899</v>
      </c>
      <c r="P251" s="105" t="s">
        <v>1465</v>
      </c>
      <c r="Q251" s="131" t="s">
        <v>1872</v>
      </c>
      <c r="R251" s="104">
        <v>41900</v>
      </c>
      <c r="S251" s="146" t="s">
        <v>1939</v>
      </c>
      <c r="T251" s="104">
        <v>41907</v>
      </c>
      <c r="U251" s="105" t="s">
        <v>1465</v>
      </c>
      <c r="V251" s="106" t="s">
        <v>1442</v>
      </c>
      <c r="W251" s="142"/>
      <c r="X251" s="142"/>
      <c r="Y251" s="143"/>
      <c r="Z251" s="144"/>
      <c r="AA251" s="143"/>
      <c r="AB251" s="144"/>
      <c r="AC251" s="143"/>
      <c r="AD251" s="143"/>
      <c r="AE251" s="143"/>
      <c r="AF251" s="143"/>
      <c r="AG251" s="144"/>
      <c r="AH251" s="143"/>
      <c r="AI251" s="143"/>
    </row>
    <row r="252" spans="1:35" s="112" customFormat="1" ht="35.25" hidden="1" customHeight="1" x14ac:dyDescent="0.2">
      <c r="A252" s="93">
        <f t="shared" si="6"/>
        <v>211</v>
      </c>
      <c r="B252" s="148" t="s">
        <v>747</v>
      </c>
      <c r="C252" s="219" t="s">
        <v>1022</v>
      </c>
      <c r="D252" s="219" t="s">
        <v>1301</v>
      </c>
      <c r="E252" s="46" t="s">
        <v>1369</v>
      </c>
      <c r="F252" s="98">
        <v>2</v>
      </c>
      <c r="G252" s="145">
        <v>41900</v>
      </c>
      <c r="H252" s="235"/>
      <c r="I252" s="72">
        <v>-42</v>
      </c>
      <c r="J252" s="99" t="s">
        <v>2135</v>
      </c>
      <c r="K252" s="99">
        <v>41948</v>
      </c>
      <c r="L252" s="114" t="s">
        <v>2136</v>
      </c>
      <c r="M252" s="104">
        <v>41949</v>
      </c>
      <c r="N252" s="113" t="s">
        <v>2213</v>
      </c>
      <c r="O252" s="104">
        <v>41980</v>
      </c>
      <c r="P252" s="105" t="s">
        <v>1465</v>
      </c>
      <c r="Q252" s="202" t="s">
        <v>2146</v>
      </c>
      <c r="R252" s="104">
        <v>41951</v>
      </c>
      <c r="S252" s="146" t="s">
        <v>2108</v>
      </c>
      <c r="T252" s="104">
        <v>41927</v>
      </c>
      <c r="U252" s="105" t="s">
        <v>1465</v>
      </c>
      <c r="V252" s="171" t="s">
        <v>1442</v>
      </c>
      <c r="W252" s="142"/>
      <c r="X252" s="142"/>
      <c r="Y252" s="143"/>
      <c r="Z252" s="144"/>
      <c r="AA252" s="143"/>
      <c r="AB252" s="144"/>
      <c r="AC252" s="143"/>
      <c r="AD252" s="143"/>
      <c r="AE252" s="143"/>
      <c r="AF252" s="143"/>
      <c r="AG252" s="144"/>
      <c r="AH252" s="143"/>
      <c r="AI252" s="143"/>
    </row>
    <row r="253" spans="1:35" s="112" customFormat="1" ht="24.95" hidden="1" customHeight="1" x14ac:dyDescent="0.2">
      <c r="A253" s="93">
        <f t="shared" si="6"/>
        <v>212</v>
      </c>
      <c r="B253" s="516" t="s">
        <v>748</v>
      </c>
      <c r="C253" s="502" t="s">
        <v>1023</v>
      </c>
      <c r="D253" s="502" t="s">
        <v>1302</v>
      </c>
      <c r="E253" s="46" t="s">
        <v>1369</v>
      </c>
      <c r="F253" s="98">
        <v>2</v>
      </c>
      <c r="G253" s="145">
        <v>41903</v>
      </c>
      <c r="H253" s="235"/>
      <c r="I253" s="72">
        <v>-36</v>
      </c>
      <c r="J253" s="99" t="s">
        <v>1993</v>
      </c>
      <c r="K253" s="62">
        <v>41939</v>
      </c>
      <c r="L253" s="114" t="s">
        <v>1994</v>
      </c>
      <c r="M253" s="175">
        <v>41940</v>
      </c>
      <c r="N253" s="113" t="s">
        <v>2134</v>
      </c>
      <c r="O253" s="104">
        <v>41946</v>
      </c>
      <c r="P253" s="105" t="s">
        <v>1465</v>
      </c>
      <c r="Q253" s="187" t="s">
        <v>2070</v>
      </c>
      <c r="R253" s="62">
        <v>41941</v>
      </c>
      <c r="S253" s="146" t="s">
        <v>2122</v>
      </c>
      <c r="T253" s="104">
        <v>41945</v>
      </c>
      <c r="U253" s="105" t="s">
        <v>1465</v>
      </c>
      <c r="V253" s="106" t="s">
        <v>1442</v>
      </c>
      <c r="W253" s="142"/>
      <c r="X253" s="142"/>
      <c r="Y253" s="143"/>
      <c r="Z253" s="144"/>
      <c r="AA253" s="143"/>
      <c r="AB253" s="144"/>
      <c r="AC253" s="143"/>
      <c r="AD253" s="143"/>
      <c r="AE253" s="143"/>
      <c r="AF253" s="143"/>
      <c r="AG253" s="144"/>
      <c r="AH253" s="143"/>
      <c r="AI253" s="143"/>
    </row>
    <row r="254" spans="1:35" s="112" customFormat="1" ht="24.95" hidden="1" customHeight="1" x14ac:dyDescent="0.2">
      <c r="A254" s="93"/>
      <c r="B254" s="516"/>
      <c r="C254" s="502"/>
      <c r="D254" s="502"/>
      <c r="E254" s="46">
        <v>0</v>
      </c>
      <c r="F254" s="72" t="s">
        <v>1442</v>
      </c>
      <c r="G254" s="72" t="s">
        <v>1442</v>
      </c>
      <c r="H254" s="236"/>
      <c r="I254" s="72" t="s">
        <v>1442</v>
      </c>
      <c r="J254" s="61" t="s">
        <v>2148</v>
      </c>
      <c r="K254" s="61">
        <v>41952</v>
      </c>
      <c r="L254" s="114" t="s">
        <v>2150</v>
      </c>
      <c r="M254" s="104">
        <v>41953</v>
      </c>
      <c r="N254" s="113" t="s">
        <v>2171</v>
      </c>
      <c r="O254" s="104">
        <v>41959</v>
      </c>
      <c r="P254" s="105" t="s">
        <v>1465</v>
      </c>
      <c r="Q254" s="202" t="s">
        <v>2153</v>
      </c>
      <c r="R254" s="62">
        <v>41954</v>
      </c>
      <c r="S254" s="146" t="s">
        <v>2163</v>
      </c>
      <c r="T254" s="104">
        <v>41956</v>
      </c>
      <c r="U254" s="105" t="s">
        <v>1465</v>
      </c>
      <c r="V254" s="106" t="s">
        <v>1442</v>
      </c>
      <c r="W254" s="142"/>
      <c r="X254" s="142"/>
      <c r="Y254" s="143"/>
      <c r="Z254" s="144"/>
      <c r="AA254" s="143"/>
      <c r="AB254" s="144"/>
      <c r="AC254" s="143"/>
      <c r="AD254" s="143"/>
      <c r="AE254" s="143"/>
      <c r="AF254" s="143"/>
      <c r="AG254" s="144"/>
      <c r="AH254" s="143"/>
      <c r="AI254" s="143"/>
    </row>
    <row r="255" spans="1:35" s="112" customFormat="1" ht="24.95" hidden="1" customHeight="1" x14ac:dyDescent="0.2">
      <c r="A255" s="93">
        <f>A253+1</f>
        <v>213</v>
      </c>
      <c r="B255" s="516" t="s">
        <v>749</v>
      </c>
      <c r="C255" s="502" t="s">
        <v>1024</v>
      </c>
      <c r="D255" s="502" t="s">
        <v>1303</v>
      </c>
      <c r="E255" s="46" t="s">
        <v>1369</v>
      </c>
      <c r="F255" s="98">
        <v>2</v>
      </c>
      <c r="G255" s="145">
        <v>41863</v>
      </c>
      <c r="H255" s="235"/>
      <c r="I255" s="72">
        <v>-43</v>
      </c>
      <c r="J255" s="99" t="s">
        <v>1921</v>
      </c>
      <c r="K255" s="99">
        <v>41906</v>
      </c>
      <c r="L255" s="114" t="s">
        <v>1922</v>
      </c>
      <c r="M255" s="104">
        <v>41909</v>
      </c>
      <c r="N255" s="113" t="s">
        <v>2179</v>
      </c>
      <c r="O255" s="104">
        <v>41959</v>
      </c>
      <c r="P255" s="105" t="s">
        <v>1465</v>
      </c>
      <c r="Q255" s="15" t="s">
        <v>1979</v>
      </c>
      <c r="R255" s="62">
        <v>41913</v>
      </c>
      <c r="S255" s="146" t="s">
        <v>2098</v>
      </c>
      <c r="T255" s="104">
        <v>41925</v>
      </c>
      <c r="U255" s="105" t="s">
        <v>1465</v>
      </c>
      <c r="V255" s="106" t="s">
        <v>1442</v>
      </c>
      <c r="W255" s="142"/>
      <c r="X255" s="142"/>
      <c r="Y255" s="143"/>
      <c r="Z255" s="144"/>
      <c r="AA255" s="143"/>
      <c r="AB255" s="144"/>
      <c r="AC255" s="143"/>
      <c r="AD255" s="143"/>
      <c r="AE255" s="143"/>
      <c r="AF255" s="143"/>
      <c r="AG255" s="144"/>
      <c r="AH255" s="143"/>
      <c r="AI255" s="143"/>
    </row>
    <row r="256" spans="1:35" s="112" customFormat="1" ht="24.95" hidden="1" customHeight="1" x14ac:dyDescent="0.2">
      <c r="A256" s="93"/>
      <c r="B256" s="516"/>
      <c r="C256" s="502"/>
      <c r="D256" s="502"/>
      <c r="E256" s="46" t="s">
        <v>1432</v>
      </c>
      <c r="F256" s="98" t="s">
        <v>1442</v>
      </c>
      <c r="G256" s="145" t="s">
        <v>1442</v>
      </c>
      <c r="H256" s="235"/>
      <c r="I256" s="72" t="s">
        <v>1442</v>
      </c>
      <c r="J256" s="99" t="s">
        <v>2002</v>
      </c>
      <c r="K256" s="99" t="s">
        <v>1442</v>
      </c>
      <c r="L256" s="114" t="s">
        <v>2013</v>
      </c>
      <c r="M256" s="104">
        <v>41932</v>
      </c>
      <c r="N256" s="113" t="s">
        <v>2178</v>
      </c>
      <c r="O256" s="104">
        <v>41959</v>
      </c>
      <c r="P256" s="105" t="s">
        <v>1465</v>
      </c>
      <c r="Q256" s="187" t="s">
        <v>2035</v>
      </c>
      <c r="R256" s="62">
        <v>41932</v>
      </c>
      <c r="S256" s="146" t="s">
        <v>2111</v>
      </c>
      <c r="T256" s="104">
        <v>41930</v>
      </c>
      <c r="U256" s="105" t="s">
        <v>1465</v>
      </c>
      <c r="V256" s="106" t="s">
        <v>1442</v>
      </c>
      <c r="W256" s="142"/>
      <c r="X256" s="142"/>
      <c r="Y256" s="143"/>
      <c r="Z256" s="144"/>
      <c r="AA256" s="143"/>
      <c r="AB256" s="144"/>
      <c r="AC256" s="143"/>
      <c r="AD256" s="143"/>
      <c r="AE256" s="143"/>
      <c r="AF256" s="143"/>
      <c r="AG256" s="144"/>
      <c r="AH256" s="143"/>
      <c r="AI256" s="143"/>
    </row>
    <row r="257" spans="1:35" s="112" customFormat="1" ht="24.95" hidden="1" customHeight="1" x14ac:dyDescent="0.2">
      <c r="A257" s="93"/>
      <c r="B257" s="516"/>
      <c r="C257" s="502"/>
      <c r="D257" s="502"/>
      <c r="E257" s="46" t="s">
        <v>1459</v>
      </c>
      <c r="F257" s="98" t="s">
        <v>1442</v>
      </c>
      <c r="G257" s="145" t="s">
        <v>1442</v>
      </c>
      <c r="H257" s="235"/>
      <c r="I257" s="72" t="s">
        <v>1442</v>
      </c>
      <c r="J257" s="99" t="s">
        <v>1997</v>
      </c>
      <c r="K257" s="62">
        <v>41939</v>
      </c>
      <c r="L257" s="114" t="s">
        <v>1998</v>
      </c>
      <c r="M257" s="175">
        <v>41941</v>
      </c>
      <c r="N257" s="113" t="s">
        <v>2145</v>
      </c>
      <c r="O257" s="104">
        <v>41947</v>
      </c>
      <c r="P257" s="105" t="s">
        <v>1465</v>
      </c>
      <c r="Q257" s="187" t="s">
        <v>2118</v>
      </c>
      <c r="R257" s="62">
        <v>41214</v>
      </c>
      <c r="S257" s="146" t="s">
        <v>2129</v>
      </c>
      <c r="T257" s="104">
        <v>41945</v>
      </c>
      <c r="U257" s="105" t="s">
        <v>1465</v>
      </c>
      <c r="V257" s="106" t="s">
        <v>1442</v>
      </c>
      <c r="W257" s="142"/>
      <c r="X257" s="142"/>
      <c r="Y257" s="143"/>
      <c r="Z257" s="144"/>
      <c r="AA257" s="143"/>
      <c r="AB257" s="144"/>
      <c r="AC257" s="143"/>
      <c r="AD257" s="143"/>
      <c r="AE257" s="143"/>
      <c r="AF257" s="143"/>
      <c r="AG257" s="144"/>
      <c r="AH257" s="143"/>
      <c r="AI257" s="143"/>
    </row>
    <row r="258" spans="1:35" s="112" customFormat="1" ht="24.95" hidden="1" customHeight="1" x14ac:dyDescent="0.2">
      <c r="A258" s="93">
        <f>A255+1</f>
        <v>214</v>
      </c>
      <c r="B258" s="516" t="s">
        <v>750</v>
      </c>
      <c r="C258" s="502" t="s">
        <v>1025</v>
      </c>
      <c r="D258" s="502" t="s">
        <v>1304</v>
      </c>
      <c r="E258" s="46" t="s">
        <v>1369</v>
      </c>
      <c r="F258" s="98">
        <v>2</v>
      </c>
      <c r="G258" s="145">
        <v>41906</v>
      </c>
      <c r="H258" s="235"/>
      <c r="I258" s="72">
        <v>-42</v>
      </c>
      <c r="J258" s="61" t="s">
        <v>2148</v>
      </c>
      <c r="K258" s="61">
        <v>41952</v>
      </c>
      <c r="L258" s="114" t="s">
        <v>2137</v>
      </c>
      <c r="M258" s="104">
        <v>41953</v>
      </c>
      <c r="N258" s="113" t="s">
        <v>2214</v>
      </c>
      <c r="O258" s="104">
        <v>41980</v>
      </c>
      <c r="P258" s="105" t="s">
        <v>1465</v>
      </c>
      <c r="Q258" s="202" t="s">
        <v>2152</v>
      </c>
      <c r="R258" s="62">
        <v>41954</v>
      </c>
      <c r="S258" s="146" t="s">
        <v>2165</v>
      </c>
      <c r="T258" s="104">
        <v>41956</v>
      </c>
      <c r="U258" s="105" t="s">
        <v>1465</v>
      </c>
      <c r="V258" s="106" t="s">
        <v>1442</v>
      </c>
      <c r="W258" s="142"/>
      <c r="X258" s="142"/>
      <c r="Y258" s="143"/>
      <c r="Z258" s="144"/>
      <c r="AA258" s="143"/>
      <c r="AB258" s="144"/>
      <c r="AC258" s="143"/>
      <c r="AD258" s="143"/>
      <c r="AE258" s="143"/>
      <c r="AF258" s="143"/>
      <c r="AG258" s="144"/>
      <c r="AH258" s="143"/>
      <c r="AI258" s="143"/>
    </row>
    <row r="259" spans="1:35" s="112" customFormat="1" ht="24.95" hidden="1" customHeight="1" x14ac:dyDescent="0.2">
      <c r="A259" s="93"/>
      <c r="B259" s="516"/>
      <c r="C259" s="502"/>
      <c r="D259" s="502"/>
      <c r="E259" s="46" t="s">
        <v>1432</v>
      </c>
      <c r="F259" s="98" t="s">
        <v>1442</v>
      </c>
      <c r="G259" s="145" t="s">
        <v>1442</v>
      </c>
      <c r="H259" s="235"/>
      <c r="I259" s="72" t="s">
        <v>1442</v>
      </c>
      <c r="J259" s="99" t="s">
        <v>2160</v>
      </c>
      <c r="K259" s="99">
        <v>41955</v>
      </c>
      <c r="L259" s="114" t="s">
        <v>2161</v>
      </c>
      <c r="M259" s="104">
        <v>41959</v>
      </c>
      <c r="N259" s="113" t="s">
        <v>2213</v>
      </c>
      <c r="O259" s="104">
        <v>41980</v>
      </c>
      <c r="P259" s="105" t="s">
        <v>1465</v>
      </c>
      <c r="Q259" s="202" t="s">
        <v>2190</v>
      </c>
      <c r="R259" s="62">
        <v>41960</v>
      </c>
      <c r="S259" s="146" t="s">
        <v>2203</v>
      </c>
      <c r="T259" s="104">
        <v>41970</v>
      </c>
      <c r="U259" s="105" t="s">
        <v>1465</v>
      </c>
      <c r="V259" s="106" t="s">
        <v>1442</v>
      </c>
      <c r="W259" s="142"/>
      <c r="X259" s="142"/>
      <c r="Y259" s="143"/>
      <c r="Z259" s="144"/>
      <c r="AA259" s="143"/>
      <c r="AB259" s="144"/>
      <c r="AC259" s="143"/>
      <c r="AD259" s="143"/>
      <c r="AE259" s="143"/>
      <c r="AF259" s="143"/>
      <c r="AG259" s="144"/>
      <c r="AH259" s="143"/>
      <c r="AI259" s="143"/>
    </row>
    <row r="260" spans="1:35" s="112" customFormat="1" ht="24.95" hidden="1" customHeight="1" x14ac:dyDescent="0.2">
      <c r="A260" s="93">
        <f>A258+1</f>
        <v>215</v>
      </c>
      <c r="B260" s="516" t="s">
        <v>751</v>
      </c>
      <c r="C260" s="502" t="s">
        <v>1026</v>
      </c>
      <c r="D260" s="502" t="s">
        <v>1305</v>
      </c>
      <c r="E260" s="46" t="s">
        <v>1369</v>
      </c>
      <c r="F260" s="98">
        <v>2</v>
      </c>
      <c r="G260" s="145">
        <v>41867</v>
      </c>
      <c r="H260" s="235"/>
      <c r="I260" s="72">
        <v>-32</v>
      </c>
      <c r="J260" s="99" t="s">
        <v>1860</v>
      </c>
      <c r="K260" s="99">
        <v>41899</v>
      </c>
      <c r="L260" s="114" t="s">
        <v>1861</v>
      </c>
      <c r="M260" s="104">
        <v>41904</v>
      </c>
      <c r="N260" s="101"/>
      <c r="O260" s="102"/>
      <c r="P260" s="101"/>
      <c r="Q260" s="131" t="s">
        <v>1901</v>
      </c>
      <c r="R260" s="104">
        <v>41904</v>
      </c>
      <c r="S260" s="146" t="s">
        <v>1962</v>
      </c>
      <c r="T260" s="104">
        <v>41912</v>
      </c>
      <c r="U260" s="105" t="s">
        <v>1465</v>
      </c>
      <c r="V260" s="106" t="s">
        <v>1530</v>
      </c>
      <c r="W260" s="142"/>
      <c r="X260" s="142"/>
      <c r="Y260" s="143"/>
      <c r="Z260" s="144"/>
      <c r="AA260" s="143"/>
      <c r="AB260" s="144"/>
      <c r="AC260" s="143"/>
      <c r="AD260" s="143"/>
      <c r="AE260" s="143"/>
      <c r="AF260" s="143"/>
      <c r="AG260" s="144"/>
      <c r="AH260" s="143"/>
      <c r="AI260" s="143"/>
    </row>
    <row r="261" spans="1:35" s="112" customFormat="1" ht="24.95" hidden="1" customHeight="1" x14ac:dyDescent="0.2">
      <c r="A261" s="93"/>
      <c r="B261" s="516"/>
      <c r="C261" s="502"/>
      <c r="D261" s="502"/>
      <c r="E261" s="46" t="s">
        <v>1432</v>
      </c>
      <c r="F261" s="98" t="s">
        <v>1442</v>
      </c>
      <c r="G261" s="145" t="s">
        <v>1442</v>
      </c>
      <c r="H261" s="235"/>
      <c r="I261" s="72" t="s">
        <v>1442</v>
      </c>
      <c r="J261" s="99" t="s">
        <v>2002</v>
      </c>
      <c r="K261" s="99" t="s">
        <v>1442</v>
      </c>
      <c r="L261" s="114" t="s">
        <v>2014</v>
      </c>
      <c r="M261" s="104">
        <v>41932</v>
      </c>
      <c r="N261" s="113" t="s">
        <v>2141</v>
      </c>
      <c r="O261" s="104">
        <v>41946</v>
      </c>
      <c r="P261" s="105" t="s">
        <v>1465</v>
      </c>
      <c r="Q261" s="187" t="s">
        <v>2036</v>
      </c>
      <c r="R261" s="62">
        <v>41932</v>
      </c>
      <c r="S261" s="146" t="s">
        <v>2114</v>
      </c>
      <c r="T261" s="104">
        <v>41931</v>
      </c>
      <c r="U261" s="105" t="s">
        <v>1465</v>
      </c>
      <c r="V261" s="106" t="s">
        <v>1442</v>
      </c>
      <c r="W261" s="142"/>
      <c r="X261" s="142"/>
      <c r="Y261" s="143"/>
      <c r="Z261" s="144"/>
      <c r="AA261" s="143"/>
      <c r="AB261" s="144"/>
      <c r="AC261" s="143"/>
      <c r="AD261" s="143"/>
      <c r="AE261" s="143"/>
      <c r="AF261" s="143"/>
      <c r="AG261" s="144"/>
      <c r="AH261" s="143"/>
      <c r="AI261" s="143"/>
    </row>
    <row r="262" spans="1:35" s="112" customFormat="1" ht="24.95" hidden="1" customHeight="1" x14ac:dyDescent="0.2">
      <c r="A262" s="93"/>
      <c r="B262" s="516"/>
      <c r="C262" s="502"/>
      <c r="D262" s="502"/>
      <c r="E262" s="46" t="s">
        <v>1459</v>
      </c>
      <c r="F262" s="98" t="s">
        <v>1442</v>
      </c>
      <c r="G262" s="145" t="s">
        <v>1442</v>
      </c>
      <c r="H262" s="235"/>
      <c r="I262" s="72" t="s">
        <v>1442</v>
      </c>
      <c r="J262" s="99" t="s">
        <v>2002</v>
      </c>
      <c r="K262" s="99" t="s">
        <v>1442</v>
      </c>
      <c r="L262" s="114" t="s">
        <v>2015</v>
      </c>
      <c r="M262" s="104">
        <v>41933</v>
      </c>
      <c r="N262" s="113" t="s">
        <v>2141</v>
      </c>
      <c r="O262" s="104">
        <v>41946</v>
      </c>
      <c r="P262" s="105" t="s">
        <v>1465</v>
      </c>
      <c r="Q262" s="187" t="s">
        <v>2037</v>
      </c>
      <c r="R262" s="62">
        <v>41933</v>
      </c>
      <c r="S262" s="146" t="s">
        <v>2110</v>
      </c>
      <c r="T262" s="104">
        <v>41935</v>
      </c>
      <c r="U262" s="105" t="s">
        <v>1465</v>
      </c>
      <c r="V262" s="106" t="s">
        <v>1442</v>
      </c>
      <c r="W262" s="142"/>
      <c r="X262" s="142"/>
      <c r="Y262" s="143"/>
      <c r="Z262" s="144"/>
      <c r="AA262" s="143"/>
      <c r="AB262" s="144"/>
      <c r="AC262" s="143"/>
      <c r="AD262" s="143"/>
      <c r="AE262" s="143"/>
      <c r="AF262" s="143"/>
      <c r="AG262" s="144"/>
      <c r="AH262" s="143"/>
      <c r="AI262" s="143"/>
    </row>
    <row r="263" spans="1:35" s="112" customFormat="1" ht="24.95" hidden="1" customHeight="1" x14ac:dyDescent="0.2">
      <c r="A263" s="93"/>
      <c r="B263" s="516"/>
      <c r="C263" s="502"/>
      <c r="D263" s="502"/>
      <c r="E263" s="46" t="s">
        <v>1996</v>
      </c>
      <c r="F263" s="98" t="s">
        <v>1442</v>
      </c>
      <c r="G263" s="145" t="s">
        <v>1442</v>
      </c>
      <c r="H263" s="235"/>
      <c r="I263" s="72" t="s">
        <v>1442</v>
      </c>
      <c r="J263" s="99" t="s">
        <v>1997</v>
      </c>
      <c r="K263" s="62">
        <v>41939</v>
      </c>
      <c r="L263" s="114" t="s">
        <v>1998</v>
      </c>
      <c r="M263" s="175">
        <v>41941</v>
      </c>
      <c r="N263" s="113" t="s">
        <v>2145</v>
      </c>
      <c r="O263" s="104">
        <v>41947</v>
      </c>
      <c r="P263" s="105" t="s">
        <v>1465</v>
      </c>
      <c r="Q263" s="187" t="s">
        <v>2118</v>
      </c>
      <c r="R263" s="62">
        <v>41214</v>
      </c>
      <c r="S263" s="146" t="s">
        <v>2130</v>
      </c>
      <c r="T263" s="104">
        <v>41945</v>
      </c>
      <c r="U263" s="105" t="s">
        <v>1465</v>
      </c>
      <c r="V263" s="106" t="s">
        <v>1442</v>
      </c>
      <c r="W263" s="142"/>
      <c r="X263" s="142"/>
      <c r="Y263" s="143"/>
      <c r="Z263" s="144"/>
      <c r="AA263" s="143"/>
      <c r="AB263" s="144"/>
      <c r="AC263" s="143"/>
      <c r="AD263" s="143"/>
      <c r="AE263" s="143"/>
      <c r="AF263" s="143"/>
      <c r="AG263" s="144"/>
      <c r="AH263" s="143"/>
      <c r="AI263" s="143"/>
    </row>
    <row r="264" spans="1:35" s="112" customFormat="1" ht="31.5" hidden="1" customHeight="1" x14ac:dyDescent="0.2">
      <c r="A264" s="93">
        <f>A260+1</f>
        <v>216</v>
      </c>
      <c r="B264" s="516" t="s">
        <v>752</v>
      </c>
      <c r="C264" s="502" t="s">
        <v>1027</v>
      </c>
      <c r="D264" s="502" t="s">
        <v>1306</v>
      </c>
      <c r="E264" s="46" t="s">
        <v>1369</v>
      </c>
      <c r="F264" s="98">
        <v>2</v>
      </c>
      <c r="G264" s="145">
        <v>41871</v>
      </c>
      <c r="H264" s="235"/>
      <c r="I264" s="72">
        <v>-41</v>
      </c>
      <c r="J264" s="99" t="s">
        <v>1968</v>
      </c>
      <c r="K264" s="99">
        <v>41912</v>
      </c>
      <c r="L264" s="114" t="s">
        <v>1969</v>
      </c>
      <c r="M264" s="104">
        <v>41914</v>
      </c>
      <c r="N264" s="113" t="s">
        <v>2186</v>
      </c>
      <c r="O264" s="104">
        <v>41960</v>
      </c>
      <c r="P264" s="105" t="s">
        <v>1465</v>
      </c>
      <c r="Q264" s="15" t="s">
        <v>1989</v>
      </c>
      <c r="R264" s="62">
        <v>41914</v>
      </c>
      <c r="S264" s="146" t="s">
        <v>2103</v>
      </c>
      <c r="T264" s="104">
        <v>41925</v>
      </c>
      <c r="U264" s="105" t="s">
        <v>1465</v>
      </c>
      <c r="V264" s="106" t="s">
        <v>1442</v>
      </c>
      <c r="W264" s="142"/>
      <c r="X264" s="142"/>
      <c r="Y264" s="143"/>
      <c r="Z264" s="144"/>
      <c r="AA264" s="143"/>
      <c r="AB264" s="144"/>
      <c r="AC264" s="143"/>
      <c r="AD264" s="143"/>
      <c r="AE264" s="143"/>
      <c r="AF264" s="143"/>
      <c r="AG264" s="144"/>
      <c r="AH264" s="143"/>
      <c r="AI264" s="143"/>
    </row>
    <row r="265" spans="1:35" s="112" customFormat="1" ht="25.5" hidden="1" customHeight="1" x14ac:dyDescent="0.2">
      <c r="A265" s="93"/>
      <c r="B265" s="516"/>
      <c r="C265" s="502"/>
      <c r="D265" s="502"/>
      <c r="E265" s="46" t="s">
        <v>1432</v>
      </c>
      <c r="F265" s="98" t="s">
        <v>2016</v>
      </c>
      <c r="G265" s="145" t="s">
        <v>2016</v>
      </c>
      <c r="H265" s="235"/>
      <c r="I265" s="72" t="s">
        <v>2016</v>
      </c>
      <c r="J265" s="99" t="s">
        <v>2002</v>
      </c>
      <c r="K265" s="99" t="s">
        <v>2016</v>
      </c>
      <c r="L265" s="114" t="s">
        <v>2016</v>
      </c>
      <c r="M265" s="104" t="s">
        <v>2016</v>
      </c>
      <c r="N265" s="101" t="s">
        <v>2016</v>
      </c>
      <c r="O265" s="102" t="s">
        <v>2016</v>
      </c>
      <c r="P265" s="101" t="s">
        <v>2016</v>
      </c>
      <c r="Q265" s="186" t="s">
        <v>2016</v>
      </c>
      <c r="R265" s="62" t="s">
        <v>2016</v>
      </c>
      <c r="S265" s="101" t="s">
        <v>2016</v>
      </c>
      <c r="T265" s="102" t="s">
        <v>2016</v>
      </c>
      <c r="U265" s="101" t="s">
        <v>2016</v>
      </c>
      <c r="V265" s="106" t="s">
        <v>2016</v>
      </c>
      <c r="W265" s="142"/>
      <c r="X265" s="142"/>
      <c r="Y265" s="143"/>
      <c r="Z265" s="144"/>
      <c r="AA265" s="143"/>
      <c r="AB265" s="144"/>
      <c r="AC265" s="143"/>
      <c r="AD265" s="143"/>
      <c r="AE265" s="143"/>
      <c r="AF265" s="143"/>
      <c r="AG265" s="144"/>
      <c r="AH265" s="143"/>
      <c r="AI265" s="143"/>
    </row>
    <row r="266" spans="1:35" s="112" customFormat="1" ht="24.75" hidden="1" customHeight="1" x14ac:dyDescent="0.2">
      <c r="A266" s="93"/>
      <c r="B266" s="516"/>
      <c r="C266" s="502"/>
      <c r="D266" s="502"/>
      <c r="E266" s="46" t="s">
        <v>1459</v>
      </c>
      <c r="F266" s="98" t="s">
        <v>1442</v>
      </c>
      <c r="G266" s="145" t="s">
        <v>1442</v>
      </c>
      <c r="H266" s="235"/>
      <c r="I266" s="72" t="s">
        <v>1442</v>
      </c>
      <c r="J266" s="99" t="s">
        <v>2002</v>
      </c>
      <c r="K266" s="99" t="s">
        <v>1442</v>
      </c>
      <c r="L266" s="114" t="s">
        <v>2017</v>
      </c>
      <c r="M266" s="104">
        <v>41933</v>
      </c>
      <c r="N266" s="113" t="s">
        <v>2140</v>
      </c>
      <c r="O266" s="104">
        <v>41946</v>
      </c>
      <c r="P266" s="105" t="s">
        <v>1465</v>
      </c>
      <c r="Q266" s="187" t="s">
        <v>2038</v>
      </c>
      <c r="R266" s="62">
        <v>41933</v>
      </c>
      <c r="S266" s="146" t="s">
        <v>2109</v>
      </c>
      <c r="T266" s="104">
        <v>41935</v>
      </c>
      <c r="U266" s="105" t="s">
        <v>1465</v>
      </c>
      <c r="V266" s="106" t="s">
        <v>1442</v>
      </c>
      <c r="W266" s="142"/>
      <c r="X266" s="142"/>
      <c r="Y266" s="143"/>
      <c r="Z266" s="144"/>
      <c r="AA266" s="143"/>
      <c r="AB266" s="144"/>
      <c r="AC266" s="143"/>
      <c r="AD266" s="143"/>
      <c r="AE266" s="143"/>
      <c r="AF266" s="143"/>
      <c r="AG266" s="144"/>
      <c r="AH266" s="143"/>
      <c r="AI266" s="143"/>
    </row>
    <row r="267" spans="1:35" s="112" customFormat="1" ht="31.5" hidden="1" x14ac:dyDescent="0.2">
      <c r="A267" s="93">
        <f>A264+1</f>
        <v>217</v>
      </c>
      <c r="B267" s="148" t="s">
        <v>753</v>
      </c>
      <c r="C267" s="219" t="s">
        <v>1028</v>
      </c>
      <c r="D267" s="219" t="s">
        <v>1307</v>
      </c>
      <c r="E267" s="46" t="s">
        <v>1369</v>
      </c>
      <c r="F267" s="98">
        <v>2</v>
      </c>
      <c r="G267" s="145">
        <v>41881</v>
      </c>
      <c r="H267" s="235"/>
      <c r="I267" s="72">
        <v>-81</v>
      </c>
      <c r="J267" s="99" t="s">
        <v>2194</v>
      </c>
      <c r="K267" s="99">
        <v>41962</v>
      </c>
      <c r="L267" s="114" t="s">
        <v>2195</v>
      </c>
      <c r="M267" s="104">
        <v>41965</v>
      </c>
      <c r="N267" s="113" t="s">
        <v>2216</v>
      </c>
      <c r="O267" s="104">
        <v>41980</v>
      </c>
      <c r="P267" s="105" t="s">
        <v>1465</v>
      </c>
      <c r="Q267" s="204" t="s">
        <v>2199</v>
      </c>
      <c r="R267" s="62">
        <v>41967</v>
      </c>
      <c r="S267" s="146" t="s">
        <v>2225</v>
      </c>
      <c r="T267" s="104">
        <v>41990</v>
      </c>
      <c r="U267" s="105" t="s">
        <v>1465</v>
      </c>
      <c r="V267" s="194" t="s">
        <v>1442</v>
      </c>
      <c r="W267" s="142"/>
      <c r="X267" s="142"/>
      <c r="Y267" s="143"/>
      <c r="Z267" s="144"/>
      <c r="AA267" s="143"/>
      <c r="AB267" s="144"/>
      <c r="AC267" s="143"/>
      <c r="AD267" s="143"/>
      <c r="AE267" s="143"/>
      <c r="AF267" s="143"/>
      <c r="AG267" s="144"/>
      <c r="AH267" s="143"/>
      <c r="AI267" s="143"/>
    </row>
    <row r="268" spans="1:35" s="112" customFormat="1" ht="24.95" hidden="1" customHeight="1" x14ac:dyDescent="0.2">
      <c r="A268" s="93">
        <f>A267+1</f>
        <v>218</v>
      </c>
      <c r="B268" s="148" t="s">
        <v>754</v>
      </c>
      <c r="C268" s="219" t="s">
        <v>1029</v>
      </c>
      <c r="D268" s="219" t="s">
        <v>1308</v>
      </c>
      <c r="E268" s="46" t="s">
        <v>1369</v>
      </c>
      <c r="F268" s="98">
        <v>2</v>
      </c>
      <c r="G268" s="145">
        <v>41875</v>
      </c>
      <c r="H268" s="235"/>
      <c r="I268" s="72">
        <v>-32</v>
      </c>
      <c r="J268" s="99" t="s">
        <v>1932</v>
      </c>
      <c r="K268" s="99">
        <v>41907</v>
      </c>
      <c r="L268" s="114" t="s">
        <v>1933</v>
      </c>
      <c r="M268" s="104">
        <v>41919</v>
      </c>
      <c r="N268" s="113" t="s">
        <v>2056</v>
      </c>
      <c r="O268" s="104">
        <v>41925</v>
      </c>
      <c r="P268" s="105" t="s">
        <v>1465</v>
      </c>
      <c r="Q268" s="131" t="s">
        <v>2023</v>
      </c>
      <c r="R268" s="104">
        <v>41923</v>
      </c>
      <c r="S268" s="146" t="s">
        <v>2099</v>
      </c>
      <c r="T268" s="104">
        <v>41925</v>
      </c>
      <c r="U268" s="105" t="s">
        <v>1465</v>
      </c>
      <c r="V268" s="106" t="s">
        <v>1442</v>
      </c>
      <c r="W268" s="142"/>
      <c r="X268" s="142"/>
      <c r="Y268" s="143"/>
      <c r="Z268" s="144"/>
      <c r="AA268" s="143"/>
      <c r="AB268" s="144"/>
      <c r="AC268" s="143"/>
      <c r="AD268" s="143"/>
      <c r="AE268" s="143"/>
      <c r="AF268" s="143"/>
      <c r="AG268" s="144"/>
      <c r="AH268" s="143"/>
      <c r="AI268" s="143"/>
    </row>
    <row r="269" spans="1:35" s="112" customFormat="1" ht="24.95" hidden="1" customHeight="1" x14ac:dyDescent="0.2">
      <c r="A269" s="93">
        <f>A268+1</f>
        <v>219</v>
      </c>
      <c r="B269" s="516" t="s">
        <v>755</v>
      </c>
      <c r="C269" s="502" t="s">
        <v>1030</v>
      </c>
      <c r="D269" s="502" t="s">
        <v>1309</v>
      </c>
      <c r="E269" s="46" t="s">
        <v>1369</v>
      </c>
      <c r="F269" s="98">
        <v>2</v>
      </c>
      <c r="G269" s="145">
        <v>41885</v>
      </c>
      <c r="H269" s="235"/>
      <c r="I269" s="72">
        <v>-64</v>
      </c>
      <c r="J269" s="99" t="s">
        <v>2143</v>
      </c>
      <c r="K269" s="99">
        <v>41949</v>
      </c>
      <c r="L269" s="114" t="s">
        <v>2144</v>
      </c>
      <c r="M269" s="104">
        <v>41953</v>
      </c>
      <c r="N269" s="113" t="s">
        <v>2221</v>
      </c>
      <c r="O269" s="104">
        <v>41980</v>
      </c>
      <c r="P269" s="105" t="s">
        <v>1465</v>
      </c>
      <c r="Q269" s="202" t="s">
        <v>2155</v>
      </c>
      <c r="R269" s="62">
        <v>41954</v>
      </c>
      <c r="S269" s="146" t="s">
        <v>2224</v>
      </c>
      <c r="T269" s="104">
        <v>41990</v>
      </c>
      <c r="U269" s="105" t="s">
        <v>1465</v>
      </c>
      <c r="V269" s="106" t="s">
        <v>1442</v>
      </c>
      <c r="W269" s="142"/>
      <c r="X269" s="142"/>
      <c r="Y269" s="143"/>
      <c r="Z269" s="144"/>
      <c r="AA269" s="143"/>
      <c r="AB269" s="144"/>
      <c r="AC269" s="143"/>
      <c r="AD269" s="143"/>
      <c r="AE269" s="143"/>
      <c r="AF269" s="143"/>
      <c r="AG269" s="144"/>
      <c r="AH269" s="143"/>
      <c r="AI269" s="143"/>
    </row>
    <row r="270" spans="1:35" s="112" customFormat="1" ht="24.95" hidden="1" customHeight="1" x14ac:dyDescent="0.2">
      <c r="A270" s="93"/>
      <c r="B270" s="516"/>
      <c r="C270" s="502"/>
      <c r="D270" s="502"/>
      <c r="E270" s="46" t="s">
        <v>1432</v>
      </c>
      <c r="F270" s="98" t="s">
        <v>1442</v>
      </c>
      <c r="G270" s="99" t="s">
        <v>1442</v>
      </c>
      <c r="H270" s="235"/>
      <c r="I270" s="72" t="s">
        <v>1442</v>
      </c>
      <c r="J270" s="99" t="s">
        <v>2156</v>
      </c>
      <c r="K270" s="99">
        <v>41954</v>
      </c>
      <c r="L270" s="114" t="s">
        <v>2157</v>
      </c>
      <c r="M270" s="175">
        <v>41956</v>
      </c>
      <c r="N270" s="113" t="s">
        <v>2214</v>
      </c>
      <c r="O270" s="104">
        <v>41980</v>
      </c>
      <c r="P270" s="105" t="s">
        <v>1465</v>
      </c>
      <c r="Q270" s="201" t="s">
        <v>2168</v>
      </c>
      <c r="R270" s="62">
        <v>41958</v>
      </c>
      <c r="S270" s="146" t="s">
        <v>2224</v>
      </c>
      <c r="T270" s="104">
        <v>41990</v>
      </c>
      <c r="U270" s="105" t="s">
        <v>1465</v>
      </c>
      <c r="V270" s="106" t="s">
        <v>1442</v>
      </c>
      <c r="W270" s="142"/>
      <c r="X270" s="142"/>
      <c r="Y270" s="143"/>
      <c r="Z270" s="144"/>
      <c r="AA270" s="143"/>
      <c r="AB270" s="144"/>
      <c r="AC270" s="143"/>
      <c r="AD270" s="143"/>
      <c r="AE270" s="143"/>
      <c r="AF270" s="143"/>
      <c r="AG270" s="144"/>
      <c r="AH270" s="143"/>
      <c r="AI270" s="143"/>
    </row>
    <row r="271" spans="1:35" s="112" customFormat="1" ht="24.95" customHeight="1" x14ac:dyDescent="0.2">
      <c r="A271" s="592">
        <f>A269+1</f>
        <v>220</v>
      </c>
      <c r="B271" s="510" t="s">
        <v>756</v>
      </c>
      <c r="C271" s="510" t="s">
        <v>1031</v>
      </c>
      <c r="D271" s="510" t="s">
        <v>1310</v>
      </c>
      <c r="E271" s="46" t="s">
        <v>1369</v>
      </c>
      <c r="F271" s="98">
        <v>2</v>
      </c>
      <c r="G271" s="18">
        <v>42186</v>
      </c>
      <c r="H271" s="225">
        <v>42095</v>
      </c>
      <c r="I271" s="72">
        <v>-218</v>
      </c>
      <c r="J271" s="99" t="s">
        <v>3213</v>
      </c>
      <c r="K271" s="99">
        <v>42404</v>
      </c>
      <c r="L271" s="114" t="s">
        <v>3214</v>
      </c>
      <c r="M271" s="18">
        <v>42408</v>
      </c>
      <c r="N271" s="133" t="s">
        <v>3287</v>
      </c>
      <c r="O271" s="104">
        <v>42431</v>
      </c>
      <c r="P271" s="114">
        <v>2</v>
      </c>
      <c r="Q271" s="114" t="s">
        <v>3235</v>
      </c>
      <c r="R271" s="62">
        <v>42409</v>
      </c>
      <c r="S271" s="101"/>
      <c r="T271" s="102"/>
      <c r="U271" s="101"/>
      <c r="V271" s="106" t="s">
        <v>1552</v>
      </c>
      <c r="W271" s="142"/>
      <c r="X271" s="142"/>
      <c r="Y271" s="143"/>
      <c r="Z271" s="144"/>
      <c r="AA271" s="143"/>
      <c r="AB271" s="144"/>
      <c r="AC271" s="143"/>
      <c r="AD271" s="143"/>
      <c r="AE271" s="143"/>
      <c r="AF271" s="143"/>
      <c r="AG271" s="144"/>
      <c r="AH271" s="143"/>
      <c r="AI271" s="143"/>
    </row>
    <row r="272" spans="1:35" s="112" customFormat="1" ht="24.95" customHeight="1" x14ac:dyDescent="0.2">
      <c r="A272" s="593"/>
      <c r="B272" s="584"/>
      <c r="C272" s="584"/>
      <c r="D272" s="584"/>
      <c r="E272" s="290">
        <v>0</v>
      </c>
      <c r="F272" s="98">
        <v>1</v>
      </c>
      <c r="G272" s="18"/>
      <c r="H272" s="225"/>
      <c r="I272" s="72"/>
      <c r="J272" s="99" t="s">
        <v>3319</v>
      </c>
      <c r="K272" s="99">
        <v>42639</v>
      </c>
      <c r="L272" s="114" t="s">
        <v>3324</v>
      </c>
      <c r="M272" s="104">
        <v>42641</v>
      </c>
      <c r="N272" s="133" t="s">
        <v>3388</v>
      </c>
      <c r="O272" s="104">
        <v>42681</v>
      </c>
      <c r="P272" s="114">
        <v>1</v>
      </c>
      <c r="Q272" s="114" t="s">
        <v>3326</v>
      </c>
      <c r="R272" s="175">
        <v>42641</v>
      </c>
      <c r="S272" s="133" t="s">
        <v>3347</v>
      </c>
      <c r="T272" s="104">
        <v>42655</v>
      </c>
      <c r="U272" s="101" t="s">
        <v>1432</v>
      </c>
      <c r="V272" s="106"/>
      <c r="W272" s="142"/>
      <c r="X272" s="142"/>
      <c r="Y272" s="143"/>
      <c r="Z272" s="144"/>
      <c r="AA272" s="143"/>
      <c r="AB272" s="144"/>
      <c r="AC272" s="143"/>
      <c r="AD272" s="143"/>
      <c r="AE272" s="143"/>
      <c r="AF272" s="143"/>
      <c r="AG272" s="144"/>
      <c r="AH272" s="143"/>
      <c r="AI272" s="143"/>
    </row>
    <row r="273" spans="1:35" s="112" customFormat="1" ht="24.95" customHeight="1" x14ac:dyDescent="0.2">
      <c r="A273" s="593"/>
      <c r="B273" s="584"/>
      <c r="C273" s="584"/>
      <c r="D273" s="584"/>
      <c r="E273" s="298" t="s">
        <v>3349</v>
      </c>
      <c r="F273" s="98"/>
      <c r="G273" s="18"/>
      <c r="H273" s="225"/>
      <c r="I273" s="72"/>
      <c r="J273" s="99" t="s">
        <v>3350</v>
      </c>
      <c r="K273" s="99">
        <v>42660</v>
      </c>
      <c r="L273" s="114"/>
      <c r="M273" s="104"/>
      <c r="N273" s="133"/>
      <c r="O273" s="104"/>
      <c r="P273" s="114"/>
      <c r="Q273" s="114" t="s">
        <v>3356</v>
      </c>
      <c r="R273" s="175">
        <v>42661</v>
      </c>
      <c r="S273" s="133" t="s">
        <v>3362</v>
      </c>
      <c r="T273" s="104">
        <v>42662</v>
      </c>
      <c r="U273" s="114" t="s">
        <v>1369</v>
      </c>
      <c r="V273" s="106"/>
      <c r="W273" s="142"/>
      <c r="X273" s="142"/>
      <c r="Y273" s="143"/>
      <c r="Z273" s="144"/>
      <c r="AA273" s="143"/>
      <c r="AB273" s="144"/>
      <c r="AC273" s="143"/>
      <c r="AD273" s="143"/>
      <c r="AE273" s="143"/>
      <c r="AF273" s="143"/>
      <c r="AG273" s="144"/>
      <c r="AH273" s="143"/>
      <c r="AI273" s="143"/>
    </row>
    <row r="274" spans="1:35" s="112" customFormat="1" ht="24.95" customHeight="1" x14ac:dyDescent="0.2">
      <c r="A274" s="594"/>
      <c r="B274" s="511"/>
      <c r="C274" s="511"/>
      <c r="D274" s="511"/>
      <c r="E274" s="290">
        <v>1</v>
      </c>
      <c r="F274" s="98">
        <v>1</v>
      </c>
      <c r="G274" s="18"/>
      <c r="H274" s="225"/>
      <c r="I274" s="72"/>
      <c r="J274" s="99" t="s">
        <v>3338</v>
      </c>
      <c r="K274" s="99">
        <v>42655</v>
      </c>
      <c r="L274" s="114" t="s">
        <v>3357</v>
      </c>
      <c r="M274" s="104">
        <v>42660</v>
      </c>
      <c r="N274" s="46" t="s">
        <v>3394</v>
      </c>
      <c r="O274" s="104">
        <v>42666</v>
      </c>
      <c r="P274" s="114">
        <v>1</v>
      </c>
      <c r="Q274" s="114" t="s">
        <v>3355</v>
      </c>
      <c r="R274" s="175">
        <v>42661</v>
      </c>
      <c r="S274" s="101"/>
      <c r="T274" s="102"/>
      <c r="U274" s="101"/>
      <c r="V274" s="106"/>
      <c r="W274" s="142"/>
      <c r="X274" s="142"/>
      <c r="Y274" s="143"/>
      <c r="Z274" s="144"/>
      <c r="AA274" s="143"/>
      <c r="AB274" s="144"/>
      <c r="AC274" s="143"/>
      <c r="AD274" s="143"/>
      <c r="AE274" s="143"/>
      <c r="AF274" s="143"/>
      <c r="AG274" s="144"/>
      <c r="AH274" s="143"/>
      <c r="AI274" s="143"/>
    </row>
    <row r="275" spans="1:35" s="112" customFormat="1" ht="24.95" customHeight="1" x14ac:dyDescent="0.2">
      <c r="A275" s="93">
        <f>A271+1</f>
        <v>221</v>
      </c>
      <c r="B275" s="514" t="s">
        <v>757</v>
      </c>
      <c r="C275" s="510" t="s">
        <v>1032</v>
      </c>
      <c r="D275" s="510" t="s">
        <v>1311</v>
      </c>
      <c r="E275" s="46" t="s">
        <v>1369</v>
      </c>
      <c r="F275" s="98">
        <v>2</v>
      </c>
      <c r="G275" s="18">
        <v>42190</v>
      </c>
      <c r="H275" s="225">
        <v>42102</v>
      </c>
      <c r="I275" s="72">
        <v>-57</v>
      </c>
      <c r="J275" s="99" t="s">
        <v>2774</v>
      </c>
      <c r="K275" s="99">
        <v>42247</v>
      </c>
      <c r="L275" s="114" t="s">
        <v>2775</v>
      </c>
      <c r="M275" s="18">
        <v>42249</v>
      </c>
      <c r="N275" s="174" t="s">
        <v>2943</v>
      </c>
      <c r="O275" s="278" t="s">
        <v>2942</v>
      </c>
      <c r="P275" s="114">
        <v>4</v>
      </c>
      <c r="Q275" s="17" t="s">
        <v>2792</v>
      </c>
      <c r="R275" s="62">
        <v>42249</v>
      </c>
      <c r="S275" s="46" t="s">
        <v>2801</v>
      </c>
      <c r="T275" s="104">
        <v>42253</v>
      </c>
      <c r="U275" s="114" t="s">
        <v>1369</v>
      </c>
      <c r="V275" s="106" t="s">
        <v>1442</v>
      </c>
      <c r="W275" s="142"/>
      <c r="X275" s="142"/>
      <c r="Y275" s="143"/>
      <c r="Z275" s="144"/>
      <c r="AA275" s="143"/>
      <c r="AB275" s="144"/>
      <c r="AC275" s="143"/>
      <c r="AD275" s="143"/>
      <c r="AE275" s="143"/>
      <c r="AF275" s="143"/>
      <c r="AG275" s="144"/>
      <c r="AH275" s="143"/>
      <c r="AI275" s="143"/>
    </row>
    <row r="276" spans="1:35" s="112" customFormat="1" ht="24.95" customHeight="1" x14ac:dyDescent="0.2">
      <c r="A276" s="93"/>
      <c r="B276" s="515"/>
      <c r="C276" s="511"/>
      <c r="D276" s="511"/>
      <c r="E276" s="46">
        <v>0</v>
      </c>
      <c r="F276" s="98">
        <v>1</v>
      </c>
      <c r="G276" s="18"/>
      <c r="H276" s="225"/>
      <c r="I276" s="72"/>
      <c r="J276" s="274" t="s">
        <v>2899</v>
      </c>
      <c r="K276" s="274">
        <v>42260</v>
      </c>
      <c r="L276" s="114" t="s">
        <v>2902</v>
      </c>
      <c r="M276" s="104">
        <v>42261</v>
      </c>
      <c r="N276" s="290" t="s">
        <v>3031</v>
      </c>
      <c r="O276" s="104">
        <v>42277</v>
      </c>
      <c r="P276" s="114">
        <v>1</v>
      </c>
      <c r="Q276" s="17" t="s">
        <v>2922</v>
      </c>
      <c r="R276" s="18">
        <v>42262</v>
      </c>
      <c r="S276" s="256" t="s">
        <v>2987</v>
      </c>
      <c r="T276" s="104">
        <v>42267</v>
      </c>
      <c r="U276" s="114" t="s">
        <v>1369</v>
      </c>
      <c r="V276" s="106" t="s">
        <v>1442</v>
      </c>
      <c r="W276" s="142"/>
      <c r="X276" s="142"/>
      <c r="Y276" s="143"/>
      <c r="Z276" s="144"/>
      <c r="AA276" s="143"/>
      <c r="AB276" s="144"/>
      <c r="AC276" s="143"/>
      <c r="AD276" s="143"/>
      <c r="AE276" s="143"/>
      <c r="AF276" s="143"/>
      <c r="AG276" s="144"/>
      <c r="AH276" s="143"/>
      <c r="AI276" s="143"/>
    </row>
    <row r="277" spans="1:35" s="112" customFormat="1" ht="24.95" customHeight="1" x14ac:dyDescent="0.2">
      <c r="A277" s="93">
        <f>A275+1</f>
        <v>222</v>
      </c>
      <c r="B277" s="514" t="s">
        <v>758</v>
      </c>
      <c r="C277" s="510" t="s">
        <v>1033</v>
      </c>
      <c r="D277" s="510" t="s">
        <v>1312</v>
      </c>
      <c r="E277" s="46" t="s">
        <v>1369</v>
      </c>
      <c r="F277" s="98">
        <v>2</v>
      </c>
      <c r="G277" s="18">
        <v>42194</v>
      </c>
      <c r="H277" s="225">
        <v>42109</v>
      </c>
      <c r="I277" s="72">
        <v>-61</v>
      </c>
      <c r="J277" s="61" t="s">
        <v>2394</v>
      </c>
      <c r="K277" s="99">
        <v>42164</v>
      </c>
      <c r="L277" s="17" t="s">
        <v>2395</v>
      </c>
      <c r="M277" s="104">
        <v>42165</v>
      </c>
      <c r="N277" s="46" t="s">
        <v>2408</v>
      </c>
      <c r="O277" s="104">
        <v>42169</v>
      </c>
      <c r="P277" s="114">
        <v>2</v>
      </c>
      <c r="Q277" s="224" t="s">
        <v>2402</v>
      </c>
      <c r="R277" s="62">
        <v>42166</v>
      </c>
      <c r="S277" s="256" t="s">
        <v>3170</v>
      </c>
      <c r="T277" s="104">
        <v>42372</v>
      </c>
      <c r="U277" s="114" t="s">
        <v>1369</v>
      </c>
      <c r="V277" s="106" t="s">
        <v>1442</v>
      </c>
      <c r="W277" s="142"/>
      <c r="X277" s="142"/>
      <c r="Y277" s="143"/>
      <c r="Z277" s="144"/>
      <c r="AA277" s="143"/>
      <c r="AB277" s="144"/>
      <c r="AC277" s="143"/>
      <c r="AD277" s="143"/>
      <c r="AE277" s="143"/>
      <c r="AF277" s="143"/>
      <c r="AG277" s="144"/>
      <c r="AH277" s="143"/>
      <c r="AI277" s="143"/>
    </row>
    <row r="278" spans="1:35" s="112" customFormat="1" ht="24.95" customHeight="1" x14ac:dyDescent="0.2">
      <c r="A278" s="93"/>
      <c r="B278" s="591"/>
      <c r="C278" s="584"/>
      <c r="D278" s="584"/>
      <c r="E278" s="46">
        <v>0</v>
      </c>
      <c r="F278" s="98" t="s">
        <v>1442</v>
      </c>
      <c r="G278" s="18" t="s">
        <v>1442</v>
      </c>
      <c r="H278" s="225"/>
      <c r="I278" s="72" t="s">
        <v>1442</v>
      </c>
      <c r="J278" s="61" t="s">
        <v>2708</v>
      </c>
      <c r="K278" s="99">
        <v>42241</v>
      </c>
      <c r="L278" s="17" t="s">
        <v>2709</v>
      </c>
      <c r="M278" s="18">
        <v>42241</v>
      </c>
      <c r="N278" s="46" t="s">
        <v>2760</v>
      </c>
      <c r="O278" s="104">
        <v>42243</v>
      </c>
      <c r="P278" s="114">
        <v>1</v>
      </c>
      <c r="Q278" s="114" t="s">
        <v>2718</v>
      </c>
      <c r="R278" s="62">
        <v>42242</v>
      </c>
      <c r="S278" s="46" t="s">
        <v>2802</v>
      </c>
      <c r="T278" s="104">
        <v>42253</v>
      </c>
      <c r="U278" s="114" t="s">
        <v>1369</v>
      </c>
      <c r="V278" s="106" t="s">
        <v>1442</v>
      </c>
      <c r="W278" s="142"/>
      <c r="X278" s="142"/>
      <c r="Y278" s="143"/>
      <c r="Z278" s="144"/>
      <c r="AA278" s="143"/>
      <c r="AB278" s="144"/>
      <c r="AC278" s="143"/>
      <c r="AD278" s="143"/>
      <c r="AE278" s="143"/>
      <c r="AF278" s="143"/>
      <c r="AG278" s="144"/>
      <c r="AH278" s="143"/>
      <c r="AI278" s="143"/>
    </row>
    <row r="279" spans="1:35" s="112" customFormat="1" ht="24.95" customHeight="1" x14ac:dyDescent="0.2">
      <c r="A279" s="93"/>
      <c r="B279" s="515"/>
      <c r="C279" s="511"/>
      <c r="D279" s="511"/>
      <c r="E279" s="46">
        <v>1</v>
      </c>
      <c r="F279" s="98" t="s">
        <v>1442</v>
      </c>
      <c r="G279" s="18" t="s">
        <v>1442</v>
      </c>
      <c r="H279" s="225"/>
      <c r="I279" s="72" t="s">
        <v>1442</v>
      </c>
      <c r="J279" s="61" t="s">
        <v>2855</v>
      </c>
      <c r="K279" s="145">
        <v>42255</v>
      </c>
      <c r="L279" s="17" t="s">
        <v>2856</v>
      </c>
      <c r="M279" s="18">
        <v>42256</v>
      </c>
      <c r="N279" s="46" t="s">
        <v>2931</v>
      </c>
      <c r="O279" s="104">
        <v>42262</v>
      </c>
      <c r="P279" s="114">
        <v>1</v>
      </c>
      <c r="Q279" s="114" t="s">
        <v>2887</v>
      </c>
      <c r="R279" s="62">
        <v>42257</v>
      </c>
      <c r="S279" s="46" t="s">
        <v>2925</v>
      </c>
      <c r="T279" s="138">
        <v>42262</v>
      </c>
      <c r="U279" s="131" t="s">
        <v>1369</v>
      </c>
      <c r="V279" s="184" t="s">
        <v>1442</v>
      </c>
      <c r="W279" s="142"/>
      <c r="X279" s="142"/>
      <c r="Y279" s="143"/>
      <c r="Z279" s="144"/>
      <c r="AA279" s="143"/>
      <c r="AB279" s="144"/>
      <c r="AC279" s="143"/>
      <c r="AD279" s="143"/>
      <c r="AE279" s="143"/>
      <c r="AF279" s="143"/>
      <c r="AG279" s="144"/>
      <c r="AH279" s="143"/>
      <c r="AI279" s="143"/>
    </row>
    <row r="280" spans="1:35" s="112" customFormat="1" ht="24.95" customHeight="1" x14ac:dyDescent="0.2">
      <c r="A280" s="93">
        <f>A277+1</f>
        <v>223</v>
      </c>
      <c r="B280" s="514" t="s">
        <v>759</v>
      </c>
      <c r="C280" s="510" t="s">
        <v>1034</v>
      </c>
      <c r="D280" s="510" t="s">
        <v>1313</v>
      </c>
      <c r="E280" s="46" t="s">
        <v>1369</v>
      </c>
      <c r="F280" s="98">
        <v>2</v>
      </c>
      <c r="G280" s="18">
        <v>42116</v>
      </c>
      <c r="H280" s="225">
        <v>42116</v>
      </c>
      <c r="I280" s="72">
        <v>2</v>
      </c>
      <c r="J280" s="61" t="s">
        <v>2327</v>
      </c>
      <c r="K280" s="99">
        <v>42114</v>
      </c>
      <c r="L280" s="17" t="s">
        <v>2329</v>
      </c>
      <c r="M280" s="18">
        <v>42123</v>
      </c>
      <c r="N280" s="46" t="s">
        <v>2364</v>
      </c>
      <c r="O280" s="104">
        <v>42141</v>
      </c>
      <c r="P280" s="114">
        <v>2</v>
      </c>
      <c r="Q280" s="114" t="s">
        <v>2339</v>
      </c>
      <c r="R280" s="18">
        <v>42137</v>
      </c>
      <c r="S280" s="46" t="s">
        <v>2353</v>
      </c>
      <c r="T280" s="104">
        <v>42142</v>
      </c>
      <c r="U280" s="114" t="s">
        <v>1369</v>
      </c>
      <c r="V280" s="106" t="s">
        <v>1442</v>
      </c>
      <c r="W280" s="142"/>
      <c r="X280" s="142"/>
      <c r="Y280" s="143"/>
      <c r="Z280" s="144"/>
      <c r="AA280" s="143"/>
      <c r="AB280" s="144"/>
      <c r="AC280" s="143"/>
      <c r="AD280" s="143"/>
      <c r="AE280" s="143"/>
      <c r="AF280" s="143"/>
      <c r="AG280" s="144"/>
      <c r="AH280" s="143"/>
      <c r="AI280" s="143"/>
    </row>
    <row r="281" spans="1:35" s="112" customFormat="1" ht="24.95" customHeight="1" x14ac:dyDescent="0.2">
      <c r="A281" s="93"/>
      <c r="B281" s="515"/>
      <c r="C281" s="511"/>
      <c r="D281" s="511"/>
      <c r="E281" s="46">
        <v>0</v>
      </c>
      <c r="F281" s="98" t="s">
        <v>1442</v>
      </c>
      <c r="G281" s="18" t="s">
        <v>1442</v>
      </c>
      <c r="H281" s="225"/>
      <c r="I281" s="72" t="s">
        <v>1442</v>
      </c>
      <c r="J281" s="61" t="s">
        <v>2635</v>
      </c>
      <c r="K281" s="99">
        <v>42232</v>
      </c>
      <c r="L281" s="17" t="s">
        <v>2636</v>
      </c>
      <c r="M281" s="18">
        <v>42233</v>
      </c>
      <c r="N281" s="46" t="s">
        <v>2699</v>
      </c>
      <c r="O281" s="104">
        <v>42239</v>
      </c>
      <c r="P281" s="114">
        <v>1</v>
      </c>
      <c r="Q281" s="114" t="s">
        <v>2647</v>
      </c>
      <c r="R281" s="18">
        <v>42233</v>
      </c>
      <c r="S281" s="46" t="s">
        <v>2803</v>
      </c>
      <c r="T281" s="104">
        <v>42253</v>
      </c>
      <c r="U281" s="114" t="s">
        <v>1369</v>
      </c>
      <c r="V281" s="106" t="s">
        <v>1442</v>
      </c>
      <c r="W281" s="142"/>
      <c r="X281" s="142"/>
      <c r="Y281" s="143"/>
      <c r="Z281" s="144"/>
      <c r="AA281" s="143"/>
      <c r="AB281" s="144"/>
      <c r="AC281" s="143"/>
      <c r="AD281" s="143"/>
      <c r="AE281" s="143"/>
      <c r="AF281" s="143"/>
      <c r="AG281" s="144"/>
      <c r="AH281" s="143"/>
      <c r="AI281" s="143"/>
    </row>
    <row r="282" spans="1:35" s="112" customFormat="1" ht="24.95" customHeight="1" x14ac:dyDescent="0.2">
      <c r="A282" s="93">
        <f>A280+1</f>
        <v>224</v>
      </c>
      <c r="B282" s="510" t="s">
        <v>760</v>
      </c>
      <c r="C282" s="510" t="s">
        <v>1035</v>
      </c>
      <c r="D282" s="510" t="s">
        <v>1314</v>
      </c>
      <c r="E282" s="46" t="s">
        <v>1369</v>
      </c>
      <c r="F282" s="98">
        <v>2</v>
      </c>
      <c r="G282" s="18">
        <v>42123</v>
      </c>
      <c r="H282" s="225">
        <v>42123</v>
      </c>
      <c r="I282" s="72">
        <v>14</v>
      </c>
      <c r="J282" s="61" t="s">
        <v>2322</v>
      </c>
      <c r="K282" s="99">
        <v>42109</v>
      </c>
      <c r="L282" s="17" t="s">
        <v>2323</v>
      </c>
      <c r="M282" s="18">
        <v>42123</v>
      </c>
      <c r="N282" s="46" t="s">
        <v>2365</v>
      </c>
      <c r="O282" s="104">
        <v>42141</v>
      </c>
      <c r="P282" s="114">
        <v>2</v>
      </c>
      <c r="Q282" s="114" t="s">
        <v>2342</v>
      </c>
      <c r="R282" s="18">
        <v>42137</v>
      </c>
      <c r="S282" s="46" t="s">
        <v>2354</v>
      </c>
      <c r="T282" s="104">
        <v>42142</v>
      </c>
      <c r="U282" s="114" t="s">
        <v>1369</v>
      </c>
      <c r="V282" s="106" t="s">
        <v>1442</v>
      </c>
      <c r="W282" s="142"/>
      <c r="X282" s="142"/>
      <c r="Y282" s="143"/>
      <c r="Z282" s="144"/>
      <c r="AA282" s="143"/>
      <c r="AB282" s="144"/>
      <c r="AC282" s="143"/>
      <c r="AD282" s="143"/>
      <c r="AE282" s="143"/>
      <c r="AF282" s="143"/>
      <c r="AG282" s="144"/>
      <c r="AH282" s="143"/>
      <c r="AI282" s="143"/>
    </row>
    <row r="283" spans="1:35" s="112" customFormat="1" ht="24.95" customHeight="1" x14ac:dyDescent="0.2">
      <c r="A283" s="93"/>
      <c r="B283" s="584"/>
      <c r="C283" s="584"/>
      <c r="D283" s="584"/>
      <c r="E283" s="46">
        <v>0</v>
      </c>
      <c r="F283" s="98" t="s">
        <v>1442</v>
      </c>
      <c r="G283" s="18" t="s">
        <v>1442</v>
      </c>
      <c r="H283" s="225"/>
      <c r="I283" s="72" t="s">
        <v>1442</v>
      </c>
      <c r="J283" s="61" t="s">
        <v>2618</v>
      </c>
      <c r="K283" s="99">
        <v>42229</v>
      </c>
      <c r="L283" s="17" t="s">
        <v>2619</v>
      </c>
      <c r="M283" s="18">
        <v>42232</v>
      </c>
      <c r="N283" s="46" t="s">
        <v>2679</v>
      </c>
      <c r="O283" s="250">
        <v>42234</v>
      </c>
      <c r="P283" s="114">
        <v>1</v>
      </c>
      <c r="Q283" s="258" t="s">
        <v>2640</v>
      </c>
      <c r="R283" s="62">
        <v>42232</v>
      </c>
      <c r="S283" s="46" t="s">
        <v>2804</v>
      </c>
      <c r="T283" s="104">
        <v>42253</v>
      </c>
      <c r="U283" s="114" t="s">
        <v>1369</v>
      </c>
      <c r="V283" s="106" t="s">
        <v>1442</v>
      </c>
      <c r="W283" s="142"/>
      <c r="X283" s="142"/>
      <c r="Y283" s="143"/>
      <c r="Z283" s="144"/>
      <c r="AA283" s="143"/>
      <c r="AB283" s="144"/>
      <c r="AC283" s="143"/>
      <c r="AD283" s="143"/>
      <c r="AE283" s="143"/>
      <c r="AF283" s="143"/>
      <c r="AG283" s="144"/>
      <c r="AH283" s="143"/>
      <c r="AI283" s="143"/>
    </row>
    <row r="284" spans="1:35" s="112" customFormat="1" ht="24.95" customHeight="1" x14ac:dyDescent="0.2">
      <c r="A284" s="93"/>
      <c r="B284" s="511"/>
      <c r="C284" s="511"/>
      <c r="D284" s="511"/>
      <c r="E284" s="290">
        <v>1</v>
      </c>
      <c r="F284" s="98"/>
      <c r="G284" s="18"/>
      <c r="H284" s="225"/>
      <c r="I284" s="72"/>
      <c r="J284" s="62" t="s">
        <v>2972</v>
      </c>
      <c r="K284" s="99">
        <v>42267</v>
      </c>
      <c r="L284" s="17" t="s">
        <v>2959</v>
      </c>
      <c r="M284" s="18">
        <v>42269</v>
      </c>
      <c r="N284" s="290" t="s">
        <v>3028</v>
      </c>
      <c r="O284" s="250">
        <v>42277</v>
      </c>
      <c r="P284" s="114">
        <v>1</v>
      </c>
      <c r="Q284" s="285" t="s">
        <v>3018</v>
      </c>
      <c r="R284" s="62">
        <v>42269</v>
      </c>
      <c r="S284" s="290" t="s">
        <v>3099</v>
      </c>
      <c r="T284" s="104">
        <v>42333</v>
      </c>
      <c r="U284" s="114" t="s">
        <v>1369</v>
      </c>
      <c r="V284" s="106" t="s">
        <v>1442</v>
      </c>
      <c r="W284" s="142"/>
      <c r="X284" s="142"/>
      <c r="Y284" s="143"/>
      <c r="Z284" s="144"/>
      <c r="AA284" s="143"/>
      <c r="AB284" s="144"/>
      <c r="AC284" s="143"/>
      <c r="AD284" s="143"/>
      <c r="AE284" s="143"/>
      <c r="AF284" s="143"/>
      <c r="AG284" s="144"/>
      <c r="AH284" s="143"/>
      <c r="AI284" s="143"/>
    </row>
    <row r="285" spans="1:35" s="112" customFormat="1" ht="24.95" customHeight="1" x14ac:dyDescent="0.2">
      <c r="A285" s="93">
        <f>A282+1</f>
        <v>225</v>
      </c>
      <c r="B285" s="514" t="s">
        <v>761</v>
      </c>
      <c r="C285" s="510" t="s">
        <v>1036</v>
      </c>
      <c r="D285" s="510" t="s">
        <v>1315</v>
      </c>
      <c r="E285" s="46" t="s">
        <v>1369</v>
      </c>
      <c r="F285" s="98">
        <v>2</v>
      </c>
      <c r="G285" s="18">
        <v>42130</v>
      </c>
      <c r="H285" s="225">
        <v>42130</v>
      </c>
      <c r="I285" s="72">
        <v>21</v>
      </c>
      <c r="J285" s="61" t="s">
        <v>2322</v>
      </c>
      <c r="K285" s="99">
        <v>42109</v>
      </c>
      <c r="L285" s="17" t="s">
        <v>2323</v>
      </c>
      <c r="M285" s="18">
        <v>42123</v>
      </c>
      <c r="N285" s="46" t="s">
        <v>2365</v>
      </c>
      <c r="O285" s="104">
        <v>42141</v>
      </c>
      <c r="P285" s="114">
        <v>2</v>
      </c>
      <c r="Q285" s="114" t="s">
        <v>2342</v>
      </c>
      <c r="R285" s="18">
        <v>42137</v>
      </c>
      <c r="S285" s="46" t="s">
        <v>2355</v>
      </c>
      <c r="T285" s="104">
        <v>42142</v>
      </c>
      <c r="U285" s="114" t="s">
        <v>1369</v>
      </c>
      <c r="V285" s="106" t="s">
        <v>1442</v>
      </c>
      <c r="W285" s="142"/>
      <c r="X285" s="142"/>
      <c r="Y285" s="143"/>
      <c r="Z285" s="144"/>
      <c r="AA285" s="143"/>
      <c r="AB285" s="144"/>
      <c r="AC285" s="143"/>
      <c r="AD285" s="143"/>
      <c r="AE285" s="143"/>
      <c r="AF285" s="143"/>
      <c r="AG285" s="144"/>
      <c r="AH285" s="143"/>
      <c r="AI285" s="143"/>
    </row>
    <row r="286" spans="1:35" s="112" customFormat="1" ht="24.95" customHeight="1" x14ac:dyDescent="0.2">
      <c r="A286" s="93"/>
      <c r="B286" s="515"/>
      <c r="C286" s="511"/>
      <c r="D286" s="511"/>
      <c r="E286" s="46">
        <v>0</v>
      </c>
      <c r="F286" s="98" t="s">
        <v>1442</v>
      </c>
      <c r="G286" s="18" t="s">
        <v>1442</v>
      </c>
      <c r="H286" s="225"/>
      <c r="I286" s="72" t="s">
        <v>1442</v>
      </c>
      <c r="J286" s="61" t="s">
        <v>2603</v>
      </c>
      <c r="K286" s="61">
        <v>42228</v>
      </c>
      <c r="L286" s="17" t="s">
        <v>2604</v>
      </c>
      <c r="M286" s="18">
        <v>42229</v>
      </c>
      <c r="N286" s="46" t="s">
        <v>2678</v>
      </c>
      <c r="O286" s="250">
        <v>42234</v>
      </c>
      <c r="P286" s="114">
        <v>1</v>
      </c>
      <c r="Q286" s="114" t="s">
        <v>2610</v>
      </c>
      <c r="R286" s="18">
        <v>42229</v>
      </c>
      <c r="S286" s="46" t="s">
        <v>2805</v>
      </c>
      <c r="T286" s="104">
        <v>42253</v>
      </c>
      <c r="U286" s="114" t="s">
        <v>1369</v>
      </c>
      <c r="V286" s="106" t="s">
        <v>1442</v>
      </c>
      <c r="W286" s="142"/>
      <c r="X286" s="142"/>
      <c r="Y286" s="143"/>
      <c r="Z286" s="144"/>
      <c r="AA286" s="143"/>
      <c r="AB286" s="144"/>
      <c r="AC286" s="143"/>
      <c r="AD286" s="143"/>
      <c r="AE286" s="143"/>
      <c r="AF286" s="143"/>
      <c r="AG286" s="144"/>
      <c r="AH286" s="143"/>
      <c r="AI286" s="143"/>
    </row>
    <row r="287" spans="1:35" s="112" customFormat="1" ht="24.95" customHeight="1" x14ac:dyDescent="0.2">
      <c r="A287" s="93">
        <f>A285+1</f>
        <v>226</v>
      </c>
      <c r="B287" s="514" t="s">
        <v>762</v>
      </c>
      <c r="C287" s="510" t="s">
        <v>1037</v>
      </c>
      <c r="D287" s="510" t="s">
        <v>1316</v>
      </c>
      <c r="E287" s="46" t="s">
        <v>1369</v>
      </c>
      <c r="F287" s="98">
        <v>2</v>
      </c>
      <c r="G287" s="18">
        <v>42137</v>
      </c>
      <c r="H287" s="225">
        <v>42137</v>
      </c>
      <c r="I287" s="72">
        <v>20</v>
      </c>
      <c r="J287" s="61" t="s">
        <v>2332</v>
      </c>
      <c r="K287" s="61">
        <v>42117</v>
      </c>
      <c r="L287" s="17" t="s">
        <v>2334</v>
      </c>
      <c r="M287" s="18">
        <v>42123</v>
      </c>
      <c r="N287" s="46" t="s">
        <v>2363</v>
      </c>
      <c r="O287" s="104">
        <v>42141</v>
      </c>
      <c r="P287" s="114">
        <v>2</v>
      </c>
      <c r="Q287" s="114" t="s">
        <v>2338</v>
      </c>
      <c r="R287" s="18">
        <v>42137</v>
      </c>
      <c r="S287" s="46" t="s">
        <v>2351</v>
      </c>
      <c r="T287" s="104">
        <v>42141</v>
      </c>
      <c r="U287" s="114" t="s">
        <v>1369</v>
      </c>
      <c r="V287" s="106" t="s">
        <v>1442</v>
      </c>
      <c r="W287" s="142"/>
      <c r="X287" s="142"/>
      <c r="Y287" s="143"/>
      <c r="Z287" s="144"/>
      <c r="AA287" s="143"/>
      <c r="AB287" s="144"/>
      <c r="AC287" s="143"/>
      <c r="AD287" s="143"/>
      <c r="AE287" s="143"/>
      <c r="AF287" s="143"/>
      <c r="AG287" s="144"/>
      <c r="AH287" s="143"/>
      <c r="AI287" s="143"/>
    </row>
    <row r="288" spans="1:35" s="112" customFormat="1" ht="24.95" customHeight="1" x14ac:dyDescent="0.2">
      <c r="A288" s="93"/>
      <c r="B288" s="515"/>
      <c r="C288" s="511"/>
      <c r="D288" s="511"/>
      <c r="E288" s="46">
        <v>0</v>
      </c>
      <c r="F288" s="98"/>
      <c r="G288" s="18" t="s">
        <v>1442</v>
      </c>
      <c r="H288" s="225"/>
      <c r="I288" s="72" t="s">
        <v>1442</v>
      </c>
      <c r="J288" s="99" t="s">
        <v>2592</v>
      </c>
      <c r="K288" s="99">
        <v>42227</v>
      </c>
      <c r="L288" s="114" t="s">
        <v>2593</v>
      </c>
      <c r="M288" s="18">
        <v>42228</v>
      </c>
      <c r="N288" s="46" t="s">
        <v>2677</v>
      </c>
      <c r="O288" s="250">
        <v>42234</v>
      </c>
      <c r="P288" s="114">
        <v>1</v>
      </c>
      <c r="Q288" s="114" t="s">
        <v>2605</v>
      </c>
      <c r="R288" s="18">
        <v>42228</v>
      </c>
      <c r="S288" s="46" t="s">
        <v>2628</v>
      </c>
      <c r="T288" s="245">
        <v>42232</v>
      </c>
      <c r="U288" s="244" t="s">
        <v>1369</v>
      </c>
      <c r="V288" s="106" t="s">
        <v>1442</v>
      </c>
      <c r="W288" s="142"/>
      <c r="X288" s="142"/>
      <c r="Y288" s="143"/>
      <c r="Z288" s="144"/>
      <c r="AA288" s="143"/>
      <c r="AB288" s="144"/>
      <c r="AC288" s="143"/>
      <c r="AD288" s="143"/>
      <c r="AE288" s="143"/>
      <c r="AF288" s="143"/>
      <c r="AG288" s="144"/>
      <c r="AH288" s="143"/>
      <c r="AI288" s="143"/>
    </row>
    <row r="289" spans="1:35" s="112" customFormat="1" ht="31.5" customHeight="1" x14ac:dyDescent="0.2">
      <c r="A289" s="93">
        <f>A287+1</f>
        <v>227</v>
      </c>
      <c r="B289" s="510" t="s">
        <v>763</v>
      </c>
      <c r="C289" s="510" t="s">
        <v>1038</v>
      </c>
      <c r="D289" s="510" t="s">
        <v>1317</v>
      </c>
      <c r="E289" s="46" t="s">
        <v>1369</v>
      </c>
      <c r="F289" s="98">
        <v>2</v>
      </c>
      <c r="G289" s="18">
        <v>42198</v>
      </c>
      <c r="H289" s="225">
        <v>42144</v>
      </c>
      <c r="I289" s="72">
        <v>-45</v>
      </c>
      <c r="J289" s="61" t="s">
        <v>2743</v>
      </c>
      <c r="K289" s="99">
        <v>42243</v>
      </c>
      <c r="L289" s="114" t="s">
        <v>2744</v>
      </c>
      <c r="M289" s="18">
        <v>42248</v>
      </c>
      <c r="N289" s="46" t="s">
        <v>2886</v>
      </c>
      <c r="O289" s="104">
        <v>42250</v>
      </c>
      <c r="P289" s="114">
        <v>2</v>
      </c>
      <c r="Q289" s="17" t="s">
        <v>2785</v>
      </c>
      <c r="R289" s="62">
        <v>42249</v>
      </c>
      <c r="S289" s="46" t="s">
        <v>2825</v>
      </c>
      <c r="T289" s="104">
        <v>42254</v>
      </c>
      <c r="U289" s="244" t="s">
        <v>1369</v>
      </c>
      <c r="V289" s="106" t="s">
        <v>1442</v>
      </c>
      <c r="W289" s="142"/>
      <c r="X289" s="142"/>
      <c r="Y289" s="143"/>
      <c r="Z289" s="144"/>
      <c r="AA289" s="143"/>
      <c r="AB289" s="144"/>
      <c r="AC289" s="143"/>
      <c r="AD289" s="143"/>
      <c r="AE289" s="143"/>
      <c r="AF289" s="143"/>
      <c r="AG289" s="144"/>
      <c r="AH289" s="143"/>
      <c r="AI289" s="143"/>
    </row>
    <row r="290" spans="1:35" s="112" customFormat="1" ht="30" customHeight="1" x14ac:dyDescent="0.2">
      <c r="A290" s="93"/>
      <c r="B290" s="511"/>
      <c r="C290" s="511"/>
      <c r="D290" s="511"/>
      <c r="E290" s="290">
        <v>0</v>
      </c>
      <c r="F290" s="98"/>
      <c r="G290" s="18"/>
      <c r="H290" s="225"/>
      <c r="I290" s="72"/>
      <c r="J290" s="62" t="s">
        <v>2972</v>
      </c>
      <c r="K290" s="99">
        <v>42267</v>
      </c>
      <c r="L290" s="17" t="s">
        <v>2959</v>
      </c>
      <c r="M290" s="18">
        <v>42269</v>
      </c>
      <c r="N290" s="290" t="s">
        <v>3028</v>
      </c>
      <c r="O290" s="250">
        <v>42277</v>
      </c>
      <c r="P290" s="114">
        <v>1</v>
      </c>
      <c r="Q290" s="285" t="s">
        <v>3018</v>
      </c>
      <c r="R290" s="62">
        <v>42269</v>
      </c>
      <c r="S290" s="290" t="s">
        <v>3100</v>
      </c>
      <c r="T290" s="104">
        <v>42333</v>
      </c>
      <c r="U290" s="114" t="s">
        <v>1369</v>
      </c>
      <c r="V290" s="106" t="s">
        <v>1442</v>
      </c>
      <c r="W290" s="142"/>
      <c r="X290" s="142"/>
      <c r="Y290" s="143"/>
      <c r="Z290" s="144"/>
      <c r="AA290" s="143"/>
      <c r="AB290" s="144"/>
      <c r="AC290" s="143"/>
      <c r="AD290" s="143"/>
      <c r="AE290" s="143"/>
      <c r="AF290" s="143"/>
      <c r="AG290" s="144"/>
      <c r="AH290" s="143"/>
      <c r="AI290" s="143"/>
    </row>
    <row r="291" spans="1:35" s="112" customFormat="1" ht="24.95" customHeight="1" x14ac:dyDescent="0.2">
      <c r="A291" s="93">
        <f>A289+1</f>
        <v>228</v>
      </c>
      <c r="B291" s="510" t="s">
        <v>764</v>
      </c>
      <c r="C291" s="510" t="s">
        <v>1039</v>
      </c>
      <c r="D291" s="510" t="s">
        <v>1318</v>
      </c>
      <c r="E291" s="46" t="s">
        <v>1369</v>
      </c>
      <c r="F291" s="98">
        <v>2</v>
      </c>
      <c r="G291" s="18">
        <v>42202</v>
      </c>
      <c r="H291" s="225">
        <v>42151</v>
      </c>
      <c r="I291" s="72">
        <v>-32</v>
      </c>
      <c r="J291" s="99" t="s">
        <v>2666</v>
      </c>
      <c r="K291" s="99">
        <v>42234</v>
      </c>
      <c r="L291" s="114" t="s">
        <v>2667</v>
      </c>
      <c r="M291" s="18">
        <v>42235</v>
      </c>
      <c r="N291" s="46" t="s">
        <v>2758</v>
      </c>
      <c r="O291" s="250">
        <v>42277</v>
      </c>
      <c r="P291" s="244">
        <v>2</v>
      </c>
      <c r="Q291" s="244" t="s">
        <v>2680</v>
      </c>
      <c r="R291" s="18">
        <v>42235</v>
      </c>
      <c r="S291" s="46" t="s">
        <v>2828</v>
      </c>
      <c r="T291" s="104">
        <v>42254</v>
      </c>
      <c r="U291" s="244" t="s">
        <v>1369</v>
      </c>
      <c r="V291" s="106" t="s">
        <v>1442</v>
      </c>
      <c r="W291" s="142"/>
      <c r="X291" s="142"/>
      <c r="Y291" s="143"/>
      <c r="Z291" s="144"/>
      <c r="AA291" s="143"/>
      <c r="AB291" s="144"/>
      <c r="AC291" s="143"/>
      <c r="AD291" s="143"/>
      <c r="AE291" s="143"/>
      <c r="AF291" s="143"/>
      <c r="AG291" s="144"/>
      <c r="AH291" s="143"/>
      <c r="AI291" s="143"/>
    </row>
    <row r="292" spans="1:35" s="112" customFormat="1" ht="24.95" customHeight="1" x14ac:dyDescent="0.2">
      <c r="A292" s="93"/>
      <c r="B292" s="511"/>
      <c r="C292" s="511"/>
      <c r="D292" s="511"/>
      <c r="E292" s="290">
        <v>0</v>
      </c>
      <c r="F292" s="98"/>
      <c r="G292" s="18"/>
      <c r="H292" s="225"/>
      <c r="I292" s="72"/>
      <c r="J292" s="99" t="s">
        <v>2974</v>
      </c>
      <c r="K292" s="99">
        <v>42268</v>
      </c>
      <c r="L292" s="17" t="s">
        <v>2961</v>
      </c>
      <c r="M292" s="18">
        <v>42269</v>
      </c>
      <c r="N292" s="290" t="s">
        <v>3029</v>
      </c>
      <c r="O292" s="250">
        <v>42277</v>
      </c>
      <c r="P292" s="114">
        <v>1</v>
      </c>
      <c r="Q292" s="244" t="s">
        <v>3020</v>
      </c>
      <c r="R292" s="18">
        <v>42269</v>
      </c>
      <c r="S292" s="290" t="s">
        <v>3101</v>
      </c>
      <c r="T292" s="104">
        <v>42333</v>
      </c>
      <c r="U292" s="114" t="s">
        <v>1369</v>
      </c>
      <c r="V292" s="106" t="s">
        <v>1442</v>
      </c>
      <c r="W292" s="142"/>
      <c r="X292" s="142"/>
      <c r="Y292" s="143"/>
      <c r="Z292" s="144"/>
      <c r="AA292" s="143"/>
      <c r="AB292" s="144"/>
      <c r="AC292" s="143"/>
      <c r="AD292" s="143"/>
      <c r="AE292" s="143"/>
      <c r="AF292" s="143"/>
      <c r="AG292" s="144"/>
      <c r="AH292" s="143"/>
      <c r="AI292" s="143"/>
    </row>
    <row r="293" spans="1:35" s="112" customFormat="1" ht="24.95" customHeight="1" x14ac:dyDescent="0.2">
      <c r="A293" s="93">
        <f>A291+1</f>
        <v>229</v>
      </c>
      <c r="B293" s="514" t="s">
        <v>765</v>
      </c>
      <c r="C293" s="510" t="s">
        <v>1040</v>
      </c>
      <c r="D293" s="510" t="s">
        <v>1319</v>
      </c>
      <c r="E293" s="46" t="s">
        <v>1369</v>
      </c>
      <c r="F293" s="98">
        <v>2</v>
      </c>
      <c r="G293" s="18">
        <v>42158</v>
      </c>
      <c r="H293" s="225">
        <v>42158</v>
      </c>
      <c r="I293" s="72">
        <v>44</v>
      </c>
      <c r="J293" s="61" t="s">
        <v>2327</v>
      </c>
      <c r="K293" s="99">
        <v>42114</v>
      </c>
      <c r="L293" s="17" t="s">
        <v>2329</v>
      </c>
      <c r="M293" s="18">
        <v>42123</v>
      </c>
      <c r="N293" s="46" t="s">
        <v>2364</v>
      </c>
      <c r="O293" s="104">
        <v>42141</v>
      </c>
      <c r="P293" s="114">
        <v>2</v>
      </c>
      <c r="Q293" s="114" t="s">
        <v>2339</v>
      </c>
      <c r="R293" s="18">
        <v>42137</v>
      </c>
      <c r="S293" s="46" t="s">
        <v>2352</v>
      </c>
      <c r="T293" s="104">
        <v>42142</v>
      </c>
      <c r="U293" s="114" t="s">
        <v>1369</v>
      </c>
      <c r="V293" s="106" t="s">
        <v>1442</v>
      </c>
      <c r="W293" s="142"/>
      <c r="X293" s="142"/>
      <c r="Y293" s="143"/>
      <c r="Z293" s="144"/>
      <c r="AA293" s="143"/>
      <c r="AB293" s="144"/>
      <c r="AC293" s="143"/>
      <c r="AD293" s="143"/>
      <c r="AE293" s="143"/>
      <c r="AF293" s="143"/>
      <c r="AG293" s="144"/>
      <c r="AH293" s="143"/>
      <c r="AI293" s="143"/>
    </row>
    <row r="294" spans="1:35" s="112" customFormat="1" ht="24.95" customHeight="1" x14ac:dyDescent="0.2">
      <c r="A294" s="93"/>
      <c r="B294" s="515"/>
      <c r="C294" s="511"/>
      <c r="D294" s="511"/>
      <c r="E294" s="46">
        <v>0</v>
      </c>
      <c r="F294" s="98"/>
      <c r="G294" s="18" t="s">
        <v>1442</v>
      </c>
      <c r="H294" s="225"/>
      <c r="I294" s="72" t="s">
        <v>1442</v>
      </c>
      <c r="J294" s="99" t="s">
        <v>2592</v>
      </c>
      <c r="K294" s="99">
        <v>42227</v>
      </c>
      <c r="L294" s="114" t="s">
        <v>2593</v>
      </c>
      <c r="M294" s="18">
        <v>42228</v>
      </c>
      <c r="N294" s="46" t="s">
        <v>2677</v>
      </c>
      <c r="O294" s="250">
        <v>42234</v>
      </c>
      <c r="P294" s="114">
        <v>1</v>
      </c>
      <c r="Q294" s="114" t="s">
        <v>2605</v>
      </c>
      <c r="R294" s="18">
        <v>42228</v>
      </c>
      <c r="S294" s="46" t="s">
        <v>2624</v>
      </c>
      <c r="T294" s="104">
        <v>42231</v>
      </c>
      <c r="U294" s="114" t="s">
        <v>1369</v>
      </c>
      <c r="V294" s="106" t="s">
        <v>1442</v>
      </c>
      <c r="W294" s="142"/>
      <c r="X294" s="142"/>
      <c r="Y294" s="143"/>
      <c r="Z294" s="144"/>
      <c r="AA294" s="143"/>
      <c r="AB294" s="144"/>
      <c r="AC294" s="143"/>
      <c r="AD294" s="143"/>
      <c r="AE294" s="143"/>
      <c r="AF294" s="143"/>
      <c r="AG294" s="144"/>
      <c r="AH294" s="143"/>
      <c r="AI294" s="143"/>
    </row>
    <row r="295" spans="1:35" s="112" customFormat="1" ht="24.95" customHeight="1" x14ac:dyDescent="0.2">
      <c r="A295" s="93">
        <f>A293+1</f>
        <v>230</v>
      </c>
      <c r="B295" s="514" t="s">
        <v>766</v>
      </c>
      <c r="C295" s="510" t="s">
        <v>1041</v>
      </c>
      <c r="D295" s="510" t="s">
        <v>1320</v>
      </c>
      <c r="E295" s="46" t="s">
        <v>1369</v>
      </c>
      <c r="F295" s="98">
        <v>2</v>
      </c>
      <c r="G295" s="18">
        <v>42206</v>
      </c>
      <c r="H295" s="225">
        <v>42165</v>
      </c>
      <c r="I295" s="72">
        <v>-203</v>
      </c>
      <c r="J295" s="61" t="s">
        <v>2394</v>
      </c>
      <c r="K295" s="99">
        <v>42164</v>
      </c>
      <c r="L295" s="17" t="s">
        <v>2395</v>
      </c>
      <c r="M295" s="104">
        <v>42165</v>
      </c>
      <c r="N295" s="46" t="s">
        <v>2408</v>
      </c>
      <c r="O295" s="104">
        <v>42169</v>
      </c>
      <c r="P295" s="114">
        <v>2</v>
      </c>
      <c r="Q295" s="224" t="s">
        <v>2402</v>
      </c>
      <c r="R295" s="62">
        <v>42166</v>
      </c>
      <c r="S295" s="101"/>
      <c r="T295" s="102"/>
      <c r="U295" s="101"/>
      <c r="V295" s="106" t="s">
        <v>1552</v>
      </c>
      <c r="W295" s="142"/>
      <c r="X295" s="142"/>
      <c r="Y295" s="143"/>
      <c r="Z295" s="144"/>
      <c r="AA295" s="143"/>
      <c r="AB295" s="144"/>
      <c r="AC295" s="143"/>
      <c r="AD295" s="143"/>
      <c r="AE295" s="143"/>
      <c r="AF295" s="143"/>
      <c r="AG295" s="144"/>
      <c r="AH295" s="143"/>
      <c r="AI295" s="143"/>
    </row>
    <row r="296" spans="1:35" s="112" customFormat="1" ht="24.95" customHeight="1" x14ac:dyDescent="0.2">
      <c r="A296" s="93"/>
      <c r="B296" s="515"/>
      <c r="C296" s="511"/>
      <c r="D296" s="511"/>
      <c r="E296" s="46">
        <v>0</v>
      </c>
      <c r="F296" s="98" t="s">
        <v>1442</v>
      </c>
      <c r="G296" s="18" t="s">
        <v>1442</v>
      </c>
      <c r="H296" s="225"/>
      <c r="I296" s="72" t="s">
        <v>1442</v>
      </c>
      <c r="J296" s="61" t="s">
        <v>2739</v>
      </c>
      <c r="K296" s="99">
        <v>42243</v>
      </c>
      <c r="L296" s="114" t="s">
        <v>2740</v>
      </c>
      <c r="M296" s="18">
        <v>42246</v>
      </c>
      <c r="N296" s="46" t="s">
        <v>2860</v>
      </c>
      <c r="O296" s="104">
        <v>42255</v>
      </c>
      <c r="P296" s="114">
        <v>1</v>
      </c>
      <c r="Q296" s="17" t="s">
        <v>2783</v>
      </c>
      <c r="R296" s="62">
        <v>42249</v>
      </c>
      <c r="S296" s="46" t="s">
        <v>2829</v>
      </c>
      <c r="T296" s="104">
        <v>42254</v>
      </c>
      <c r="U296" s="244" t="s">
        <v>1369</v>
      </c>
      <c r="V296" s="106" t="s">
        <v>1442</v>
      </c>
      <c r="W296" s="142"/>
      <c r="X296" s="142"/>
      <c r="Y296" s="143"/>
      <c r="Z296" s="144"/>
      <c r="AA296" s="143"/>
      <c r="AB296" s="144"/>
      <c r="AC296" s="143"/>
      <c r="AD296" s="143"/>
      <c r="AE296" s="143"/>
      <c r="AF296" s="143"/>
      <c r="AG296" s="144"/>
      <c r="AH296" s="143"/>
      <c r="AI296" s="143"/>
    </row>
    <row r="297" spans="1:35" s="112" customFormat="1" ht="24.95" customHeight="1" x14ac:dyDescent="0.2">
      <c r="A297" s="93">
        <f>A295+1</f>
        <v>231</v>
      </c>
      <c r="B297" s="136" t="s">
        <v>767</v>
      </c>
      <c r="C297" s="95" t="s">
        <v>1042</v>
      </c>
      <c r="D297" s="96" t="s">
        <v>1321</v>
      </c>
      <c r="E297" s="46" t="s">
        <v>1369</v>
      </c>
      <c r="F297" s="98">
        <v>2</v>
      </c>
      <c r="G297" s="18">
        <v>42210</v>
      </c>
      <c r="H297" s="225">
        <v>42172</v>
      </c>
      <c r="I297" s="72">
        <v>-23</v>
      </c>
      <c r="J297" s="99" t="s">
        <v>2650</v>
      </c>
      <c r="K297" s="99">
        <v>42233</v>
      </c>
      <c r="L297" s="114" t="s">
        <v>2651</v>
      </c>
      <c r="M297" s="18">
        <v>42234</v>
      </c>
      <c r="N297" s="46" t="s">
        <v>2702</v>
      </c>
      <c r="O297" s="104">
        <v>42239</v>
      </c>
      <c r="P297" s="114">
        <v>1</v>
      </c>
      <c r="Q297" s="244" t="s">
        <v>2661</v>
      </c>
      <c r="R297" s="18">
        <v>42234</v>
      </c>
      <c r="S297" s="46" t="s">
        <v>2830</v>
      </c>
      <c r="T297" s="104">
        <v>42254</v>
      </c>
      <c r="U297" s="244" t="s">
        <v>1369</v>
      </c>
      <c r="V297" s="106" t="s">
        <v>1442</v>
      </c>
      <c r="W297" s="142"/>
      <c r="X297" s="142"/>
      <c r="Y297" s="143"/>
      <c r="Z297" s="144"/>
      <c r="AA297" s="143"/>
      <c r="AB297" s="144"/>
      <c r="AC297" s="143"/>
      <c r="AD297" s="143"/>
      <c r="AE297" s="143"/>
      <c r="AF297" s="143"/>
      <c r="AG297" s="144"/>
      <c r="AH297" s="143"/>
      <c r="AI297" s="143"/>
    </row>
    <row r="298" spans="1:35" s="112" customFormat="1" ht="24.95" customHeight="1" x14ac:dyDescent="0.2">
      <c r="A298" s="93">
        <f>A297+1</f>
        <v>232</v>
      </c>
      <c r="B298" s="514" t="s">
        <v>768</v>
      </c>
      <c r="C298" s="510" t="s">
        <v>1043</v>
      </c>
      <c r="D298" s="510" t="s">
        <v>1322</v>
      </c>
      <c r="E298" s="46" t="s">
        <v>1369</v>
      </c>
      <c r="F298" s="98">
        <v>2</v>
      </c>
      <c r="G298" s="18">
        <v>42214</v>
      </c>
      <c r="H298" s="225">
        <v>42179</v>
      </c>
      <c r="I298" s="72">
        <v>-22</v>
      </c>
      <c r="J298" s="99" t="s">
        <v>2685</v>
      </c>
      <c r="K298" s="99">
        <v>42236</v>
      </c>
      <c r="L298" s="114" t="s">
        <v>2686</v>
      </c>
      <c r="M298" s="18">
        <v>42239</v>
      </c>
      <c r="N298" s="46" t="s">
        <v>2732</v>
      </c>
      <c r="O298" s="104">
        <v>42242</v>
      </c>
      <c r="P298" s="114">
        <v>2</v>
      </c>
      <c r="Q298" s="114" t="s">
        <v>2695</v>
      </c>
      <c r="R298" s="18">
        <v>42239</v>
      </c>
      <c r="S298" s="46" t="s">
        <v>2831</v>
      </c>
      <c r="T298" s="104">
        <v>42254</v>
      </c>
      <c r="U298" s="244" t="s">
        <v>1369</v>
      </c>
      <c r="V298" s="106" t="s">
        <v>1442</v>
      </c>
      <c r="W298" s="142"/>
      <c r="X298" s="142"/>
      <c r="Y298" s="143"/>
      <c r="Z298" s="144"/>
      <c r="AA298" s="143"/>
      <c r="AB298" s="144"/>
      <c r="AC298" s="143"/>
      <c r="AD298" s="143"/>
      <c r="AE298" s="143"/>
      <c r="AF298" s="143"/>
      <c r="AG298" s="144"/>
      <c r="AH298" s="143"/>
      <c r="AI298" s="143"/>
    </row>
    <row r="299" spans="1:35" s="112" customFormat="1" ht="24.95" customHeight="1" x14ac:dyDescent="0.2">
      <c r="A299" s="93"/>
      <c r="B299" s="515"/>
      <c r="C299" s="511"/>
      <c r="D299" s="511"/>
      <c r="E299" s="46" t="s">
        <v>3124</v>
      </c>
      <c r="F299" s="98"/>
      <c r="G299" s="18"/>
      <c r="H299" s="225"/>
      <c r="I299" s="72"/>
      <c r="J299" s="61" t="s">
        <v>3143</v>
      </c>
      <c r="K299" s="61">
        <v>42353</v>
      </c>
      <c r="L299" s="17" t="s">
        <v>3144</v>
      </c>
      <c r="M299" s="18">
        <v>42355</v>
      </c>
      <c r="N299" s="46" t="s">
        <v>3179</v>
      </c>
      <c r="O299" s="104">
        <v>42372</v>
      </c>
      <c r="P299" s="114">
        <v>1</v>
      </c>
      <c r="Q299" s="17" t="s">
        <v>3154</v>
      </c>
      <c r="R299" s="62">
        <v>42355</v>
      </c>
      <c r="S299" s="46" t="s">
        <v>1442</v>
      </c>
      <c r="T299" s="104" t="s">
        <v>1442</v>
      </c>
      <c r="U299" s="244" t="s">
        <v>1442</v>
      </c>
      <c r="V299" s="106" t="s">
        <v>1442</v>
      </c>
      <c r="W299" s="142"/>
      <c r="X299" s="142"/>
      <c r="Y299" s="143"/>
      <c r="Z299" s="144"/>
      <c r="AA299" s="143"/>
      <c r="AB299" s="144"/>
      <c r="AC299" s="143"/>
      <c r="AD299" s="143"/>
      <c r="AE299" s="143"/>
      <c r="AF299" s="143"/>
      <c r="AG299" s="144"/>
      <c r="AH299" s="143"/>
      <c r="AI299" s="143"/>
    </row>
    <row r="300" spans="1:35" s="112" customFormat="1" ht="24.95" customHeight="1" x14ac:dyDescent="0.2">
      <c r="A300" s="93">
        <f>A298+1</f>
        <v>233</v>
      </c>
      <c r="B300" s="514" t="s">
        <v>769</v>
      </c>
      <c r="C300" s="510" t="s">
        <v>1044</v>
      </c>
      <c r="D300" s="510" t="s">
        <v>1323</v>
      </c>
      <c r="E300" s="46" t="s">
        <v>1369</v>
      </c>
      <c r="F300" s="98">
        <v>2</v>
      </c>
      <c r="G300" s="18">
        <v>42218</v>
      </c>
      <c r="H300" s="225">
        <v>42186</v>
      </c>
      <c r="I300" s="72">
        <v>-24</v>
      </c>
      <c r="J300" s="61" t="s">
        <v>2724</v>
      </c>
      <c r="K300" s="99">
        <v>42242</v>
      </c>
      <c r="L300" s="114" t="s">
        <v>2725</v>
      </c>
      <c r="M300" s="18">
        <v>42243</v>
      </c>
      <c r="N300" s="46" t="s">
        <v>2858</v>
      </c>
      <c r="O300" s="104">
        <v>42255</v>
      </c>
      <c r="P300" s="114">
        <v>1</v>
      </c>
      <c r="Q300" s="114" t="s">
        <v>2749</v>
      </c>
      <c r="R300" s="18">
        <v>42243</v>
      </c>
      <c r="S300" s="46" t="s">
        <v>2832</v>
      </c>
      <c r="T300" s="104">
        <v>42254</v>
      </c>
      <c r="U300" s="244" t="s">
        <v>1369</v>
      </c>
      <c r="V300" s="106" t="s">
        <v>1442</v>
      </c>
      <c r="W300" s="142"/>
      <c r="X300" s="142"/>
      <c r="Y300" s="143"/>
      <c r="Z300" s="144"/>
      <c r="AA300" s="143"/>
      <c r="AB300" s="144"/>
      <c r="AC300" s="143"/>
      <c r="AD300" s="143"/>
      <c r="AE300" s="143"/>
      <c r="AF300" s="143"/>
      <c r="AG300" s="144"/>
      <c r="AH300" s="143"/>
      <c r="AI300" s="143"/>
    </row>
    <row r="301" spans="1:35" s="112" customFormat="1" ht="24.95" customHeight="1" x14ac:dyDescent="0.2">
      <c r="A301" s="93"/>
      <c r="B301" s="515"/>
      <c r="C301" s="511"/>
      <c r="D301" s="511"/>
      <c r="E301" s="46">
        <v>0</v>
      </c>
      <c r="F301" s="98" t="s">
        <v>1442</v>
      </c>
      <c r="G301" s="18" t="s">
        <v>1442</v>
      </c>
      <c r="H301" s="225"/>
      <c r="I301" s="72" t="s">
        <v>1442</v>
      </c>
      <c r="J301" s="99" t="s">
        <v>2878</v>
      </c>
      <c r="K301" s="99">
        <v>42256</v>
      </c>
      <c r="L301" s="114" t="s">
        <v>2879</v>
      </c>
      <c r="M301" s="18">
        <v>42257</v>
      </c>
      <c r="N301" s="311" t="s">
        <v>3005</v>
      </c>
      <c r="O301" s="104">
        <v>42264</v>
      </c>
      <c r="P301" s="114">
        <v>1</v>
      </c>
      <c r="Q301" s="114" t="s">
        <v>2904</v>
      </c>
      <c r="R301" s="18">
        <v>42257</v>
      </c>
      <c r="S301" s="46" t="s">
        <v>2913</v>
      </c>
      <c r="T301" s="104">
        <v>42261</v>
      </c>
      <c r="U301" s="244" t="s">
        <v>1369</v>
      </c>
      <c r="V301" s="106" t="s">
        <v>1442</v>
      </c>
      <c r="W301" s="142"/>
      <c r="X301" s="142"/>
      <c r="Y301" s="143"/>
      <c r="Z301" s="144"/>
      <c r="AA301" s="143"/>
      <c r="AB301" s="144"/>
      <c r="AC301" s="143"/>
      <c r="AD301" s="143"/>
      <c r="AE301" s="143"/>
      <c r="AF301" s="143"/>
      <c r="AG301" s="144"/>
      <c r="AH301" s="143"/>
      <c r="AI301" s="143"/>
    </row>
    <row r="302" spans="1:35" s="112" customFormat="1" ht="24.95" customHeight="1" x14ac:dyDescent="0.2">
      <c r="A302" s="93">
        <f>A300+1</f>
        <v>234</v>
      </c>
      <c r="B302" s="510" t="s">
        <v>770</v>
      </c>
      <c r="C302" s="510" t="s">
        <v>1045</v>
      </c>
      <c r="D302" s="510" t="s">
        <v>1324</v>
      </c>
      <c r="E302" s="46" t="s">
        <v>1369</v>
      </c>
      <c r="F302" s="98">
        <v>2</v>
      </c>
      <c r="G302" s="18">
        <v>42222</v>
      </c>
      <c r="H302" s="225">
        <v>42193</v>
      </c>
      <c r="I302" s="72">
        <v>-28</v>
      </c>
      <c r="J302" s="99" t="s">
        <v>2795</v>
      </c>
      <c r="K302" s="99">
        <v>42250</v>
      </c>
      <c r="L302" s="114" t="s">
        <v>2796</v>
      </c>
      <c r="M302" s="18">
        <v>42253</v>
      </c>
      <c r="N302" s="133" t="s">
        <v>3006</v>
      </c>
      <c r="O302" s="104">
        <v>42264</v>
      </c>
      <c r="P302" s="114">
        <v>4</v>
      </c>
      <c r="Q302" s="17" t="s">
        <v>2842</v>
      </c>
      <c r="R302" s="18">
        <v>42254</v>
      </c>
      <c r="S302" s="46" t="s">
        <v>2914</v>
      </c>
      <c r="T302" s="104">
        <v>42261</v>
      </c>
      <c r="U302" s="244" t="s">
        <v>1369</v>
      </c>
      <c r="V302" s="106" t="s">
        <v>1442</v>
      </c>
      <c r="W302" s="142"/>
      <c r="X302" s="142"/>
      <c r="Y302" s="143"/>
      <c r="Z302" s="144"/>
      <c r="AA302" s="143"/>
      <c r="AB302" s="144"/>
      <c r="AC302" s="143"/>
      <c r="AD302" s="143"/>
      <c r="AE302" s="143"/>
      <c r="AF302" s="143"/>
      <c r="AG302" s="144"/>
      <c r="AH302" s="143"/>
      <c r="AI302" s="143"/>
    </row>
    <row r="303" spans="1:35" s="112" customFormat="1" ht="24.95" customHeight="1" x14ac:dyDescent="0.2">
      <c r="A303" s="93"/>
      <c r="B303" s="511"/>
      <c r="C303" s="511"/>
      <c r="D303" s="511"/>
      <c r="E303" s="46">
        <v>0</v>
      </c>
      <c r="F303" s="98">
        <v>1</v>
      </c>
      <c r="G303" s="18"/>
      <c r="H303" s="225"/>
      <c r="I303" s="72"/>
      <c r="J303" s="274" t="s">
        <v>2899</v>
      </c>
      <c r="K303" s="274">
        <v>42260</v>
      </c>
      <c r="L303" s="114" t="s">
        <v>2902</v>
      </c>
      <c r="M303" s="104">
        <v>42261</v>
      </c>
      <c r="N303" s="290" t="s">
        <v>3031</v>
      </c>
      <c r="O303" s="104">
        <v>42277</v>
      </c>
      <c r="P303" s="114">
        <v>1</v>
      </c>
      <c r="Q303" s="17" t="s">
        <v>2922</v>
      </c>
      <c r="R303" s="18">
        <v>42262</v>
      </c>
      <c r="S303" s="133" t="s">
        <v>2988</v>
      </c>
      <c r="T303" s="104">
        <v>42267</v>
      </c>
      <c r="U303" s="114" t="s">
        <v>1369</v>
      </c>
      <c r="V303" s="106" t="s">
        <v>1442</v>
      </c>
      <c r="W303" s="142"/>
      <c r="X303" s="142"/>
      <c r="Y303" s="143"/>
      <c r="Z303" s="144"/>
      <c r="AA303" s="143"/>
      <c r="AB303" s="144"/>
      <c r="AC303" s="143"/>
      <c r="AD303" s="143"/>
      <c r="AE303" s="143"/>
      <c r="AF303" s="143"/>
      <c r="AG303" s="144"/>
      <c r="AH303" s="143"/>
      <c r="AI303" s="143"/>
    </row>
    <row r="304" spans="1:35" s="112" customFormat="1" ht="24.95" customHeight="1" x14ac:dyDescent="0.2">
      <c r="A304" s="592">
        <f>A302+1</f>
        <v>235</v>
      </c>
      <c r="B304" s="510" t="s">
        <v>771</v>
      </c>
      <c r="C304" s="510" t="s">
        <v>1046</v>
      </c>
      <c r="D304" s="510" t="s">
        <v>1325</v>
      </c>
      <c r="E304" s="46" t="s">
        <v>1369</v>
      </c>
      <c r="F304" s="98">
        <v>2</v>
      </c>
      <c r="G304" s="18">
        <v>42226</v>
      </c>
      <c r="H304" s="225">
        <v>42200</v>
      </c>
      <c r="I304" s="72">
        <v>-183</v>
      </c>
      <c r="J304" s="272" t="s">
        <v>3228</v>
      </c>
      <c r="K304" s="272">
        <v>42409</v>
      </c>
      <c r="L304" s="273" t="s">
        <v>3230</v>
      </c>
      <c r="M304" s="104">
        <v>42411</v>
      </c>
      <c r="N304" s="133" t="s">
        <v>3297</v>
      </c>
      <c r="O304" s="104">
        <v>42458</v>
      </c>
      <c r="P304" s="114">
        <v>2</v>
      </c>
      <c r="Q304" s="114" t="s">
        <v>3241</v>
      </c>
      <c r="R304" s="175">
        <v>42046</v>
      </c>
      <c r="S304" s="101"/>
      <c r="T304" s="102"/>
      <c r="U304" s="101"/>
      <c r="V304" s="106" t="s">
        <v>2250</v>
      </c>
      <c r="W304" s="142"/>
      <c r="X304" s="142"/>
      <c r="Y304" s="143"/>
      <c r="Z304" s="144"/>
      <c r="AA304" s="143"/>
      <c r="AB304" s="144"/>
      <c r="AC304" s="143"/>
      <c r="AD304" s="143"/>
      <c r="AE304" s="143"/>
      <c r="AF304" s="143"/>
      <c r="AG304" s="144"/>
      <c r="AH304" s="143"/>
      <c r="AI304" s="143"/>
    </row>
    <row r="305" spans="1:35" s="112" customFormat="1" ht="24.95" customHeight="1" x14ac:dyDescent="0.2">
      <c r="A305" s="593"/>
      <c r="B305" s="584"/>
      <c r="C305" s="584"/>
      <c r="D305" s="584"/>
      <c r="E305" s="290">
        <v>0</v>
      </c>
      <c r="F305" s="98">
        <v>1</v>
      </c>
      <c r="G305" s="18"/>
      <c r="H305" s="225"/>
      <c r="I305" s="72"/>
      <c r="J305" s="99" t="s">
        <v>3319</v>
      </c>
      <c r="K305" s="99">
        <v>42639</v>
      </c>
      <c r="L305" s="114" t="s">
        <v>3324</v>
      </c>
      <c r="M305" s="104">
        <v>42641</v>
      </c>
      <c r="N305" s="133" t="s">
        <v>3388</v>
      </c>
      <c r="O305" s="104">
        <v>42681</v>
      </c>
      <c r="P305" s="114">
        <v>1</v>
      </c>
      <c r="Q305" s="114" t="s">
        <v>3326</v>
      </c>
      <c r="R305" s="175">
        <v>42641</v>
      </c>
      <c r="S305" s="133" t="s">
        <v>3345</v>
      </c>
      <c r="T305" s="104">
        <v>42655</v>
      </c>
      <c r="U305" s="101" t="s">
        <v>1432</v>
      </c>
      <c r="V305" s="106"/>
      <c r="W305" s="142"/>
      <c r="X305" s="142"/>
      <c r="Y305" s="143"/>
      <c r="Z305" s="144"/>
      <c r="AA305" s="143"/>
      <c r="AB305" s="144"/>
      <c r="AC305" s="143"/>
      <c r="AD305" s="143"/>
      <c r="AE305" s="143"/>
      <c r="AF305" s="143"/>
      <c r="AG305" s="144"/>
      <c r="AH305" s="143"/>
      <c r="AI305" s="143"/>
    </row>
    <row r="306" spans="1:35" s="112" customFormat="1" ht="24.95" customHeight="1" x14ac:dyDescent="0.2">
      <c r="A306" s="594"/>
      <c r="B306" s="511"/>
      <c r="C306" s="511"/>
      <c r="D306" s="511"/>
      <c r="E306" s="298" t="s">
        <v>3349</v>
      </c>
      <c r="F306" s="98"/>
      <c r="G306" s="18"/>
      <c r="H306" s="225"/>
      <c r="I306" s="72"/>
      <c r="J306" s="99" t="s">
        <v>3350</v>
      </c>
      <c r="K306" s="99">
        <v>42660</v>
      </c>
      <c r="L306" s="114"/>
      <c r="M306" s="104"/>
      <c r="N306" s="133"/>
      <c r="O306" s="104"/>
      <c r="P306" s="114"/>
      <c r="Q306" s="114" t="s">
        <v>3356</v>
      </c>
      <c r="R306" s="175">
        <v>42661</v>
      </c>
      <c r="S306" s="133" t="s">
        <v>3361</v>
      </c>
      <c r="T306" s="104">
        <v>42662</v>
      </c>
      <c r="U306" s="114" t="s">
        <v>1369</v>
      </c>
      <c r="V306" s="106"/>
      <c r="W306" s="142"/>
      <c r="X306" s="142"/>
      <c r="Y306" s="143"/>
      <c r="Z306" s="144"/>
      <c r="AA306" s="143"/>
      <c r="AB306" s="144"/>
      <c r="AC306" s="143"/>
      <c r="AD306" s="143"/>
      <c r="AE306" s="143"/>
      <c r="AF306" s="143"/>
      <c r="AG306" s="144"/>
      <c r="AH306" s="143"/>
      <c r="AI306" s="143"/>
    </row>
    <row r="307" spans="1:35" s="112" customFormat="1" ht="24.95" customHeight="1" x14ac:dyDescent="0.2">
      <c r="A307" s="592">
        <f>A304+1</f>
        <v>236</v>
      </c>
      <c r="B307" s="510" t="s">
        <v>772</v>
      </c>
      <c r="C307" s="510" t="s">
        <v>1047</v>
      </c>
      <c r="D307" s="510" t="s">
        <v>1326</v>
      </c>
      <c r="E307" s="46" t="s">
        <v>1369</v>
      </c>
      <c r="F307" s="98">
        <v>2</v>
      </c>
      <c r="G307" s="18">
        <v>42230</v>
      </c>
      <c r="H307" s="225">
        <v>42207</v>
      </c>
      <c r="I307" s="72">
        <v>-179</v>
      </c>
      <c r="J307" s="99" t="s">
        <v>3225</v>
      </c>
      <c r="K307" s="99">
        <v>42408</v>
      </c>
      <c r="L307" s="114" t="s">
        <v>3227</v>
      </c>
      <c r="M307" s="104">
        <v>42411</v>
      </c>
      <c r="N307" s="133" t="s">
        <v>3292</v>
      </c>
      <c r="O307" s="104">
        <v>42444</v>
      </c>
      <c r="P307" s="114">
        <v>2</v>
      </c>
      <c r="Q307" s="114" t="s">
        <v>3240</v>
      </c>
      <c r="R307" s="175">
        <v>42046</v>
      </c>
      <c r="S307" s="101"/>
      <c r="T307" s="102"/>
      <c r="U307" s="101"/>
      <c r="V307" s="106" t="s">
        <v>2250</v>
      </c>
      <c r="W307" s="142"/>
      <c r="X307" s="142"/>
      <c r="Y307" s="143"/>
      <c r="Z307" s="144"/>
      <c r="AA307" s="143"/>
      <c r="AB307" s="144"/>
      <c r="AC307" s="143"/>
      <c r="AD307" s="143"/>
      <c r="AE307" s="143"/>
      <c r="AF307" s="143"/>
      <c r="AG307" s="144"/>
      <c r="AH307" s="143"/>
      <c r="AI307" s="143"/>
    </row>
    <row r="308" spans="1:35" s="112" customFormat="1" ht="24.95" customHeight="1" x14ac:dyDescent="0.2">
      <c r="A308" s="593"/>
      <c r="B308" s="584"/>
      <c r="C308" s="584"/>
      <c r="D308" s="584"/>
      <c r="E308" s="290">
        <v>0</v>
      </c>
      <c r="F308" s="98">
        <v>1</v>
      </c>
      <c r="G308" s="18"/>
      <c r="H308" s="225"/>
      <c r="I308" s="72"/>
      <c r="J308" s="99" t="s">
        <v>3319</v>
      </c>
      <c r="K308" s="99">
        <v>42639</v>
      </c>
      <c r="L308" s="114" t="s">
        <v>3324</v>
      </c>
      <c r="M308" s="104">
        <v>42641</v>
      </c>
      <c r="N308" s="133" t="s">
        <v>3388</v>
      </c>
      <c r="O308" s="104">
        <v>42681</v>
      </c>
      <c r="P308" s="114">
        <v>1</v>
      </c>
      <c r="Q308" s="114" t="s">
        <v>3326</v>
      </c>
      <c r="R308" s="175">
        <v>42641</v>
      </c>
      <c r="S308" s="133" t="s">
        <v>3346</v>
      </c>
      <c r="T308" s="104">
        <v>42655</v>
      </c>
      <c r="U308" s="101" t="s">
        <v>1432</v>
      </c>
      <c r="V308" s="106"/>
      <c r="W308" s="142"/>
      <c r="X308" s="142"/>
      <c r="Y308" s="143"/>
      <c r="Z308" s="144"/>
      <c r="AA308" s="143"/>
      <c r="AB308" s="144"/>
      <c r="AC308" s="143"/>
      <c r="AD308" s="143"/>
      <c r="AE308" s="143"/>
      <c r="AF308" s="143"/>
      <c r="AG308" s="144"/>
      <c r="AH308" s="143"/>
      <c r="AI308" s="143"/>
    </row>
    <row r="309" spans="1:35" s="112" customFormat="1" ht="24.95" customHeight="1" x14ac:dyDescent="0.2">
      <c r="A309" s="594"/>
      <c r="B309" s="511"/>
      <c r="C309" s="511"/>
      <c r="D309" s="511"/>
      <c r="E309" s="298" t="s">
        <v>3349</v>
      </c>
      <c r="F309" s="98"/>
      <c r="G309" s="18"/>
      <c r="H309" s="225"/>
      <c r="I309" s="72"/>
      <c r="J309" s="99" t="s">
        <v>3350</v>
      </c>
      <c r="K309" s="99">
        <v>42660</v>
      </c>
      <c r="L309" s="114"/>
      <c r="M309" s="104"/>
      <c r="N309" s="133"/>
      <c r="O309" s="104"/>
      <c r="P309" s="114"/>
      <c r="Q309" s="114" t="s">
        <v>3356</v>
      </c>
      <c r="R309" s="175">
        <v>42661</v>
      </c>
      <c r="S309" s="133" t="s">
        <v>3360</v>
      </c>
      <c r="T309" s="104">
        <v>42662</v>
      </c>
      <c r="U309" s="244" t="s">
        <v>1369</v>
      </c>
      <c r="V309" s="106"/>
      <c r="W309" s="142"/>
      <c r="X309" s="142"/>
      <c r="Y309" s="143"/>
      <c r="Z309" s="144"/>
      <c r="AA309" s="143"/>
      <c r="AB309" s="144"/>
      <c r="AC309" s="143"/>
      <c r="AD309" s="143"/>
      <c r="AE309" s="143"/>
      <c r="AF309" s="143"/>
      <c r="AG309" s="144"/>
      <c r="AH309" s="143"/>
      <c r="AI309" s="143"/>
    </row>
    <row r="310" spans="1:35" s="112" customFormat="1" ht="24.95" customHeight="1" x14ac:dyDescent="0.2">
      <c r="A310" s="93">
        <f>A307+1</f>
        <v>237</v>
      </c>
      <c r="B310" s="510" t="s">
        <v>773</v>
      </c>
      <c r="C310" s="510" t="s">
        <v>1048</v>
      </c>
      <c r="D310" s="510" t="s">
        <v>1327</v>
      </c>
      <c r="E310" s="46" t="s">
        <v>1369</v>
      </c>
      <c r="F310" s="98">
        <v>2</v>
      </c>
      <c r="G310" s="18">
        <v>42234</v>
      </c>
      <c r="H310" s="225">
        <v>42214</v>
      </c>
      <c r="I310" s="72">
        <v>-13</v>
      </c>
      <c r="J310" s="99" t="s">
        <v>2763</v>
      </c>
      <c r="K310" s="99">
        <v>42247</v>
      </c>
      <c r="L310" s="114" t="s">
        <v>2764</v>
      </c>
      <c r="M310" s="18">
        <v>42253</v>
      </c>
      <c r="N310" s="133" t="s">
        <v>3008</v>
      </c>
      <c r="O310" s="104">
        <v>42264</v>
      </c>
      <c r="P310" s="114">
        <v>4</v>
      </c>
      <c r="Q310" s="17" t="s">
        <v>2840</v>
      </c>
      <c r="R310" s="18">
        <v>42254</v>
      </c>
      <c r="S310" s="46" t="s">
        <v>2915</v>
      </c>
      <c r="T310" s="104">
        <v>42261</v>
      </c>
      <c r="U310" s="244" t="s">
        <v>1369</v>
      </c>
      <c r="V310" s="106" t="s">
        <v>1442</v>
      </c>
      <c r="W310" s="142"/>
      <c r="X310" s="142"/>
      <c r="Y310" s="143"/>
      <c r="Z310" s="144"/>
      <c r="AA310" s="143"/>
      <c r="AB310" s="144"/>
      <c r="AC310" s="143"/>
      <c r="AD310" s="143"/>
      <c r="AE310" s="143"/>
      <c r="AF310" s="143"/>
      <c r="AG310" s="144"/>
      <c r="AH310" s="143"/>
      <c r="AI310" s="143"/>
    </row>
    <row r="311" spans="1:35" s="112" customFormat="1" ht="24.95" customHeight="1" x14ac:dyDescent="0.2">
      <c r="A311" s="93"/>
      <c r="B311" s="511"/>
      <c r="C311" s="511"/>
      <c r="D311" s="511"/>
      <c r="E311" s="46">
        <v>0</v>
      </c>
      <c r="F311" s="98">
        <v>1</v>
      </c>
      <c r="G311" s="18"/>
      <c r="H311" s="225"/>
      <c r="I311" s="72"/>
      <c r="J311" s="274" t="s">
        <v>2899</v>
      </c>
      <c r="K311" s="274">
        <v>42260</v>
      </c>
      <c r="L311" s="114" t="s">
        <v>2902</v>
      </c>
      <c r="M311" s="104">
        <v>42261</v>
      </c>
      <c r="N311" s="290" t="s">
        <v>3031</v>
      </c>
      <c r="O311" s="104">
        <v>42277</v>
      </c>
      <c r="P311" s="114">
        <v>1</v>
      </c>
      <c r="Q311" s="17" t="s">
        <v>2922</v>
      </c>
      <c r="R311" s="18">
        <v>42262</v>
      </c>
      <c r="S311" s="133" t="s">
        <v>2989</v>
      </c>
      <c r="T311" s="104">
        <v>42267</v>
      </c>
      <c r="U311" s="114" t="s">
        <v>1369</v>
      </c>
      <c r="V311" s="106" t="s">
        <v>1442</v>
      </c>
      <c r="W311" s="142"/>
      <c r="X311" s="142"/>
      <c r="Y311" s="143"/>
      <c r="Z311" s="144"/>
      <c r="AA311" s="143"/>
      <c r="AB311" s="144"/>
      <c r="AC311" s="143"/>
      <c r="AD311" s="143"/>
      <c r="AE311" s="143"/>
      <c r="AF311" s="143"/>
      <c r="AG311" s="144"/>
      <c r="AH311" s="143"/>
      <c r="AI311" s="143"/>
    </row>
    <row r="312" spans="1:35" s="112" customFormat="1" ht="24.95" customHeight="1" x14ac:dyDescent="0.2">
      <c r="A312" s="592">
        <f>A310+1</f>
        <v>238</v>
      </c>
      <c r="B312" s="510" t="s">
        <v>774</v>
      </c>
      <c r="C312" s="510" t="s">
        <v>1049</v>
      </c>
      <c r="D312" s="510" t="s">
        <v>1328</v>
      </c>
      <c r="E312" s="46" t="s">
        <v>1369</v>
      </c>
      <c r="F312" s="98">
        <v>2</v>
      </c>
      <c r="G312" s="18">
        <v>42238</v>
      </c>
      <c r="H312" s="225">
        <v>42221</v>
      </c>
      <c r="I312" s="72">
        <v>-171</v>
      </c>
      <c r="J312" s="99" t="s">
        <v>3225</v>
      </c>
      <c r="K312" s="99">
        <v>42408</v>
      </c>
      <c r="L312" s="114" t="s">
        <v>3227</v>
      </c>
      <c r="M312" s="104">
        <v>42411</v>
      </c>
      <c r="N312" s="133" t="s">
        <v>3292</v>
      </c>
      <c r="O312" s="104">
        <v>42444</v>
      </c>
      <c r="P312" s="114">
        <v>2</v>
      </c>
      <c r="Q312" s="114" t="s">
        <v>3240</v>
      </c>
      <c r="R312" s="175">
        <v>42046</v>
      </c>
      <c r="S312" s="101"/>
      <c r="T312" s="102"/>
      <c r="U312" s="101"/>
      <c r="V312" s="106" t="s">
        <v>2250</v>
      </c>
      <c r="W312" s="142"/>
      <c r="X312" s="142"/>
      <c r="Y312" s="143"/>
      <c r="Z312" s="144"/>
      <c r="AA312" s="143"/>
      <c r="AB312" s="144"/>
      <c r="AC312" s="143"/>
      <c r="AD312" s="143"/>
      <c r="AE312" s="143"/>
      <c r="AF312" s="143"/>
      <c r="AG312" s="144"/>
      <c r="AH312" s="143"/>
      <c r="AI312" s="143"/>
    </row>
    <row r="313" spans="1:35" s="112" customFormat="1" ht="24.95" customHeight="1" x14ac:dyDescent="0.2">
      <c r="A313" s="593"/>
      <c r="B313" s="584"/>
      <c r="C313" s="584"/>
      <c r="D313" s="584"/>
      <c r="E313" s="290">
        <v>0</v>
      </c>
      <c r="F313" s="98">
        <v>1</v>
      </c>
      <c r="G313" s="18"/>
      <c r="H313" s="225"/>
      <c r="I313" s="72"/>
      <c r="J313" s="99" t="s">
        <v>3319</v>
      </c>
      <c r="K313" s="99">
        <v>42639</v>
      </c>
      <c r="L313" s="114" t="s">
        <v>3324</v>
      </c>
      <c r="M313" s="104">
        <v>42641</v>
      </c>
      <c r="N313" s="133" t="s">
        <v>3388</v>
      </c>
      <c r="O313" s="104">
        <v>42681</v>
      </c>
      <c r="P313" s="114">
        <v>1</v>
      </c>
      <c r="Q313" s="114" t="s">
        <v>3326</v>
      </c>
      <c r="R313" s="175">
        <v>42641</v>
      </c>
      <c r="S313" s="133" t="s">
        <v>3344</v>
      </c>
      <c r="T313" s="104">
        <v>42655</v>
      </c>
      <c r="U313" s="101" t="s">
        <v>1432</v>
      </c>
      <c r="V313" s="106"/>
      <c r="W313" s="142"/>
      <c r="X313" s="142"/>
      <c r="Y313" s="143"/>
      <c r="Z313" s="144"/>
      <c r="AA313" s="143"/>
      <c r="AB313" s="144"/>
      <c r="AC313" s="143"/>
      <c r="AD313" s="143"/>
      <c r="AE313" s="143"/>
      <c r="AF313" s="143"/>
      <c r="AG313" s="144"/>
      <c r="AH313" s="143"/>
      <c r="AI313" s="143"/>
    </row>
    <row r="314" spans="1:35" s="112" customFormat="1" ht="24.95" customHeight="1" x14ac:dyDescent="0.2">
      <c r="A314" s="594"/>
      <c r="B314" s="511"/>
      <c r="C314" s="511"/>
      <c r="D314" s="511"/>
      <c r="E314" s="298" t="s">
        <v>3349</v>
      </c>
      <c r="F314" s="98"/>
      <c r="G314" s="18"/>
      <c r="H314" s="225"/>
      <c r="I314" s="72"/>
      <c r="J314" s="99" t="s">
        <v>3350</v>
      </c>
      <c r="K314" s="99">
        <v>42660</v>
      </c>
      <c r="L314" s="114"/>
      <c r="M314" s="104"/>
      <c r="N314" s="133"/>
      <c r="O314" s="104"/>
      <c r="P314" s="114"/>
      <c r="Q314" s="114" t="s">
        <v>3356</v>
      </c>
      <c r="R314" s="175">
        <v>42661</v>
      </c>
      <c r="S314" s="133" t="s">
        <v>3359</v>
      </c>
      <c r="T314" s="104">
        <v>42662</v>
      </c>
      <c r="U314" s="244" t="s">
        <v>1369</v>
      </c>
      <c r="V314" s="106"/>
      <c r="W314" s="142"/>
      <c r="X314" s="142"/>
      <c r="Y314" s="143"/>
      <c r="Z314" s="144"/>
      <c r="AA314" s="143"/>
      <c r="AB314" s="144"/>
      <c r="AC314" s="143"/>
      <c r="AD314" s="143"/>
      <c r="AE314" s="143"/>
      <c r="AF314" s="143"/>
      <c r="AG314" s="144"/>
      <c r="AH314" s="143"/>
      <c r="AI314" s="143"/>
    </row>
    <row r="315" spans="1:35" s="112" customFormat="1" ht="24.95" customHeight="1" x14ac:dyDescent="0.2">
      <c r="A315" s="93">
        <f>A312+1</f>
        <v>239</v>
      </c>
      <c r="B315" s="514" t="s">
        <v>775</v>
      </c>
      <c r="C315" s="510" t="s">
        <v>1050</v>
      </c>
      <c r="D315" s="510" t="s">
        <v>1329</v>
      </c>
      <c r="E315" s="46" t="s">
        <v>1369</v>
      </c>
      <c r="F315" s="98">
        <v>2</v>
      </c>
      <c r="G315" s="18">
        <v>42242</v>
      </c>
      <c r="H315" s="225">
        <v>42228</v>
      </c>
      <c r="I315" s="72">
        <v>-7</v>
      </c>
      <c r="J315" s="99" t="s">
        <v>2780</v>
      </c>
      <c r="K315" s="99">
        <v>42249</v>
      </c>
      <c r="L315" s="114" t="s">
        <v>2781</v>
      </c>
      <c r="M315" s="18">
        <v>42250</v>
      </c>
      <c r="N315" s="133" t="s">
        <v>3002</v>
      </c>
      <c r="O315" s="104">
        <v>42264</v>
      </c>
      <c r="P315" s="114">
        <v>4</v>
      </c>
      <c r="Q315" s="114" t="s">
        <v>2819</v>
      </c>
      <c r="R315" s="62">
        <v>42253</v>
      </c>
      <c r="S315" s="46" t="s">
        <v>2916</v>
      </c>
      <c r="T315" s="104">
        <v>42261</v>
      </c>
      <c r="U315" s="244" t="s">
        <v>1369</v>
      </c>
      <c r="V315" s="106" t="s">
        <v>1442</v>
      </c>
      <c r="W315" s="142"/>
      <c r="X315" s="142"/>
      <c r="Y315" s="143"/>
      <c r="Z315" s="144"/>
      <c r="AA315" s="143"/>
      <c r="AB315" s="144"/>
      <c r="AC315" s="143"/>
      <c r="AD315" s="143"/>
      <c r="AE315" s="143"/>
      <c r="AF315" s="143"/>
      <c r="AG315" s="144"/>
      <c r="AH315" s="143"/>
      <c r="AI315" s="143"/>
    </row>
    <row r="316" spans="1:35" s="112" customFormat="1" ht="24.95" customHeight="1" x14ac:dyDescent="0.2">
      <c r="A316" s="93"/>
      <c r="B316" s="591"/>
      <c r="C316" s="584"/>
      <c r="D316" s="584"/>
      <c r="E316" s="46">
        <v>0</v>
      </c>
      <c r="F316" s="98">
        <v>1</v>
      </c>
      <c r="G316" s="18"/>
      <c r="H316" s="225"/>
      <c r="I316" s="72"/>
      <c r="J316" s="274" t="s">
        <v>2899</v>
      </c>
      <c r="K316" s="274">
        <v>42260</v>
      </c>
      <c r="L316" s="114" t="s">
        <v>2902</v>
      </c>
      <c r="M316" s="104">
        <v>42261</v>
      </c>
      <c r="N316" s="290" t="s">
        <v>3031</v>
      </c>
      <c r="O316" s="104">
        <v>42277</v>
      </c>
      <c r="P316" s="114">
        <v>1</v>
      </c>
      <c r="Q316" s="17" t="s">
        <v>2922</v>
      </c>
      <c r="R316" s="18">
        <v>42262</v>
      </c>
      <c r="S316" s="133" t="s">
        <v>2990</v>
      </c>
      <c r="T316" s="104">
        <v>42267</v>
      </c>
      <c r="U316" s="114" t="s">
        <v>1369</v>
      </c>
      <c r="V316" s="106" t="s">
        <v>1442</v>
      </c>
      <c r="W316" s="142"/>
      <c r="X316" s="142"/>
      <c r="Y316" s="143"/>
      <c r="Z316" s="144"/>
      <c r="AA316" s="143"/>
      <c r="AB316" s="144"/>
      <c r="AC316" s="143"/>
      <c r="AD316" s="143"/>
      <c r="AE316" s="143"/>
      <c r="AF316" s="143"/>
      <c r="AG316" s="144"/>
      <c r="AH316" s="143"/>
      <c r="AI316" s="143"/>
    </row>
    <row r="317" spans="1:35" s="112" customFormat="1" ht="24.95" customHeight="1" x14ac:dyDescent="0.2">
      <c r="A317" s="93"/>
      <c r="B317" s="515"/>
      <c r="C317" s="511"/>
      <c r="D317" s="511"/>
      <c r="E317" s="46">
        <v>1</v>
      </c>
      <c r="F317" s="98" t="s">
        <v>1442</v>
      </c>
      <c r="G317" s="18" t="s">
        <v>1442</v>
      </c>
      <c r="H317" s="225"/>
      <c r="I317" s="72" t="s">
        <v>1442</v>
      </c>
      <c r="J317" s="99" t="s">
        <v>2929</v>
      </c>
      <c r="K317" s="99">
        <v>42262</v>
      </c>
      <c r="L317" s="114" t="s">
        <v>2930</v>
      </c>
      <c r="M317" s="104">
        <v>42264</v>
      </c>
      <c r="N317" s="133" t="s">
        <v>3027</v>
      </c>
      <c r="O317" s="104">
        <v>42277</v>
      </c>
      <c r="P317" s="114">
        <v>1</v>
      </c>
      <c r="Q317" s="284" t="s">
        <v>3012</v>
      </c>
      <c r="R317" s="175">
        <v>42264</v>
      </c>
      <c r="S317" s="133" t="s">
        <v>3132</v>
      </c>
      <c r="T317" s="104">
        <v>42351</v>
      </c>
      <c r="U317" s="301" t="s">
        <v>1369</v>
      </c>
      <c r="V317" s="184" t="s">
        <v>1442</v>
      </c>
      <c r="W317" s="142"/>
      <c r="X317" s="142"/>
      <c r="Y317" s="143"/>
      <c r="Z317" s="144"/>
      <c r="AA317" s="143"/>
      <c r="AB317" s="144"/>
      <c r="AC317" s="143"/>
      <c r="AD317" s="143"/>
      <c r="AE317" s="143"/>
      <c r="AF317" s="143"/>
      <c r="AG317" s="144"/>
      <c r="AH317" s="143"/>
      <c r="AI317" s="143"/>
    </row>
    <row r="318" spans="1:35" s="112" customFormat="1" ht="31.5" customHeight="1" x14ac:dyDescent="0.2">
      <c r="A318" s="592">
        <f>A315+1</f>
        <v>240</v>
      </c>
      <c r="B318" s="514" t="s">
        <v>776</v>
      </c>
      <c r="C318" s="510" t="s">
        <v>1051</v>
      </c>
      <c r="D318" s="510" t="s">
        <v>1330</v>
      </c>
      <c r="E318" s="46" t="s">
        <v>1369</v>
      </c>
      <c r="F318" s="98">
        <v>2</v>
      </c>
      <c r="G318" s="18">
        <v>42246</v>
      </c>
      <c r="H318" s="225">
        <v>42235</v>
      </c>
      <c r="I318" s="72">
        <v>-163</v>
      </c>
      <c r="J318" s="99" t="s">
        <v>3220</v>
      </c>
      <c r="K318" s="99">
        <v>42407</v>
      </c>
      <c r="L318" s="114" t="s">
        <v>3221</v>
      </c>
      <c r="M318" s="104">
        <v>42411</v>
      </c>
      <c r="N318" s="289" t="s">
        <v>3293</v>
      </c>
      <c r="O318" s="138">
        <v>42444</v>
      </c>
      <c r="P318" s="131">
        <v>2</v>
      </c>
      <c r="Q318" s="114" t="s">
        <v>3239</v>
      </c>
      <c r="R318" s="175">
        <v>42046</v>
      </c>
      <c r="S318" s="101"/>
      <c r="T318" s="102"/>
      <c r="U318" s="101"/>
      <c r="V318" s="184" t="s">
        <v>1552</v>
      </c>
      <c r="W318" s="142"/>
      <c r="X318" s="142"/>
      <c r="Y318" s="143"/>
      <c r="Z318" s="144"/>
      <c r="AA318" s="143"/>
      <c r="AB318" s="144"/>
      <c r="AC318" s="143"/>
      <c r="AD318" s="143"/>
      <c r="AE318" s="143"/>
      <c r="AF318" s="143"/>
      <c r="AG318" s="144"/>
      <c r="AH318" s="143"/>
      <c r="AI318" s="143"/>
    </row>
    <row r="319" spans="1:35" s="112" customFormat="1" ht="21" customHeight="1" x14ac:dyDescent="0.2">
      <c r="A319" s="593"/>
      <c r="B319" s="591"/>
      <c r="C319" s="584"/>
      <c r="D319" s="584"/>
      <c r="E319" s="290">
        <v>0</v>
      </c>
      <c r="F319" s="98">
        <v>1</v>
      </c>
      <c r="G319" s="18"/>
      <c r="H319" s="225"/>
      <c r="I319" s="72"/>
      <c r="J319" s="99" t="s">
        <v>3319</v>
      </c>
      <c r="K319" s="99">
        <v>42639</v>
      </c>
      <c r="L319" s="114" t="s">
        <v>3324</v>
      </c>
      <c r="M319" s="104">
        <v>42641</v>
      </c>
      <c r="N319" s="133" t="s">
        <v>3388</v>
      </c>
      <c r="O319" s="104">
        <v>42681</v>
      </c>
      <c r="P319" s="114">
        <v>1</v>
      </c>
      <c r="Q319" s="114" t="s">
        <v>3326</v>
      </c>
      <c r="R319" s="175">
        <v>42641</v>
      </c>
      <c r="S319" s="133" t="s">
        <v>3343</v>
      </c>
      <c r="T319" s="104">
        <v>42655</v>
      </c>
      <c r="U319" s="301" t="s">
        <v>1369</v>
      </c>
      <c r="V319" s="184"/>
      <c r="W319" s="142"/>
      <c r="X319" s="142"/>
      <c r="Y319" s="143"/>
      <c r="Z319" s="144"/>
      <c r="AA319" s="143"/>
      <c r="AB319" s="144"/>
      <c r="AC319" s="143"/>
      <c r="AD319" s="143"/>
      <c r="AE319" s="143"/>
      <c r="AF319" s="143"/>
      <c r="AG319" s="144"/>
      <c r="AH319" s="143"/>
      <c r="AI319" s="143"/>
    </row>
    <row r="320" spans="1:35" s="112" customFormat="1" ht="21" customHeight="1" x14ac:dyDescent="0.2">
      <c r="A320" s="594"/>
      <c r="B320" s="515"/>
      <c r="C320" s="511"/>
      <c r="D320" s="511"/>
      <c r="E320" s="290">
        <v>1</v>
      </c>
      <c r="F320" s="98">
        <v>1</v>
      </c>
      <c r="G320" s="18"/>
      <c r="H320" s="225"/>
      <c r="I320" s="72"/>
      <c r="J320" s="99" t="s">
        <v>3340</v>
      </c>
      <c r="K320" s="99">
        <v>42660</v>
      </c>
      <c r="L320" s="321"/>
      <c r="M320" s="189"/>
      <c r="N320" s="133"/>
      <c r="O320" s="104"/>
      <c r="P320" s="114"/>
      <c r="Q320" s="114" t="s">
        <v>3363</v>
      </c>
      <c r="R320" s="175">
        <v>42662</v>
      </c>
      <c r="S320" s="101"/>
      <c r="T320" s="102"/>
      <c r="U320" s="101"/>
      <c r="V320" s="184"/>
      <c r="W320" s="142"/>
      <c r="X320" s="142"/>
      <c r="Y320" s="143"/>
      <c r="Z320" s="144"/>
      <c r="AA320" s="143"/>
      <c r="AB320" s="144"/>
      <c r="AC320" s="143"/>
      <c r="AD320" s="143"/>
      <c r="AE320" s="143"/>
      <c r="AF320" s="143"/>
      <c r="AG320" s="144"/>
      <c r="AH320" s="143"/>
      <c r="AI320" s="143"/>
    </row>
    <row r="321" spans="1:35" s="112" customFormat="1" ht="31.5" customHeight="1" x14ac:dyDescent="0.2">
      <c r="A321" s="93">
        <f>A318+1</f>
        <v>241</v>
      </c>
      <c r="B321" s="510" t="s">
        <v>777</v>
      </c>
      <c r="C321" s="510" t="s">
        <v>1052</v>
      </c>
      <c r="D321" s="510" t="s">
        <v>1331</v>
      </c>
      <c r="E321" s="46" t="s">
        <v>1369</v>
      </c>
      <c r="F321" s="98">
        <v>2</v>
      </c>
      <c r="G321" s="18">
        <v>42250</v>
      </c>
      <c r="H321" s="225">
        <v>42242</v>
      </c>
      <c r="I321" s="72">
        <v>-14</v>
      </c>
      <c r="J321" s="61" t="s">
        <v>2946</v>
      </c>
      <c r="K321" s="99">
        <v>42264</v>
      </c>
      <c r="L321" s="114" t="s">
        <v>2947</v>
      </c>
      <c r="M321" s="104">
        <v>42267</v>
      </c>
      <c r="N321" s="133" t="s">
        <v>3038</v>
      </c>
      <c r="O321" s="104">
        <v>42281</v>
      </c>
      <c r="P321" s="114">
        <v>1</v>
      </c>
      <c r="Q321" s="114" t="s">
        <v>3015</v>
      </c>
      <c r="R321" s="18">
        <v>42268</v>
      </c>
      <c r="S321" s="101"/>
      <c r="T321" s="102"/>
      <c r="U321" s="101"/>
      <c r="V321" s="184" t="s">
        <v>1552</v>
      </c>
      <c r="W321" s="142"/>
      <c r="X321" s="142"/>
      <c r="Y321" s="143"/>
      <c r="Z321" s="144"/>
      <c r="AA321" s="143"/>
      <c r="AB321" s="144"/>
      <c r="AC321" s="143"/>
      <c r="AD321" s="143"/>
      <c r="AE321" s="143"/>
      <c r="AF321" s="143"/>
      <c r="AG321" s="144"/>
      <c r="AH321" s="143"/>
      <c r="AI321" s="143"/>
    </row>
    <row r="322" spans="1:35" s="112" customFormat="1" ht="25.5" customHeight="1" x14ac:dyDescent="0.2">
      <c r="A322" s="93"/>
      <c r="B322" s="584"/>
      <c r="C322" s="584"/>
      <c r="D322" s="584"/>
      <c r="E322" s="290">
        <v>0</v>
      </c>
      <c r="F322" s="98"/>
      <c r="G322" s="18"/>
      <c r="H322" s="225"/>
      <c r="I322" s="72"/>
      <c r="J322" s="61" t="s">
        <v>2978</v>
      </c>
      <c r="K322" s="99">
        <v>42276</v>
      </c>
      <c r="L322" s="114" t="s">
        <v>2967</v>
      </c>
      <c r="M322" s="104">
        <v>42277</v>
      </c>
      <c r="N322" s="133" t="s">
        <v>3042</v>
      </c>
      <c r="O322" s="104">
        <v>42281</v>
      </c>
      <c r="P322" s="114">
        <v>1</v>
      </c>
      <c r="Q322" s="131" t="s">
        <v>3034</v>
      </c>
      <c r="R322" s="62">
        <v>42278</v>
      </c>
      <c r="S322" s="101"/>
      <c r="T322" s="102"/>
      <c r="U322" s="101"/>
      <c r="V322" s="184" t="s">
        <v>1552</v>
      </c>
      <c r="W322" s="142"/>
      <c r="X322" s="142"/>
      <c r="Y322" s="143"/>
      <c r="Z322" s="144"/>
      <c r="AA322" s="143"/>
      <c r="AB322" s="144"/>
      <c r="AC322" s="143"/>
      <c r="AD322" s="143"/>
      <c r="AE322" s="143"/>
      <c r="AF322" s="143"/>
      <c r="AG322" s="144"/>
      <c r="AH322" s="143"/>
      <c r="AI322" s="143"/>
    </row>
    <row r="323" spans="1:35" s="112" customFormat="1" ht="26.25" customHeight="1" x14ac:dyDescent="0.2">
      <c r="A323" s="93"/>
      <c r="B323" s="511"/>
      <c r="C323" s="511"/>
      <c r="D323" s="511"/>
      <c r="E323" s="290">
        <v>1</v>
      </c>
      <c r="F323" s="291"/>
      <c r="G323" s="18"/>
      <c r="H323" s="225"/>
      <c r="I323" s="72"/>
      <c r="J323" s="61" t="s">
        <v>2997</v>
      </c>
      <c r="K323" s="99">
        <v>42297</v>
      </c>
      <c r="L323" s="114" t="s">
        <v>2998</v>
      </c>
      <c r="M323" s="104">
        <v>42298</v>
      </c>
      <c r="N323" s="133" t="s">
        <v>3058</v>
      </c>
      <c r="O323" s="104">
        <v>42303</v>
      </c>
      <c r="P323" s="114">
        <v>1</v>
      </c>
      <c r="Q323" s="101" t="s">
        <v>2999</v>
      </c>
      <c r="R323" s="18">
        <v>42289</v>
      </c>
      <c r="S323" s="133" t="s">
        <v>3001</v>
      </c>
      <c r="T323" s="104">
        <v>42290</v>
      </c>
      <c r="U323" s="114" t="s">
        <v>1369</v>
      </c>
      <c r="V323" s="184" t="s">
        <v>1621</v>
      </c>
      <c r="W323" s="142"/>
      <c r="X323" s="142"/>
      <c r="Y323" s="143"/>
      <c r="Z323" s="144"/>
      <c r="AA323" s="143"/>
      <c r="AB323" s="144"/>
      <c r="AC323" s="143"/>
      <c r="AD323" s="143"/>
      <c r="AE323" s="143"/>
      <c r="AF323" s="143"/>
      <c r="AG323" s="144"/>
      <c r="AH323" s="143"/>
      <c r="AI323" s="143"/>
    </row>
    <row r="324" spans="1:35" s="112" customFormat="1" ht="24.95" customHeight="1" x14ac:dyDescent="0.2">
      <c r="A324" s="93">
        <f>A321+1</f>
        <v>242</v>
      </c>
      <c r="B324" s="510" t="s">
        <v>778</v>
      </c>
      <c r="C324" s="510" t="s">
        <v>1053</v>
      </c>
      <c r="D324" s="510" t="s">
        <v>1332</v>
      </c>
      <c r="E324" s="46" t="s">
        <v>1369</v>
      </c>
      <c r="F324" s="98">
        <v>2</v>
      </c>
      <c r="G324" s="18">
        <v>42254</v>
      </c>
      <c r="H324" s="225">
        <v>42249</v>
      </c>
      <c r="I324" s="72">
        <v>-10</v>
      </c>
      <c r="J324" s="61" t="s">
        <v>2946</v>
      </c>
      <c r="K324" s="99">
        <v>42264</v>
      </c>
      <c r="L324" s="114" t="s">
        <v>2947</v>
      </c>
      <c r="M324" s="104">
        <v>42267</v>
      </c>
      <c r="N324" s="133" t="s">
        <v>3038</v>
      </c>
      <c r="O324" s="104">
        <v>42281</v>
      </c>
      <c r="P324" s="114">
        <v>1</v>
      </c>
      <c r="Q324" s="114" t="s">
        <v>3015</v>
      </c>
      <c r="R324" s="18">
        <v>42268</v>
      </c>
      <c r="S324" s="101"/>
      <c r="T324" s="102"/>
      <c r="U324" s="101"/>
      <c r="V324" s="184" t="s">
        <v>1552</v>
      </c>
      <c r="W324" s="142"/>
      <c r="X324" s="142"/>
      <c r="Y324" s="143"/>
      <c r="Z324" s="144"/>
      <c r="AA324" s="143"/>
      <c r="AB324" s="144"/>
      <c r="AC324" s="143"/>
      <c r="AD324" s="143"/>
      <c r="AE324" s="143"/>
      <c r="AF324" s="143"/>
      <c r="AG324" s="144"/>
      <c r="AH324" s="143"/>
      <c r="AI324" s="143"/>
    </row>
    <row r="325" spans="1:35" s="112" customFormat="1" ht="24.95" customHeight="1" x14ac:dyDescent="0.2">
      <c r="A325" s="93"/>
      <c r="B325" s="584"/>
      <c r="C325" s="584"/>
      <c r="D325" s="584"/>
      <c r="E325" s="290">
        <v>0</v>
      </c>
      <c r="F325" s="98"/>
      <c r="G325" s="18"/>
      <c r="H325" s="225"/>
      <c r="I325" s="72"/>
      <c r="J325" s="61" t="s">
        <v>2978</v>
      </c>
      <c r="K325" s="99">
        <v>42276</v>
      </c>
      <c r="L325" s="114" t="s">
        <v>2967</v>
      </c>
      <c r="M325" s="104">
        <v>42277</v>
      </c>
      <c r="N325" s="133" t="s">
        <v>3042</v>
      </c>
      <c r="O325" s="104">
        <v>42281</v>
      </c>
      <c r="P325" s="114">
        <v>1</v>
      </c>
      <c r="Q325" s="131" t="s">
        <v>3034</v>
      </c>
      <c r="R325" s="62">
        <v>42278</v>
      </c>
      <c r="S325" s="101"/>
      <c r="T325" s="102"/>
      <c r="U325" s="101"/>
      <c r="V325" s="184" t="s">
        <v>1552</v>
      </c>
      <c r="W325" s="142"/>
      <c r="X325" s="142"/>
      <c r="Y325" s="143"/>
      <c r="Z325" s="144"/>
      <c r="AA325" s="143"/>
      <c r="AB325" s="144"/>
      <c r="AC325" s="143"/>
      <c r="AD325" s="143"/>
      <c r="AE325" s="143"/>
      <c r="AF325" s="143"/>
      <c r="AG325" s="144"/>
      <c r="AH325" s="143"/>
      <c r="AI325" s="143"/>
    </row>
    <row r="326" spans="1:35" s="112" customFormat="1" ht="23.25" customHeight="1" x14ac:dyDescent="0.2">
      <c r="A326" s="93"/>
      <c r="B326" s="511"/>
      <c r="C326" s="511"/>
      <c r="D326" s="511"/>
      <c r="E326" s="290">
        <v>1</v>
      </c>
      <c r="F326" s="291"/>
      <c r="G326" s="18"/>
      <c r="H326" s="225"/>
      <c r="I326" s="72"/>
      <c r="J326" s="61" t="s">
        <v>2997</v>
      </c>
      <c r="K326" s="99">
        <v>42297</v>
      </c>
      <c r="L326" s="114" t="s">
        <v>2998</v>
      </c>
      <c r="M326" s="104">
        <v>42298</v>
      </c>
      <c r="N326" s="133" t="s">
        <v>3058</v>
      </c>
      <c r="O326" s="104">
        <v>42303</v>
      </c>
      <c r="P326" s="114">
        <v>1</v>
      </c>
      <c r="Q326" s="101" t="s">
        <v>2999</v>
      </c>
      <c r="R326" s="18">
        <v>42289</v>
      </c>
      <c r="S326" s="133" t="s">
        <v>3000</v>
      </c>
      <c r="T326" s="104">
        <v>42290</v>
      </c>
      <c r="U326" s="114" t="s">
        <v>1369</v>
      </c>
      <c r="V326" s="184" t="s">
        <v>1621</v>
      </c>
      <c r="W326" s="142"/>
      <c r="X326" s="142"/>
      <c r="Y326" s="143"/>
      <c r="Z326" s="144"/>
      <c r="AA326" s="143"/>
      <c r="AB326" s="144"/>
      <c r="AC326" s="143"/>
      <c r="AD326" s="143"/>
      <c r="AE326" s="143"/>
      <c r="AF326" s="143"/>
      <c r="AG326" s="144"/>
      <c r="AH326" s="143"/>
      <c r="AI326" s="143"/>
    </row>
    <row r="327" spans="1:35" s="112" customFormat="1" ht="24.95" customHeight="1" x14ac:dyDescent="0.2">
      <c r="A327" s="592">
        <f>A324+1</f>
        <v>243</v>
      </c>
      <c r="B327" s="510" t="s">
        <v>779</v>
      </c>
      <c r="C327" s="510" t="s">
        <v>1054</v>
      </c>
      <c r="D327" s="510" t="s">
        <v>1333</v>
      </c>
      <c r="E327" s="46" t="s">
        <v>1369</v>
      </c>
      <c r="F327" s="98">
        <v>2</v>
      </c>
      <c r="G327" s="18">
        <v>42258</v>
      </c>
      <c r="H327" s="225">
        <v>42256</v>
      </c>
      <c r="I327" s="72">
        <v>-151</v>
      </c>
      <c r="J327" s="99" t="s">
        <v>3220</v>
      </c>
      <c r="K327" s="99">
        <v>42407</v>
      </c>
      <c r="L327" s="114" t="s">
        <v>3221</v>
      </c>
      <c r="M327" s="104">
        <v>42411</v>
      </c>
      <c r="N327" s="289" t="s">
        <v>3293</v>
      </c>
      <c r="O327" s="138">
        <v>42444</v>
      </c>
      <c r="P327" s="131">
        <v>2</v>
      </c>
      <c r="Q327" s="114" t="s">
        <v>3239</v>
      </c>
      <c r="R327" s="175">
        <v>42046</v>
      </c>
      <c r="S327" s="101"/>
      <c r="T327" s="102"/>
      <c r="U327" s="101"/>
      <c r="V327" s="184" t="s">
        <v>1552</v>
      </c>
      <c r="W327" s="142"/>
      <c r="X327" s="142"/>
      <c r="Y327" s="143"/>
      <c r="Z327" s="144"/>
      <c r="AA327" s="143"/>
      <c r="AB327" s="144"/>
      <c r="AC327" s="143"/>
      <c r="AD327" s="143"/>
      <c r="AE327" s="143"/>
      <c r="AF327" s="143"/>
      <c r="AG327" s="144"/>
      <c r="AH327" s="143"/>
      <c r="AI327" s="143"/>
    </row>
    <row r="328" spans="1:35" s="112" customFormat="1" ht="24.95" customHeight="1" x14ac:dyDescent="0.2">
      <c r="A328" s="594"/>
      <c r="B328" s="511"/>
      <c r="C328" s="511"/>
      <c r="D328" s="511"/>
      <c r="E328" s="290">
        <v>0</v>
      </c>
      <c r="F328" s="98">
        <v>1</v>
      </c>
      <c r="G328" s="18"/>
      <c r="H328" s="225"/>
      <c r="I328" s="72"/>
      <c r="J328" s="99" t="s">
        <v>3319</v>
      </c>
      <c r="K328" s="99">
        <v>42639</v>
      </c>
      <c r="L328" s="114" t="s">
        <v>3324</v>
      </c>
      <c r="M328" s="104">
        <v>42641</v>
      </c>
      <c r="N328" s="133" t="s">
        <v>3388</v>
      </c>
      <c r="O328" s="104">
        <v>42681</v>
      </c>
      <c r="P328" s="114">
        <v>1</v>
      </c>
      <c r="Q328" s="114" t="s">
        <v>3326</v>
      </c>
      <c r="R328" s="175">
        <v>42641</v>
      </c>
      <c r="S328" s="133" t="s">
        <v>3342</v>
      </c>
      <c r="T328" s="104">
        <v>42655</v>
      </c>
      <c r="U328" s="114" t="s">
        <v>1369</v>
      </c>
      <c r="V328" s="171"/>
      <c r="W328" s="142"/>
      <c r="X328" s="142"/>
      <c r="Y328" s="143"/>
      <c r="Z328" s="144"/>
      <c r="AA328" s="143"/>
      <c r="AB328" s="144"/>
      <c r="AC328" s="143"/>
      <c r="AD328" s="143"/>
      <c r="AE328" s="143"/>
      <c r="AF328" s="143"/>
      <c r="AG328" s="144"/>
      <c r="AH328" s="143"/>
      <c r="AI328" s="143"/>
    </row>
    <row r="329" spans="1:35" s="112" customFormat="1" ht="24.95" customHeight="1" x14ac:dyDescent="0.2">
      <c r="A329" s="93">
        <f>A327+1</f>
        <v>244</v>
      </c>
      <c r="B329" s="136" t="s">
        <v>2894</v>
      </c>
      <c r="C329" s="95" t="s">
        <v>1055</v>
      </c>
      <c r="D329" s="96" t="s">
        <v>1334</v>
      </c>
      <c r="E329" s="46" t="s">
        <v>1369</v>
      </c>
      <c r="F329" s="98">
        <v>2</v>
      </c>
      <c r="G329" s="18">
        <v>42262</v>
      </c>
      <c r="H329" s="225">
        <v>42263</v>
      </c>
      <c r="I329" s="72">
        <v>1</v>
      </c>
      <c r="J329" s="272" t="s">
        <v>2892</v>
      </c>
      <c r="K329" s="274">
        <v>42260</v>
      </c>
      <c r="L329" s="114" t="s">
        <v>2895</v>
      </c>
      <c r="M329" s="104">
        <v>42261</v>
      </c>
      <c r="N329" s="133" t="s">
        <v>3055</v>
      </c>
      <c r="O329" s="104">
        <v>42297</v>
      </c>
      <c r="P329" s="114">
        <v>1</v>
      </c>
      <c r="Q329" s="17" t="s">
        <v>2919</v>
      </c>
      <c r="R329" s="18">
        <v>42262</v>
      </c>
      <c r="S329" s="133" t="s">
        <v>2991</v>
      </c>
      <c r="T329" s="104">
        <v>42267</v>
      </c>
      <c r="U329" s="114" t="s">
        <v>1369</v>
      </c>
      <c r="V329" s="106" t="s">
        <v>1442</v>
      </c>
      <c r="W329" s="142"/>
      <c r="X329" s="142"/>
      <c r="Y329" s="143"/>
      <c r="Z329" s="144"/>
      <c r="AA329" s="143"/>
      <c r="AB329" s="144"/>
      <c r="AC329" s="143"/>
      <c r="AD329" s="143"/>
      <c r="AE329" s="143"/>
      <c r="AF329" s="143"/>
      <c r="AG329" s="144"/>
      <c r="AH329" s="143"/>
      <c r="AI329" s="143"/>
    </row>
    <row r="330" spans="1:35" s="112" customFormat="1" ht="24.95" hidden="1" customHeight="1" x14ac:dyDescent="0.2">
      <c r="A330" s="93">
        <f t="shared" ref="A330:A334" si="7">A329+1</f>
        <v>245</v>
      </c>
      <c r="B330" s="94" t="s">
        <v>780</v>
      </c>
      <c r="C330" s="95" t="s">
        <v>1056</v>
      </c>
      <c r="D330" s="96" t="s">
        <v>1335</v>
      </c>
      <c r="E330" s="137"/>
      <c r="F330" s="98">
        <v>2</v>
      </c>
      <c r="G330" s="145">
        <v>41888</v>
      </c>
      <c r="H330" s="99"/>
      <c r="I330" s="72">
        <f ca="1">G330-TODAY()</f>
        <v>-2174</v>
      </c>
      <c r="J330" s="99"/>
      <c r="K330" s="99"/>
      <c r="L330" s="114"/>
      <c r="M330" s="104"/>
      <c r="N330" s="101"/>
      <c r="O330" s="102"/>
      <c r="P330" s="101"/>
      <c r="Q330" s="101"/>
      <c r="R330" s="101"/>
      <c r="S330" s="101"/>
      <c r="T330" s="102"/>
      <c r="U330" s="101"/>
      <c r="V330" s="106"/>
      <c r="W330" s="142"/>
      <c r="X330" s="142"/>
      <c r="Y330" s="143"/>
      <c r="Z330" s="144"/>
      <c r="AA330" s="143"/>
      <c r="AB330" s="144"/>
      <c r="AC330" s="143"/>
      <c r="AD330" s="143"/>
      <c r="AE330" s="143"/>
      <c r="AF330" s="143"/>
      <c r="AG330" s="144"/>
      <c r="AH330" s="143"/>
      <c r="AI330" s="143"/>
    </row>
    <row r="331" spans="1:35" s="112" customFormat="1" ht="24.95" hidden="1" customHeight="1" x14ac:dyDescent="0.2">
      <c r="A331" s="93">
        <f t="shared" si="7"/>
        <v>246</v>
      </c>
      <c r="B331" s="94" t="s">
        <v>781</v>
      </c>
      <c r="C331" s="95" t="s">
        <v>1057</v>
      </c>
      <c r="D331" s="96" t="s">
        <v>1336</v>
      </c>
      <c r="E331" s="137"/>
      <c r="F331" s="98">
        <v>2</v>
      </c>
      <c r="G331" s="145">
        <v>41933</v>
      </c>
      <c r="H331" s="99"/>
      <c r="I331" s="72">
        <f ca="1">G331-TODAY()</f>
        <v>-2129</v>
      </c>
      <c r="J331" s="99"/>
      <c r="K331" s="99"/>
      <c r="L331" s="114"/>
      <c r="M331" s="104"/>
      <c r="N331" s="101"/>
      <c r="O331" s="102"/>
      <c r="P331" s="101"/>
      <c r="Q331" s="101"/>
      <c r="R331" s="101"/>
      <c r="S331" s="101"/>
      <c r="T331" s="102"/>
      <c r="U331" s="101"/>
      <c r="V331" s="106"/>
      <c r="W331" s="142"/>
      <c r="X331" s="142"/>
      <c r="Y331" s="143"/>
      <c r="Z331" s="144"/>
      <c r="AA331" s="143"/>
      <c r="AB331" s="144"/>
      <c r="AC331" s="143"/>
      <c r="AD331" s="143"/>
      <c r="AE331" s="143"/>
      <c r="AF331" s="143"/>
      <c r="AG331" s="144"/>
      <c r="AH331" s="143"/>
      <c r="AI331" s="143"/>
    </row>
    <row r="332" spans="1:35" s="112" customFormat="1" ht="24.95" hidden="1" customHeight="1" x14ac:dyDescent="0.2">
      <c r="A332" s="93">
        <f t="shared" si="7"/>
        <v>247</v>
      </c>
      <c r="B332" s="148" t="s">
        <v>782</v>
      </c>
      <c r="C332" s="206" t="s">
        <v>1058</v>
      </c>
      <c r="D332" s="206" t="s">
        <v>1337</v>
      </c>
      <c r="E332" s="113" t="s">
        <v>1369</v>
      </c>
      <c r="F332" s="98">
        <v>2</v>
      </c>
      <c r="G332" s="145">
        <v>41877</v>
      </c>
      <c r="H332" s="99"/>
      <c r="I332" s="72">
        <v>-119</v>
      </c>
      <c r="J332" s="99" t="s">
        <v>2229</v>
      </c>
      <c r="K332" s="99">
        <v>41996</v>
      </c>
      <c r="L332" s="114" t="s">
        <v>2230</v>
      </c>
      <c r="M332" s="104">
        <v>41997</v>
      </c>
      <c r="N332" s="113" t="s">
        <v>2235</v>
      </c>
      <c r="O332" s="104">
        <v>41998</v>
      </c>
      <c r="P332" s="105" t="s">
        <v>1465</v>
      </c>
      <c r="Q332" s="131" t="s">
        <v>2236</v>
      </c>
      <c r="R332" s="104">
        <v>41998</v>
      </c>
      <c r="S332" s="146" t="s">
        <v>2237</v>
      </c>
      <c r="T332" s="104">
        <v>42002</v>
      </c>
      <c r="U332" s="105" t="s">
        <v>1465</v>
      </c>
      <c r="V332" s="106" t="s">
        <v>1442</v>
      </c>
      <c r="W332" s="142"/>
      <c r="X332" s="142"/>
      <c r="Y332" s="143"/>
      <c r="Z332" s="144"/>
      <c r="AA332" s="143"/>
      <c r="AB332" s="144"/>
      <c r="AC332" s="143"/>
      <c r="AD332" s="143"/>
      <c r="AE332" s="143"/>
      <c r="AF332" s="143"/>
      <c r="AG332" s="144"/>
      <c r="AH332" s="143"/>
      <c r="AI332" s="143"/>
    </row>
    <row r="333" spans="1:35" s="112" customFormat="1" ht="24.95" hidden="1" customHeight="1" x14ac:dyDescent="0.2">
      <c r="A333" s="93">
        <f t="shared" si="7"/>
        <v>248</v>
      </c>
      <c r="B333" s="148" t="s">
        <v>783</v>
      </c>
      <c r="C333" s="149" t="s">
        <v>1059</v>
      </c>
      <c r="D333" s="149" t="s">
        <v>1338</v>
      </c>
      <c r="E333" s="113" t="s">
        <v>1369</v>
      </c>
      <c r="F333" s="98">
        <v>2</v>
      </c>
      <c r="G333" s="145">
        <v>41908</v>
      </c>
      <c r="H333" s="99"/>
      <c r="I333" s="72">
        <v>1</v>
      </c>
      <c r="J333" s="99" t="s">
        <v>1932</v>
      </c>
      <c r="K333" s="99">
        <v>41907</v>
      </c>
      <c r="L333" s="114" t="s">
        <v>1933</v>
      </c>
      <c r="M333" s="104">
        <v>41919</v>
      </c>
      <c r="N333" s="113" t="s">
        <v>2056</v>
      </c>
      <c r="O333" s="104">
        <v>41925</v>
      </c>
      <c r="P333" s="105" t="s">
        <v>1465</v>
      </c>
      <c r="Q333" s="131" t="s">
        <v>2023</v>
      </c>
      <c r="R333" s="104">
        <v>41923</v>
      </c>
      <c r="S333" s="146" t="s">
        <v>2100</v>
      </c>
      <c r="T333" s="104">
        <v>41925</v>
      </c>
      <c r="U333" s="105" t="s">
        <v>1465</v>
      </c>
      <c r="V333" s="106" t="s">
        <v>1442</v>
      </c>
      <c r="W333" s="142"/>
      <c r="X333" s="142"/>
      <c r="Y333" s="143"/>
      <c r="Z333" s="144"/>
      <c r="AA333" s="143"/>
      <c r="AB333" s="144"/>
      <c r="AC333" s="143"/>
      <c r="AD333" s="143"/>
      <c r="AE333" s="143"/>
      <c r="AF333" s="143"/>
      <c r="AG333" s="144"/>
      <c r="AH333" s="143"/>
      <c r="AI333" s="143"/>
    </row>
    <row r="334" spans="1:35" s="112" customFormat="1" ht="24.95" customHeight="1" x14ac:dyDescent="0.2">
      <c r="A334" s="93">
        <f t="shared" si="7"/>
        <v>249</v>
      </c>
      <c r="B334" s="506" t="s">
        <v>2948</v>
      </c>
      <c r="C334" s="500" t="s">
        <v>1060</v>
      </c>
      <c r="D334" s="500" t="s">
        <v>1421</v>
      </c>
      <c r="E334" s="46" t="s">
        <v>1369</v>
      </c>
      <c r="F334" s="98">
        <v>2</v>
      </c>
      <c r="G334" s="216">
        <v>42172</v>
      </c>
      <c r="H334" s="235">
        <v>42172</v>
      </c>
      <c r="I334" s="72">
        <v>-92</v>
      </c>
      <c r="J334" s="61" t="s">
        <v>2946</v>
      </c>
      <c r="K334" s="99">
        <v>42264</v>
      </c>
      <c r="L334" s="114" t="s">
        <v>2947</v>
      </c>
      <c r="M334" s="104">
        <v>42267</v>
      </c>
      <c r="N334" s="133" t="s">
        <v>3037</v>
      </c>
      <c r="O334" s="104">
        <v>42281</v>
      </c>
      <c r="P334" s="114">
        <v>2</v>
      </c>
      <c r="Q334" s="114" t="s">
        <v>3015</v>
      </c>
      <c r="R334" s="18">
        <v>42268</v>
      </c>
      <c r="S334" s="101" t="s">
        <v>1442</v>
      </c>
      <c r="T334" s="102" t="s">
        <v>1442</v>
      </c>
      <c r="U334" s="101" t="s">
        <v>1442</v>
      </c>
      <c r="V334" s="184" t="s">
        <v>1552</v>
      </c>
      <c r="W334" s="142"/>
      <c r="X334" s="142"/>
      <c r="Y334" s="143"/>
      <c r="Z334" s="144"/>
      <c r="AA334" s="143"/>
      <c r="AB334" s="144"/>
      <c r="AC334" s="143"/>
      <c r="AD334" s="143"/>
      <c r="AE334" s="143"/>
      <c r="AF334" s="143"/>
      <c r="AG334" s="144"/>
      <c r="AH334" s="143"/>
      <c r="AI334" s="143"/>
    </row>
    <row r="335" spans="1:35" s="112" customFormat="1" ht="24.95" customHeight="1" x14ac:dyDescent="0.2">
      <c r="A335" s="93"/>
      <c r="B335" s="507"/>
      <c r="C335" s="509"/>
      <c r="D335" s="509"/>
      <c r="E335" s="290">
        <v>0</v>
      </c>
      <c r="F335" s="98"/>
      <c r="G335" s="216"/>
      <c r="H335" s="235"/>
      <c r="I335" s="72"/>
      <c r="J335" s="61" t="s">
        <v>2978</v>
      </c>
      <c r="K335" s="99">
        <v>42276</v>
      </c>
      <c r="L335" s="114" t="s">
        <v>2967</v>
      </c>
      <c r="M335" s="104">
        <v>42277</v>
      </c>
      <c r="N335" s="133" t="s">
        <v>3041</v>
      </c>
      <c r="O335" s="104">
        <v>42281</v>
      </c>
      <c r="P335" s="114">
        <v>2</v>
      </c>
      <c r="Q335" s="131" t="s">
        <v>3034</v>
      </c>
      <c r="R335" s="62">
        <v>42278</v>
      </c>
      <c r="S335" s="101" t="s">
        <v>1442</v>
      </c>
      <c r="T335" s="102" t="s">
        <v>1442</v>
      </c>
      <c r="U335" s="101" t="s">
        <v>1442</v>
      </c>
      <c r="V335" s="184" t="s">
        <v>1552</v>
      </c>
      <c r="W335" s="142"/>
      <c r="X335" s="142"/>
      <c r="Y335" s="143"/>
      <c r="Z335" s="144"/>
      <c r="AA335" s="143"/>
      <c r="AB335" s="144"/>
      <c r="AC335" s="143"/>
      <c r="AD335" s="143"/>
      <c r="AE335" s="143"/>
      <c r="AF335" s="143"/>
      <c r="AG335" s="144"/>
      <c r="AH335" s="143"/>
      <c r="AI335" s="143"/>
    </row>
    <row r="336" spans="1:35" s="112" customFormat="1" ht="24.95" customHeight="1" x14ac:dyDescent="0.2">
      <c r="A336" s="93"/>
      <c r="B336" s="507"/>
      <c r="C336" s="509"/>
      <c r="D336" s="509"/>
      <c r="E336" s="290">
        <v>1</v>
      </c>
      <c r="F336" s="98"/>
      <c r="G336" s="216"/>
      <c r="H336" s="235"/>
      <c r="I336" s="72"/>
      <c r="J336" s="62" t="s">
        <v>2982</v>
      </c>
      <c r="K336" s="99">
        <v>42283</v>
      </c>
      <c r="L336" s="114" t="s">
        <v>2970</v>
      </c>
      <c r="M336" s="104">
        <v>42285</v>
      </c>
      <c r="N336" s="133" t="s">
        <v>3045</v>
      </c>
      <c r="O336" s="104">
        <v>42290</v>
      </c>
      <c r="P336" s="114">
        <v>2</v>
      </c>
      <c r="Q336" s="224" t="s">
        <v>2995</v>
      </c>
      <c r="R336" s="62">
        <v>42289</v>
      </c>
      <c r="S336" s="133" t="s">
        <v>2994</v>
      </c>
      <c r="T336" s="104">
        <v>42290</v>
      </c>
      <c r="U336" s="114" t="s">
        <v>1369</v>
      </c>
      <c r="V336" s="184" t="s">
        <v>1442</v>
      </c>
      <c r="W336" s="142"/>
      <c r="X336" s="142"/>
      <c r="Y336" s="143"/>
      <c r="Z336" s="144"/>
      <c r="AA336" s="143"/>
      <c r="AB336" s="144"/>
      <c r="AC336" s="143"/>
      <c r="AD336" s="143"/>
      <c r="AE336" s="143"/>
      <c r="AF336" s="143"/>
      <c r="AG336" s="144"/>
      <c r="AH336" s="143"/>
      <c r="AI336" s="143"/>
    </row>
    <row r="337" spans="1:35" s="112" customFormat="1" ht="24.95" customHeight="1" x14ac:dyDescent="0.2">
      <c r="A337" s="93"/>
      <c r="B337" s="508"/>
      <c r="C337" s="501"/>
      <c r="D337" s="501"/>
      <c r="E337" s="290">
        <v>2</v>
      </c>
      <c r="F337" s="98"/>
      <c r="G337" s="216"/>
      <c r="H337" s="235"/>
      <c r="I337" s="72"/>
      <c r="J337" s="62" t="s">
        <v>3061</v>
      </c>
      <c r="K337" s="99">
        <v>42330</v>
      </c>
      <c r="L337" s="114" t="s">
        <v>3062</v>
      </c>
      <c r="M337" s="104">
        <v>42331</v>
      </c>
      <c r="N337" s="133" t="s">
        <v>3091</v>
      </c>
      <c r="O337" s="104">
        <v>42333</v>
      </c>
      <c r="P337" s="114">
        <v>1</v>
      </c>
      <c r="Q337" s="224" t="s">
        <v>3069</v>
      </c>
      <c r="R337" s="62">
        <v>42332</v>
      </c>
      <c r="S337" s="133" t="s">
        <v>3172</v>
      </c>
      <c r="T337" s="104">
        <v>42372</v>
      </c>
      <c r="U337" s="114" t="s">
        <v>1369</v>
      </c>
      <c r="V337" s="106" t="s">
        <v>1442</v>
      </c>
      <c r="W337" s="142"/>
      <c r="X337" s="142"/>
      <c r="Y337" s="143"/>
      <c r="Z337" s="144"/>
      <c r="AA337" s="143"/>
      <c r="AB337" s="144"/>
      <c r="AC337" s="143"/>
      <c r="AD337" s="143"/>
      <c r="AE337" s="143"/>
      <c r="AF337" s="143"/>
      <c r="AG337" s="144"/>
      <c r="AH337" s="143"/>
      <c r="AI337" s="143"/>
    </row>
    <row r="338" spans="1:35" s="112" customFormat="1" ht="24" customHeight="1" x14ac:dyDescent="0.2">
      <c r="A338" s="93">
        <f>A334+1</f>
        <v>250</v>
      </c>
      <c r="B338" s="215" t="s">
        <v>784</v>
      </c>
      <c r="C338" s="213" t="s">
        <v>1061</v>
      </c>
      <c r="D338" s="214" t="s">
        <v>1339</v>
      </c>
      <c r="E338" s="113" t="s">
        <v>1369</v>
      </c>
      <c r="F338" s="98">
        <v>2</v>
      </c>
      <c r="G338" s="217">
        <v>41855</v>
      </c>
      <c r="H338" s="234">
        <v>41855</v>
      </c>
      <c r="I338" s="72">
        <v>-84</v>
      </c>
      <c r="J338" s="99" t="s">
        <v>1993</v>
      </c>
      <c r="K338" s="62">
        <v>41939</v>
      </c>
      <c r="L338" s="114" t="s">
        <v>1994</v>
      </c>
      <c r="M338" s="175">
        <v>41940</v>
      </c>
      <c r="N338" s="113" t="s">
        <v>2134</v>
      </c>
      <c r="O338" s="104">
        <v>41946</v>
      </c>
      <c r="P338" s="114">
        <v>1</v>
      </c>
      <c r="Q338" s="187" t="s">
        <v>2070</v>
      </c>
      <c r="R338" s="62">
        <v>41941</v>
      </c>
      <c r="S338" s="146" t="s">
        <v>2126</v>
      </c>
      <c r="T338" s="104">
        <v>41945</v>
      </c>
      <c r="U338" s="105" t="s">
        <v>1369</v>
      </c>
      <c r="V338" s="106" t="s">
        <v>1442</v>
      </c>
      <c r="W338" s="142"/>
      <c r="X338" s="142"/>
      <c r="Y338" s="143"/>
      <c r="Z338" s="144"/>
      <c r="AA338" s="143"/>
      <c r="AB338" s="144"/>
      <c r="AC338" s="143"/>
      <c r="AD338" s="143"/>
      <c r="AE338" s="143"/>
      <c r="AF338" s="143"/>
      <c r="AG338" s="144"/>
      <c r="AH338" s="143"/>
      <c r="AI338" s="143"/>
    </row>
    <row r="339" spans="1:35" s="112" customFormat="1" ht="24.95" customHeight="1" x14ac:dyDescent="0.2">
      <c r="A339" s="592">
        <f t="shared" ref="A339:A350" si="8">A338+1</f>
        <v>251</v>
      </c>
      <c r="B339" s="506" t="s">
        <v>3219</v>
      </c>
      <c r="C339" s="500" t="s">
        <v>1062</v>
      </c>
      <c r="D339" s="500" t="s">
        <v>1422</v>
      </c>
      <c r="E339" s="46" t="s">
        <v>1369</v>
      </c>
      <c r="F339" s="98">
        <v>2</v>
      </c>
      <c r="G339" s="216">
        <v>42180</v>
      </c>
      <c r="H339" s="235">
        <v>42180</v>
      </c>
      <c r="I339" s="72">
        <v>-229</v>
      </c>
      <c r="J339" s="99" t="s">
        <v>3220</v>
      </c>
      <c r="K339" s="99">
        <v>42407</v>
      </c>
      <c r="L339" s="114" t="s">
        <v>3221</v>
      </c>
      <c r="M339" s="104">
        <v>42411</v>
      </c>
      <c r="N339" s="289" t="s">
        <v>3293</v>
      </c>
      <c r="O339" s="138">
        <v>42444</v>
      </c>
      <c r="P339" s="131">
        <v>2</v>
      </c>
      <c r="Q339" s="114" t="s">
        <v>3239</v>
      </c>
      <c r="R339" s="175">
        <v>42046</v>
      </c>
      <c r="S339" s="101"/>
      <c r="T339" s="102"/>
      <c r="U339" s="101"/>
      <c r="V339" s="106" t="s">
        <v>1552</v>
      </c>
      <c r="W339" s="142"/>
      <c r="X339" s="142"/>
      <c r="Y339" s="143"/>
      <c r="Z339" s="144"/>
      <c r="AA339" s="143"/>
      <c r="AB339" s="144"/>
      <c r="AC339" s="143"/>
      <c r="AD339" s="143"/>
      <c r="AE339" s="143"/>
      <c r="AF339" s="143"/>
      <c r="AG339" s="144"/>
      <c r="AH339" s="143"/>
      <c r="AI339" s="143"/>
    </row>
    <row r="340" spans="1:35" s="112" customFormat="1" ht="24.95" customHeight="1" x14ac:dyDescent="0.2">
      <c r="A340" s="593"/>
      <c r="B340" s="507"/>
      <c r="C340" s="509"/>
      <c r="D340" s="509"/>
      <c r="E340" s="290">
        <v>0</v>
      </c>
      <c r="F340" s="98">
        <v>1</v>
      </c>
      <c r="G340" s="216"/>
      <c r="H340" s="235"/>
      <c r="I340" s="72"/>
      <c r="J340" s="99" t="s">
        <v>3319</v>
      </c>
      <c r="K340" s="99">
        <v>42639</v>
      </c>
      <c r="L340" s="114" t="s">
        <v>3324</v>
      </c>
      <c r="M340" s="104">
        <v>42641</v>
      </c>
      <c r="N340" s="289"/>
      <c r="O340" s="104"/>
      <c r="P340" s="114"/>
      <c r="Q340" s="114" t="s">
        <v>3326</v>
      </c>
      <c r="R340" s="175">
        <v>42641</v>
      </c>
      <c r="S340" s="133" t="s">
        <v>3348</v>
      </c>
      <c r="T340" s="104">
        <v>42655</v>
      </c>
      <c r="U340" s="114" t="s">
        <v>1369</v>
      </c>
      <c r="V340" s="106"/>
      <c r="W340" s="142"/>
      <c r="X340" s="142"/>
      <c r="Y340" s="143"/>
      <c r="Z340" s="144"/>
      <c r="AA340" s="143"/>
      <c r="AB340" s="144"/>
      <c r="AC340" s="143"/>
      <c r="AD340" s="143"/>
      <c r="AE340" s="143"/>
      <c r="AF340" s="143"/>
      <c r="AG340" s="144"/>
      <c r="AH340" s="143"/>
      <c r="AI340" s="143"/>
    </row>
    <row r="341" spans="1:35" s="112" customFormat="1" ht="24.95" customHeight="1" x14ac:dyDescent="0.2">
      <c r="A341" s="593"/>
      <c r="B341" s="507"/>
      <c r="C341" s="509"/>
      <c r="D341" s="509"/>
      <c r="E341" s="290">
        <v>1</v>
      </c>
      <c r="F341" s="98">
        <v>1</v>
      </c>
      <c r="G341" s="216"/>
      <c r="H341" s="235"/>
      <c r="I341" s="72"/>
      <c r="J341" s="99" t="s">
        <v>3338</v>
      </c>
      <c r="K341" s="99">
        <v>42655</v>
      </c>
      <c r="L341" s="114" t="s">
        <v>3357</v>
      </c>
      <c r="M341" s="104">
        <v>42660</v>
      </c>
      <c r="N341" s="289"/>
      <c r="O341" s="104"/>
      <c r="P341" s="114"/>
      <c r="Q341" s="114" t="s">
        <v>3355</v>
      </c>
      <c r="R341" s="175">
        <v>42661</v>
      </c>
      <c r="S341" s="101"/>
      <c r="T341" s="102"/>
      <c r="U341" s="101"/>
      <c r="V341" s="106"/>
      <c r="W341" s="142"/>
      <c r="X341" s="142"/>
      <c r="Y341" s="143"/>
      <c r="Z341" s="144"/>
      <c r="AA341" s="143"/>
      <c r="AB341" s="144"/>
      <c r="AC341" s="143"/>
      <c r="AD341" s="143"/>
      <c r="AE341" s="143"/>
      <c r="AF341" s="143"/>
      <c r="AG341" s="144"/>
      <c r="AH341" s="143"/>
      <c r="AI341" s="143"/>
    </row>
    <row r="342" spans="1:35" s="112" customFormat="1" ht="24.95" customHeight="1" x14ac:dyDescent="0.2">
      <c r="A342" s="594"/>
      <c r="B342" s="508"/>
      <c r="C342" s="501"/>
      <c r="D342" s="501"/>
      <c r="E342" s="290">
        <v>2</v>
      </c>
      <c r="F342" s="98">
        <v>1</v>
      </c>
      <c r="G342" s="216"/>
      <c r="H342" s="235"/>
      <c r="I342" s="72"/>
      <c r="J342" s="99" t="s">
        <v>3358</v>
      </c>
      <c r="K342" s="99">
        <v>42661</v>
      </c>
      <c r="L342" s="114" t="s">
        <v>3364</v>
      </c>
      <c r="M342" s="104">
        <v>42663</v>
      </c>
      <c r="N342" s="113" t="s">
        <v>3373</v>
      </c>
      <c r="O342" s="104">
        <v>42668</v>
      </c>
      <c r="P342" s="114">
        <v>1</v>
      </c>
      <c r="Q342" s="114" t="s">
        <v>3365</v>
      </c>
      <c r="R342" s="175">
        <v>42663</v>
      </c>
      <c r="S342" s="101"/>
      <c r="T342" s="102"/>
      <c r="U342" s="101"/>
      <c r="V342" s="106"/>
      <c r="W342" s="142"/>
      <c r="X342" s="142"/>
      <c r="Y342" s="143"/>
      <c r="Z342" s="144"/>
      <c r="AA342" s="143"/>
      <c r="AB342" s="144"/>
      <c r="AC342" s="143"/>
      <c r="AD342" s="143"/>
      <c r="AE342" s="143"/>
      <c r="AF342" s="143"/>
      <c r="AG342" s="144"/>
      <c r="AH342" s="143"/>
      <c r="AI342" s="143"/>
    </row>
    <row r="343" spans="1:35" s="112" customFormat="1" ht="23.25" customHeight="1" x14ac:dyDescent="0.2">
      <c r="A343" s="93">
        <f>A339+1</f>
        <v>252</v>
      </c>
      <c r="B343" s="270" t="s">
        <v>785</v>
      </c>
      <c r="C343" s="255" t="s">
        <v>1063</v>
      </c>
      <c r="D343" s="255" t="s">
        <v>1423</v>
      </c>
      <c r="E343" s="46" t="s">
        <v>1369</v>
      </c>
      <c r="F343" s="98">
        <v>2</v>
      </c>
      <c r="G343" s="216">
        <v>42114</v>
      </c>
      <c r="H343" s="235">
        <v>42114</v>
      </c>
      <c r="I343" s="72">
        <v>-127</v>
      </c>
      <c r="J343" s="61" t="s">
        <v>2712</v>
      </c>
      <c r="K343" s="99">
        <v>42241</v>
      </c>
      <c r="L343" s="17" t="s">
        <v>2713</v>
      </c>
      <c r="M343" s="18">
        <v>42242</v>
      </c>
      <c r="N343" s="46" t="s">
        <v>2777</v>
      </c>
      <c r="O343" s="104">
        <v>42247</v>
      </c>
      <c r="P343" s="114">
        <v>1</v>
      </c>
      <c r="Q343" s="114" t="s">
        <v>2719</v>
      </c>
      <c r="R343" s="62">
        <v>42242</v>
      </c>
      <c r="S343" s="133" t="s">
        <v>3133</v>
      </c>
      <c r="T343" s="104">
        <v>42351</v>
      </c>
      <c r="U343" s="114" t="s">
        <v>1369</v>
      </c>
      <c r="V343" s="171" t="s">
        <v>1442</v>
      </c>
      <c r="W343" s="142"/>
      <c r="X343" s="142"/>
      <c r="Y343" s="143"/>
      <c r="Z343" s="144"/>
      <c r="AA343" s="143"/>
      <c r="AB343" s="144"/>
      <c r="AC343" s="143"/>
      <c r="AD343" s="143"/>
      <c r="AE343" s="143"/>
      <c r="AF343" s="143"/>
      <c r="AG343" s="144"/>
      <c r="AH343" s="143"/>
      <c r="AI343" s="143"/>
    </row>
    <row r="344" spans="1:35" s="112" customFormat="1" ht="24.75" customHeight="1" x14ac:dyDescent="0.2">
      <c r="A344" s="93">
        <f t="shared" si="8"/>
        <v>253</v>
      </c>
      <c r="B344" s="270" t="s">
        <v>786</v>
      </c>
      <c r="C344" s="255" t="s">
        <v>1064</v>
      </c>
      <c r="D344" s="255" t="s">
        <v>1424</v>
      </c>
      <c r="E344" s="46" t="s">
        <v>1369</v>
      </c>
      <c r="F344" s="98">
        <v>2</v>
      </c>
      <c r="G344" s="216">
        <v>42137</v>
      </c>
      <c r="H344" s="235">
        <v>42137</v>
      </c>
      <c r="I344" s="72">
        <v>-104</v>
      </c>
      <c r="J344" s="61" t="s">
        <v>2708</v>
      </c>
      <c r="K344" s="99">
        <v>42241</v>
      </c>
      <c r="L344" s="17" t="s">
        <v>2709</v>
      </c>
      <c r="M344" s="18">
        <v>42241</v>
      </c>
      <c r="N344" s="46" t="s">
        <v>2760</v>
      </c>
      <c r="O344" s="104">
        <v>42243</v>
      </c>
      <c r="P344" s="114">
        <v>1</v>
      </c>
      <c r="Q344" s="114" t="s">
        <v>2718</v>
      </c>
      <c r="R344" s="62">
        <v>42242</v>
      </c>
      <c r="S344" s="46" t="s">
        <v>2802</v>
      </c>
      <c r="T344" s="104">
        <v>42253</v>
      </c>
      <c r="U344" s="114" t="s">
        <v>1369</v>
      </c>
      <c r="V344" s="184" t="s">
        <v>1442</v>
      </c>
      <c r="W344" s="142"/>
      <c r="X344" s="142"/>
      <c r="Y344" s="143"/>
      <c r="Z344" s="144"/>
      <c r="AA344" s="143"/>
      <c r="AB344" s="144"/>
      <c r="AC344" s="143"/>
      <c r="AD344" s="143"/>
      <c r="AE344" s="143"/>
      <c r="AF344" s="143"/>
      <c r="AG344" s="144"/>
      <c r="AH344" s="143"/>
      <c r="AI344" s="143"/>
    </row>
    <row r="345" spans="1:35" s="112" customFormat="1" ht="21" x14ac:dyDescent="0.2">
      <c r="A345" s="93">
        <f t="shared" si="8"/>
        <v>254</v>
      </c>
      <c r="B345" s="281" t="s">
        <v>787</v>
      </c>
      <c r="C345" s="283" t="s">
        <v>1065</v>
      </c>
      <c r="D345" s="214" t="s">
        <v>1340</v>
      </c>
      <c r="E345" s="46" t="s">
        <v>1369</v>
      </c>
      <c r="F345" s="98">
        <v>3</v>
      </c>
      <c r="G345" s="99">
        <v>42320</v>
      </c>
      <c r="H345" s="99"/>
      <c r="I345" s="72">
        <v>24</v>
      </c>
      <c r="J345" s="99" t="s">
        <v>2981</v>
      </c>
      <c r="K345" s="99">
        <v>42283</v>
      </c>
      <c r="L345" s="114" t="s">
        <v>2969</v>
      </c>
      <c r="M345" s="104">
        <v>42285</v>
      </c>
      <c r="N345" s="46" t="s">
        <v>3116</v>
      </c>
      <c r="O345" s="104">
        <v>42338</v>
      </c>
      <c r="P345" s="114">
        <v>1</v>
      </c>
      <c r="Q345" s="114" t="s">
        <v>3043</v>
      </c>
      <c r="R345" s="62">
        <v>42285</v>
      </c>
      <c r="S345" s="101"/>
      <c r="T345" s="102"/>
      <c r="U345" s="114" t="s">
        <v>2544</v>
      </c>
      <c r="V345" s="106" t="s">
        <v>3066</v>
      </c>
      <c r="W345" s="142"/>
      <c r="X345" s="142"/>
      <c r="Y345" s="143"/>
      <c r="Z345" s="144"/>
      <c r="AA345" s="143"/>
      <c r="AB345" s="144"/>
      <c r="AC345" s="143"/>
      <c r="AD345" s="143"/>
      <c r="AE345" s="143"/>
      <c r="AF345" s="143"/>
      <c r="AG345" s="144"/>
      <c r="AH345" s="143"/>
      <c r="AI345" s="143"/>
    </row>
    <row r="346" spans="1:35" s="112" customFormat="1" ht="21" x14ac:dyDescent="0.2">
      <c r="A346" s="93">
        <f t="shared" si="8"/>
        <v>255</v>
      </c>
      <c r="B346" s="281" t="s">
        <v>788</v>
      </c>
      <c r="C346" s="283" t="s">
        <v>1066</v>
      </c>
      <c r="D346" s="214" t="s">
        <v>1341</v>
      </c>
      <c r="E346" s="46" t="s">
        <v>1369</v>
      </c>
      <c r="F346" s="98">
        <v>3</v>
      </c>
      <c r="G346" s="99">
        <v>42267</v>
      </c>
      <c r="H346" s="99"/>
      <c r="I346" s="72">
        <v>-29</v>
      </c>
      <c r="J346" s="99" t="s">
        <v>2981</v>
      </c>
      <c r="K346" s="99">
        <v>42283</v>
      </c>
      <c r="L346" s="114" t="s">
        <v>2969</v>
      </c>
      <c r="M346" s="104">
        <v>42285</v>
      </c>
      <c r="N346" s="46" t="s">
        <v>3116</v>
      </c>
      <c r="O346" s="104">
        <v>42338</v>
      </c>
      <c r="P346" s="114">
        <v>1</v>
      </c>
      <c r="Q346" s="114" t="s">
        <v>3043</v>
      </c>
      <c r="R346" s="62">
        <v>42285</v>
      </c>
      <c r="S346" s="101"/>
      <c r="T346" s="102"/>
      <c r="U346" s="114" t="s">
        <v>2544</v>
      </c>
      <c r="V346" s="106" t="s">
        <v>3066</v>
      </c>
      <c r="W346" s="142"/>
      <c r="X346" s="142"/>
      <c r="Y346" s="143"/>
      <c r="Z346" s="144"/>
      <c r="AA346" s="143"/>
      <c r="AB346" s="144"/>
      <c r="AC346" s="143"/>
      <c r="AD346" s="143"/>
      <c r="AE346" s="143"/>
      <c r="AF346" s="143"/>
      <c r="AG346" s="144"/>
      <c r="AH346" s="143"/>
      <c r="AI346" s="143"/>
    </row>
    <row r="347" spans="1:35" s="112" customFormat="1" ht="21" x14ac:dyDescent="0.2">
      <c r="A347" s="93">
        <f t="shared" si="8"/>
        <v>256</v>
      </c>
      <c r="B347" s="281" t="s">
        <v>789</v>
      </c>
      <c r="C347" s="283" t="s">
        <v>1067</v>
      </c>
      <c r="D347" s="214" t="s">
        <v>1342</v>
      </c>
      <c r="E347" s="46" t="s">
        <v>1369</v>
      </c>
      <c r="F347" s="98">
        <v>3</v>
      </c>
      <c r="G347" s="99">
        <v>42305</v>
      </c>
      <c r="H347" s="99"/>
      <c r="I347" s="72">
        <v>9</v>
      </c>
      <c r="J347" s="99" t="s">
        <v>2981</v>
      </c>
      <c r="K347" s="99">
        <v>42283</v>
      </c>
      <c r="L347" s="114" t="s">
        <v>2969</v>
      </c>
      <c r="M347" s="104">
        <v>42285</v>
      </c>
      <c r="N347" s="46" t="s">
        <v>3116</v>
      </c>
      <c r="O347" s="104">
        <v>42338</v>
      </c>
      <c r="P347" s="114">
        <v>1</v>
      </c>
      <c r="Q347" s="114" t="s">
        <v>3043</v>
      </c>
      <c r="R347" s="62">
        <v>42285</v>
      </c>
      <c r="S347" s="101"/>
      <c r="T347" s="102"/>
      <c r="U347" s="114" t="s">
        <v>2544</v>
      </c>
      <c r="V347" s="106" t="s">
        <v>3066</v>
      </c>
      <c r="W347" s="142"/>
      <c r="X347" s="142"/>
      <c r="Y347" s="143"/>
      <c r="Z347" s="144"/>
      <c r="AA347" s="143"/>
      <c r="AB347" s="144"/>
      <c r="AC347" s="143"/>
      <c r="AD347" s="143"/>
      <c r="AE347" s="143"/>
      <c r="AF347" s="143"/>
      <c r="AG347" s="144"/>
      <c r="AH347" s="143"/>
      <c r="AI347" s="143"/>
    </row>
    <row r="348" spans="1:35" s="112" customFormat="1" ht="21" x14ac:dyDescent="0.2">
      <c r="A348" s="93">
        <f t="shared" si="8"/>
        <v>257</v>
      </c>
      <c r="B348" s="281" t="s">
        <v>790</v>
      </c>
      <c r="C348" s="283" t="s">
        <v>1068</v>
      </c>
      <c r="D348" s="214" t="s">
        <v>1343</v>
      </c>
      <c r="E348" s="46" t="s">
        <v>1369</v>
      </c>
      <c r="F348" s="98">
        <v>3</v>
      </c>
      <c r="G348" s="99">
        <v>42252</v>
      </c>
      <c r="H348" s="99"/>
      <c r="I348" s="72">
        <v>-44</v>
      </c>
      <c r="J348" s="99" t="s">
        <v>2981</v>
      </c>
      <c r="K348" s="99">
        <v>42283</v>
      </c>
      <c r="L348" s="114" t="s">
        <v>2969</v>
      </c>
      <c r="M348" s="104">
        <v>42285</v>
      </c>
      <c r="N348" s="46" t="s">
        <v>3116</v>
      </c>
      <c r="O348" s="104">
        <v>42338</v>
      </c>
      <c r="P348" s="114">
        <v>1</v>
      </c>
      <c r="Q348" s="114" t="s">
        <v>3043</v>
      </c>
      <c r="R348" s="62">
        <v>42285</v>
      </c>
      <c r="S348" s="101"/>
      <c r="T348" s="102"/>
      <c r="U348" s="114" t="s">
        <v>2544</v>
      </c>
      <c r="V348" s="106" t="s">
        <v>3066</v>
      </c>
      <c r="W348" s="142"/>
      <c r="X348" s="142"/>
      <c r="Y348" s="143"/>
      <c r="Z348" s="144"/>
      <c r="AA348" s="143"/>
      <c r="AB348" s="144"/>
      <c r="AC348" s="143"/>
      <c r="AD348" s="143"/>
      <c r="AE348" s="143"/>
      <c r="AF348" s="143"/>
      <c r="AG348" s="144"/>
      <c r="AH348" s="143"/>
      <c r="AI348" s="143"/>
    </row>
    <row r="349" spans="1:35" s="112" customFormat="1" ht="21" x14ac:dyDescent="0.2">
      <c r="A349" s="93">
        <f t="shared" si="8"/>
        <v>258</v>
      </c>
      <c r="B349" s="281" t="s">
        <v>791</v>
      </c>
      <c r="C349" s="283" t="s">
        <v>1069</v>
      </c>
      <c r="D349" s="214" t="s">
        <v>1344</v>
      </c>
      <c r="E349" s="46" t="s">
        <v>1369</v>
      </c>
      <c r="F349" s="98">
        <v>3</v>
      </c>
      <c r="G349" s="99">
        <v>42254</v>
      </c>
      <c r="H349" s="99"/>
      <c r="I349" s="72">
        <v>-42</v>
      </c>
      <c r="J349" s="99" t="s">
        <v>2981</v>
      </c>
      <c r="K349" s="99">
        <v>42283</v>
      </c>
      <c r="L349" s="114" t="s">
        <v>2969</v>
      </c>
      <c r="M349" s="104">
        <v>42285</v>
      </c>
      <c r="N349" s="46" t="s">
        <v>3116</v>
      </c>
      <c r="O349" s="104">
        <v>42338</v>
      </c>
      <c r="P349" s="114">
        <v>1</v>
      </c>
      <c r="Q349" s="114" t="s">
        <v>3043</v>
      </c>
      <c r="R349" s="62">
        <v>42285</v>
      </c>
      <c r="S349" s="101"/>
      <c r="T349" s="102"/>
      <c r="U349" s="114" t="s">
        <v>2544</v>
      </c>
      <c r="V349" s="106" t="s">
        <v>3066</v>
      </c>
      <c r="W349" s="142"/>
      <c r="X349" s="142"/>
      <c r="Y349" s="143"/>
      <c r="Z349" s="144"/>
      <c r="AA349" s="143"/>
      <c r="AB349" s="144"/>
      <c r="AC349" s="143"/>
      <c r="AD349" s="143"/>
      <c r="AE349" s="143"/>
      <c r="AF349" s="143"/>
      <c r="AG349" s="144"/>
      <c r="AH349" s="143"/>
      <c r="AI349" s="143"/>
    </row>
    <row r="350" spans="1:35" s="112" customFormat="1" ht="21" x14ac:dyDescent="0.2">
      <c r="A350" s="93">
        <f t="shared" si="8"/>
        <v>259</v>
      </c>
      <c r="B350" s="281" t="s">
        <v>792</v>
      </c>
      <c r="C350" s="283" t="s">
        <v>1070</v>
      </c>
      <c r="D350" s="214" t="s">
        <v>1345</v>
      </c>
      <c r="E350" s="46" t="s">
        <v>1369</v>
      </c>
      <c r="F350" s="98">
        <v>3</v>
      </c>
      <c r="G350" s="99">
        <v>42256</v>
      </c>
      <c r="H350" s="99"/>
      <c r="I350" s="72">
        <v>-40</v>
      </c>
      <c r="J350" s="99" t="s">
        <v>2981</v>
      </c>
      <c r="K350" s="99">
        <v>42283</v>
      </c>
      <c r="L350" s="114" t="s">
        <v>2969</v>
      </c>
      <c r="M350" s="104">
        <v>42285</v>
      </c>
      <c r="N350" s="46" t="s">
        <v>3116</v>
      </c>
      <c r="O350" s="104">
        <v>42338</v>
      </c>
      <c r="P350" s="114">
        <v>1</v>
      </c>
      <c r="Q350" s="114" t="s">
        <v>3043</v>
      </c>
      <c r="R350" s="62">
        <v>42285</v>
      </c>
      <c r="S350" s="101"/>
      <c r="T350" s="102"/>
      <c r="U350" s="114" t="s">
        <v>2544</v>
      </c>
      <c r="V350" s="106" t="s">
        <v>3066</v>
      </c>
      <c r="W350" s="142"/>
      <c r="X350" s="142"/>
      <c r="Y350" s="143"/>
      <c r="Z350" s="144"/>
      <c r="AA350" s="143"/>
      <c r="AB350" s="144"/>
      <c r="AC350" s="143"/>
      <c r="AD350" s="143"/>
      <c r="AE350" s="143"/>
      <c r="AF350" s="143"/>
      <c r="AG350" s="144"/>
      <c r="AH350" s="143"/>
      <c r="AI350" s="143"/>
    </row>
    <row r="351" spans="1:35" s="112" customFormat="1" ht="21" x14ac:dyDescent="0.2">
      <c r="A351" s="93">
        <f t="shared" ref="A351:A371" si="9">A350+1</f>
        <v>260</v>
      </c>
      <c r="B351" s="281" t="s">
        <v>793</v>
      </c>
      <c r="C351" s="283" t="s">
        <v>1071</v>
      </c>
      <c r="D351" s="214" t="s">
        <v>1346</v>
      </c>
      <c r="E351" s="46" t="s">
        <v>1369</v>
      </c>
      <c r="F351" s="98">
        <v>3</v>
      </c>
      <c r="G351" s="99">
        <v>42308</v>
      </c>
      <c r="H351" s="99"/>
      <c r="I351" s="72">
        <v>12</v>
      </c>
      <c r="J351" s="99" t="s">
        <v>2981</v>
      </c>
      <c r="K351" s="99">
        <v>42283</v>
      </c>
      <c r="L351" s="114" t="s">
        <v>2969</v>
      </c>
      <c r="M351" s="104">
        <v>42285</v>
      </c>
      <c r="N351" s="46" t="s">
        <v>3116</v>
      </c>
      <c r="O351" s="104">
        <v>42338</v>
      </c>
      <c r="P351" s="114">
        <v>1</v>
      </c>
      <c r="Q351" s="114" t="s">
        <v>3043</v>
      </c>
      <c r="R351" s="62">
        <v>42285</v>
      </c>
      <c r="S351" s="101"/>
      <c r="T351" s="102"/>
      <c r="U351" s="114" t="s">
        <v>2544</v>
      </c>
      <c r="V351" s="106" t="s">
        <v>3066</v>
      </c>
      <c r="W351" s="142"/>
      <c r="X351" s="142"/>
      <c r="Y351" s="143"/>
      <c r="Z351" s="144"/>
      <c r="AA351" s="143"/>
      <c r="AB351" s="144"/>
      <c r="AC351" s="143"/>
      <c r="AD351" s="143"/>
      <c r="AE351" s="143"/>
      <c r="AF351" s="143"/>
      <c r="AG351" s="144"/>
      <c r="AH351" s="143"/>
      <c r="AI351" s="143"/>
    </row>
    <row r="352" spans="1:35" s="112" customFormat="1" ht="21" x14ac:dyDescent="0.2">
      <c r="A352" s="93">
        <f t="shared" si="9"/>
        <v>261</v>
      </c>
      <c r="B352" s="281" t="s">
        <v>794</v>
      </c>
      <c r="C352" s="283" t="s">
        <v>1072</v>
      </c>
      <c r="D352" s="214" t="s">
        <v>1347</v>
      </c>
      <c r="E352" s="46" t="s">
        <v>1369</v>
      </c>
      <c r="F352" s="98">
        <v>3</v>
      </c>
      <c r="G352" s="99">
        <v>42310</v>
      </c>
      <c r="H352" s="99"/>
      <c r="I352" s="72">
        <v>14</v>
      </c>
      <c r="J352" s="99" t="s">
        <v>2981</v>
      </c>
      <c r="K352" s="99">
        <v>42283</v>
      </c>
      <c r="L352" s="114" t="s">
        <v>2969</v>
      </c>
      <c r="M352" s="104">
        <v>42285</v>
      </c>
      <c r="N352" s="46" t="s">
        <v>3116</v>
      </c>
      <c r="O352" s="104">
        <v>42338</v>
      </c>
      <c r="P352" s="114">
        <v>1</v>
      </c>
      <c r="Q352" s="114" t="s">
        <v>3043</v>
      </c>
      <c r="R352" s="62">
        <v>42285</v>
      </c>
      <c r="S352" s="101"/>
      <c r="T352" s="102"/>
      <c r="U352" s="114" t="s">
        <v>2544</v>
      </c>
      <c r="V352" s="106" t="s">
        <v>3066</v>
      </c>
      <c r="W352" s="142"/>
      <c r="X352" s="142"/>
      <c r="Y352" s="143"/>
      <c r="Z352" s="144"/>
      <c r="AA352" s="143"/>
      <c r="AB352" s="144"/>
      <c r="AC352" s="143"/>
      <c r="AD352" s="143"/>
      <c r="AE352" s="143"/>
      <c r="AF352" s="143"/>
      <c r="AG352" s="144"/>
      <c r="AH352" s="143"/>
      <c r="AI352" s="143"/>
    </row>
    <row r="353" spans="1:35" s="112" customFormat="1" ht="21" x14ac:dyDescent="0.2">
      <c r="A353" s="93">
        <f t="shared" si="9"/>
        <v>262</v>
      </c>
      <c r="B353" s="281" t="s">
        <v>795</v>
      </c>
      <c r="C353" s="283" t="s">
        <v>1073</v>
      </c>
      <c r="D353" s="214" t="s">
        <v>1348</v>
      </c>
      <c r="E353" s="46" t="s">
        <v>1369</v>
      </c>
      <c r="F353" s="98">
        <v>3</v>
      </c>
      <c r="G353" s="99">
        <v>42312</v>
      </c>
      <c r="H353" s="99"/>
      <c r="I353" s="72">
        <v>16</v>
      </c>
      <c r="J353" s="99" t="s">
        <v>2981</v>
      </c>
      <c r="K353" s="99">
        <v>42283</v>
      </c>
      <c r="L353" s="114" t="s">
        <v>2969</v>
      </c>
      <c r="M353" s="104">
        <v>42285</v>
      </c>
      <c r="N353" s="46" t="s">
        <v>3116</v>
      </c>
      <c r="O353" s="104">
        <v>42338</v>
      </c>
      <c r="P353" s="114">
        <v>1</v>
      </c>
      <c r="Q353" s="114" t="s">
        <v>3043</v>
      </c>
      <c r="R353" s="62">
        <v>42285</v>
      </c>
      <c r="S353" s="101"/>
      <c r="T353" s="102"/>
      <c r="U353" s="114" t="s">
        <v>2544</v>
      </c>
      <c r="V353" s="106" t="s">
        <v>3066</v>
      </c>
      <c r="W353" s="142"/>
      <c r="X353" s="142"/>
      <c r="Y353" s="143"/>
      <c r="Z353" s="144"/>
      <c r="AA353" s="143"/>
      <c r="AB353" s="144"/>
      <c r="AC353" s="143"/>
      <c r="AD353" s="143"/>
      <c r="AE353" s="143"/>
      <c r="AF353" s="143"/>
      <c r="AG353" s="144"/>
      <c r="AH353" s="143"/>
      <c r="AI353" s="143"/>
    </row>
    <row r="354" spans="1:35" s="112" customFormat="1" ht="21" x14ac:dyDescent="0.2">
      <c r="A354" s="93">
        <f t="shared" si="9"/>
        <v>263</v>
      </c>
      <c r="B354" s="281" t="s">
        <v>796</v>
      </c>
      <c r="C354" s="283" t="s">
        <v>1074</v>
      </c>
      <c r="D354" s="214" t="s">
        <v>1349</v>
      </c>
      <c r="E354" s="46" t="s">
        <v>1369</v>
      </c>
      <c r="F354" s="98">
        <v>3</v>
      </c>
      <c r="G354" s="99">
        <v>42315</v>
      </c>
      <c r="H354" s="99"/>
      <c r="I354" s="72">
        <v>19</v>
      </c>
      <c r="J354" s="99" t="s">
        <v>2981</v>
      </c>
      <c r="K354" s="99">
        <v>42283</v>
      </c>
      <c r="L354" s="114" t="s">
        <v>2969</v>
      </c>
      <c r="M354" s="104">
        <v>42285</v>
      </c>
      <c r="N354" s="46" t="s">
        <v>3116</v>
      </c>
      <c r="O354" s="104">
        <v>42338</v>
      </c>
      <c r="P354" s="114">
        <v>1</v>
      </c>
      <c r="Q354" s="114" t="s">
        <v>3043</v>
      </c>
      <c r="R354" s="62">
        <v>42285</v>
      </c>
      <c r="S354" s="101"/>
      <c r="T354" s="102"/>
      <c r="U354" s="114" t="s">
        <v>2544</v>
      </c>
      <c r="V354" s="106" t="s">
        <v>3066</v>
      </c>
      <c r="W354" s="142"/>
      <c r="X354" s="142"/>
      <c r="Y354" s="143"/>
      <c r="Z354" s="144"/>
      <c r="AA354" s="143"/>
      <c r="AB354" s="144"/>
      <c r="AC354" s="143"/>
      <c r="AD354" s="143"/>
      <c r="AE354" s="143"/>
      <c r="AF354" s="143"/>
      <c r="AG354" s="144"/>
      <c r="AH354" s="143"/>
      <c r="AI354" s="143"/>
    </row>
    <row r="355" spans="1:35" s="112" customFormat="1" ht="21" x14ac:dyDescent="0.2">
      <c r="A355" s="93">
        <f t="shared" si="9"/>
        <v>264</v>
      </c>
      <c r="B355" s="281" t="s">
        <v>797</v>
      </c>
      <c r="C355" s="283" t="s">
        <v>1075</v>
      </c>
      <c r="D355" s="214" t="s">
        <v>1350</v>
      </c>
      <c r="E355" s="46" t="s">
        <v>1369</v>
      </c>
      <c r="F355" s="98">
        <v>3</v>
      </c>
      <c r="G355" s="99">
        <v>42317</v>
      </c>
      <c r="H355" s="99"/>
      <c r="I355" s="72">
        <v>21</v>
      </c>
      <c r="J355" s="99" t="s">
        <v>2981</v>
      </c>
      <c r="K355" s="99">
        <v>42283</v>
      </c>
      <c r="L355" s="114" t="s">
        <v>2969</v>
      </c>
      <c r="M355" s="104">
        <v>42285</v>
      </c>
      <c r="N355" s="46" t="s">
        <v>3116</v>
      </c>
      <c r="O355" s="104">
        <v>42338</v>
      </c>
      <c r="P355" s="114">
        <v>1</v>
      </c>
      <c r="Q355" s="114" t="s">
        <v>3043</v>
      </c>
      <c r="R355" s="62">
        <v>42285</v>
      </c>
      <c r="S355" s="101"/>
      <c r="T355" s="102"/>
      <c r="U355" s="114" t="s">
        <v>2544</v>
      </c>
      <c r="V355" s="106" t="s">
        <v>3066</v>
      </c>
      <c r="W355" s="142"/>
      <c r="X355" s="142"/>
      <c r="Y355" s="143"/>
      <c r="Z355" s="144"/>
      <c r="AA355" s="143"/>
      <c r="AB355" s="144"/>
      <c r="AC355" s="143"/>
      <c r="AD355" s="143"/>
      <c r="AE355" s="143"/>
      <c r="AF355" s="143"/>
      <c r="AG355" s="144"/>
      <c r="AH355" s="143"/>
      <c r="AI355" s="143"/>
    </row>
    <row r="356" spans="1:35" s="112" customFormat="1" ht="21" x14ac:dyDescent="0.2">
      <c r="A356" s="93">
        <f t="shared" si="9"/>
        <v>265</v>
      </c>
      <c r="B356" s="281" t="s">
        <v>798</v>
      </c>
      <c r="C356" s="283" t="s">
        <v>1076</v>
      </c>
      <c r="D356" s="214" t="s">
        <v>1351</v>
      </c>
      <c r="E356" s="46" t="s">
        <v>1369</v>
      </c>
      <c r="F356" s="98">
        <v>3</v>
      </c>
      <c r="G356" s="99">
        <v>42269</v>
      </c>
      <c r="H356" s="99"/>
      <c r="I356" s="72">
        <v>-27</v>
      </c>
      <c r="J356" s="99" t="s">
        <v>2981</v>
      </c>
      <c r="K356" s="99">
        <v>42283</v>
      </c>
      <c r="L356" s="114" t="s">
        <v>2969</v>
      </c>
      <c r="M356" s="104">
        <v>42285</v>
      </c>
      <c r="N356" s="46" t="s">
        <v>3116</v>
      </c>
      <c r="O356" s="104">
        <v>42338</v>
      </c>
      <c r="P356" s="114">
        <v>1</v>
      </c>
      <c r="Q356" s="114" t="s">
        <v>3043</v>
      </c>
      <c r="R356" s="62">
        <v>42285</v>
      </c>
      <c r="S356" s="101"/>
      <c r="T356" s="102"/>
      <c r="U356" s="114" t="s">
        <v>2544</v>
      </c>
      <c r="V356" s="106" t="s">
        <v>3066</v>
      </c>
      <c r="W356" s="142"/>
      <c r="X356" s="142"/>
      <c r="Y356" s="143"/>
      <c r="Z356" s="144"/>
      <c r="AA356" s="143"/>
      <c r="AB356" s="144"/>
      <c r="AC356" s="143"/>
      <c r="AD356" s="143"/>
      <c r="AE356" s="143"/>
      <c r="AF356" s="143"/>
      <c r="AG356" s="144"/>
      <c r="AH356" s="143"/>
      <c r="AI356" s="143"/>
    </row>
    <row r="357" spans="1:35" s="112" customFormat="1" ht="21" x14ac:dyDescent="0.2">
      <c r="A357" s="93">
        <f t="shared" si="9"/>
        <v>266</v>
      </c>
      <c r="B357" s="281" t="s">
        <v>799</v>
      </c>
      <c r="C357" s="283" t="s">
        <v>1077</v>
      </c>
      <c r="D357" s="214" t="s">
        <v>1352</v>
      </c>
      <c r="E357" s="46" t="s">
        <v>1369</v>
      </c>
      <c r="F357" s="98">
        <v>3</v>
      </c>
      <c r="G357" s="99">
        <v>42271</v>
      </c>
      <c r="H357" s="99"/>
      <c r="I357" s="72">
        <v>-25</v>
      </c>
      <c r="J357" s="99" t="s">
        <v>2981</v>
      </c>
      <c r="K357" s="99">
        <v>42283</v>
      </c>
      <c r="L357" s="114" t="s">
        <v>2969</v>
      </c>
      <c r="M357" s="104">
        <v>42285</v>
      </c>
      <c r="N357" s="46" t="s">
        <v>3116</v>
      </c>
      <c r="O357" s="104">
        <v>42338</v>
      </c>
      <c r="P357" s="114">
        <v>1</v>
      </c>
      <c r="Q357" s="114" t="s">
        <v>3043</v>
      </c>
      <c r="R357" s="62">
        <v>42285</v>
      </c>
      <c r="S357" s="101"/>
      <c r="T357" s="102"/>
      <c r="U357" s="114" t="s">
        <v>2544</v>
      </c>
      <c r="V357" s="106" t="s">
        <v>3066</v>
      </c>
      <c r="W357" s="142"/>
      <c r="X357" s="142"/>
      <c r="Y357" s="143"/>
      <c r="Z357" s="144"/>
      <c r="AA357" s="143"/>
      <c r="AB357" s="144"/>
      <c r="AC357" s="143"/>
      <c r="AD357" s="143"/>
      <c r="AE357" s="143"/>
      <c r="AF357" s="143"/>
      <c r="AG357" s="144"/>
      <c r="AH357" s="143"/>
      <c r="AI357" s="143"/>
    </row>
    <row r="358" spans="1:35" s="112" customFormat="1" ht="21" x14ac:dyDescent="0.2">
      <c r="A358" s="93">
        <f t="shared" si="9"/>
        <v>267</v>
      </c>
      <c r="B358" s="287" t="s">
        <v>800</v>
      </c>
      <c r="C358" s="213" t="s">
        <v>1078</v>
      </c>
      <c r="D358" s="214" t="s">
        <v>1353</v>
      </c>
      <c r="E358" s="46" t="s">
        <v>1369</v>
      </c>
      <c r="F358" s="98">
        <v>3</v>
      </c>
      <c r="G358" s="99">
        <v>42186</v>
      </c>
      <c r="H358" s="99"/>
      <c r="I358" s="72">
        <v>-110</v>
      </c>
      <c r="J358" s="99" t="s">
        <v>2980</v>
      </c>
      <c r="K358" s="99">
        <v>42283</v>
      </c>
      <c r="L358" s="114" t="s">
        <v>2971</v>
      </c>
      <c r="M358" s="104">
        <v>42291</v>
      </c>
      <c r="N358" s="46" t="s">
        <v>3123</v>
      </c>
      <c r="O358" s="104">
        <v>42344</v>
      </c>
      <c r="P358" s="114">
        <v>1</v>
      </c>
      <c r="Q358" s="114" t="s">
        <v>3047</v>
      </c>
      <c r="R358" s="62">
        <v>42290</v>
      </c>
      <c r="S358" s="101"/>
      <c r="T358" s="102"/>
      <c r="U358" s="114" t="s">
        <v>2544</v>
      </c>
      <c r="V358" s="106" t="s">
        <v>3066</v>
      </c>
      <c r="W358" s="142"/>
      <c r="X358" s="142"/>
      <c r="Y358" s="143"/>
      <c r="Z358" s="144"/>
      <c r="AA358" s="143"/>
      <c r="AB358" s="144"/>
      <c r="AC358" s="143"/>
      <c r="AD358" s="143"/>
      <c r="AE358" s="143"/>
      <c r="AF358" s="143"/>
      <c r="AG358" s="144"/>
      <c r="AH358" s="143"/>
      <c r="AI358" s="143"/>
    </row>
    <row r="359" spans="1:35" s="112" customFormat="1" ht="21" x14ac:dyDescent="0.2">
      <c r="A359" s="93">
        <f t="shared" si="9"/>
        <v>268</v>
      </c>
      <c r="B359" s="287" t="s">
        <v>801</v>
      </c>
      <c r="C359" s="213" t="s">
        <v>1079</v>
      </c>
      <c r="D359" s="214" t="s">
        <v>1354</v>
      </c>
      <c r="E359" s="46" t="s">
        <v>1369</v>
      </c>
      <c r="F359" s="98">
        <v>3</v>
      </c>
      <c r="G359" s="99">
        <f>G358+3</f>
        <v>42189</v>
      </c>
      <c r="H359" s="99"/>
      <c r="I359" s="72">
        <v>-107</v>
      </c>
      <c r="J359" s="99" t="s">
        <v>2980</v>
      </c>
      <c r="K359" s="99">
        <v>42283</v>
      </c>
      <c r="L359" s="114" t="s">
        <v>2971</v>
      </c>
      <c r="M359" s="104">
        <v>42291</v>
      </c>
      <c r="N359" s="46" t="s">
        <v>3123</v>
      </c>
      <c r="O359" s="104">
        <v>42344</v>
      </c>
      <c r="P359" s="114">
        <v>1</v>
      </c>
      <c r="Q359" s="114" t="s">
        <v>3047</v>
      </c>
      <c r="R359" s="62">
        <v>42290</v>
      </c>
      <c r="S359" s="101"/>
      <c r="T359" s="102"/>
      <c r="U359" s="114" t="s">
        <v>2544</v>
      </c>
      <c r="V359" s="106" t="s">
        <v>3066</v>
      </c>
      <c r="W359" s="142"/>
      <c r="X359" s="142"/>
      <c r="Y359" s="143"/>
      <c r="Z359" s="144"/>
      <c r="AA359" s="143"/>
      <c r="AB359" s="144"/>
      <c r="AC359" s="143"/>
      <c r="AD359" s="143"/>
      <c r="AE359" s="143"/>
      <c r="AF359" s="143"/>
      <c r="AG359" s="144"/>
      <c r="AH359" s="143"/>
      <c r="AI359" s="143"/>
    </row>
    <row r="360" spans="1:35" s="112" customFormat="1" ht="21" x14ac:dyDescent="0.2">
      <c r="A360" s="93">
        <f t="shared" si="9"/>
        <v>269</v>
      </c>
      <c r="B360" s="287" t="s">
        <v>802</v>
      </c>
      <c r="C360" s="213" t="s">
        <v>1080</v>
      </c>
      <c r="D360" s="214" t="s">
        <v>1355</v>
      </c>
      <c r="E360" s="46" t="s">
        <v>1369</v>
      </c>
      <c r="F360" s="98">
        <v>3</v>
      </c>
      <c r="G360" s="99">
        <f t="shared" ref="G360:G370" si="10">G359+3</f>
        <v>42192</v>
      </c>
      <c r="H360" s="99"/>
      <c r="I360" s="72">
        <v>-104</v>
      </c>
      <c r="J360" s="99" t="s">
        <v>2980</v>
      </c>
      <c r="K360" s="99">
        <v>42283</v>
      </c>
      <c r="L360" s="114" t="s">
        <v>2971</v>
      </c>
      <c r="M360" s="104">
        <v>42291</v>
      </c>
      <c r="N360" s="46" t="s">
        <v>3123</v>
      </c>
      <c r="O360" s="104">
        <v>42344</v>
      </c>
      <c r="P360" s="114">
        <v>1</v>
      </c>
      <c r="Q360" s="114" t="s">
        <v>3047</v>
      </c>
      <c r="R360" s="62">
        <v>42290</v>
      </c>
      <c r="S360" s="101"/>
      <c r="T360" s="102"/>
      <c r="U360" s="114" t="s">
        <v>2544</v>
      </c>
      <c r="V360" s="106" t="s">
        <v>3066</v>
      </c>
      <c r="W360" s="142"/>
      <c r="X360" s="142"/>
      <c r="Y360" s="143"/>
      <c r="Z360" s="144"/>
      <c r="AA360" s="143"/>
      <c r="AB360" s="144"/>
      <c r="AC360" s="143"/>
      <c r="AD360" s="143"/>
      <c r="AE360" s="143"/>
      <c r="AF360" s="143"/>
      <c r="AG360" s="144"/>
      <c r="AH360" s="143"/>
      <c r="AI360" s="143"/>
    </row>
    <row r="361" spans="1:35" s="112" customFormat="1" ht="21" x14ac:dyDescent="0.2">
      <c r="A361" s="93">
        <f t="shared" si="9"/>
        <v>270</v>
      </c>
      <c r="B361" s="287" t="s">
        <v>803</v>
      </c>
      <c r="C361" s="213" t="s">
        <v>1081</v>
      </c>
      <c r="D361" s="214" t="s">
        <v>1356</v>
      </c>
      <c r="E361" s="46" t="s">
        <v>1369</v>
      </c>
      <c r="F361" s="98">
        <v>3</v>
      </c>
      <c r="G361" s="99">
        <f t="shared" si="10"/>
        <v>42195</v>
      </c>
      <c r="H361" s="99"/>
      <c r="I361" s="72">
        <v>-101</v>
      </c>
      <c r="J361" s="99" t="s">
        <v>2980</v>
      </c>
      <c r="K361" s="99">
        <v>42283</v>
      </c>
      <c r="L361" s="114" t="s">
        <v>2971</v>
      </c>
      <c r="M361" s="104">
        <v>42291</v>
      </c>
      <c r="N361" s="46" t="s">
        <v>3123</v>
      </c>
      <c r="O361" s="104">
        <v>42344</v>
      </c>
      <c r="P361" s="114">
        <v>1</v>
      </c>
      <c r="Q361" s="114" t="s">
        <v>3047</v>
      </c>
      <c r="R361" s="62">
        <v>42290</v>
      </c>
      <c r="S361" s="101"/>
      <c r="T361" s="102"/>
      <c r="U361" s="114" t="s">
        <v>2544</v>
      </c>
      <c r="V361" s="106" t="s">
        <v>3066</v>
      </c>
      <c r="W361" s="142"/>
      <c r="X361" s="142"/>
      <c r="Y361" s="143"/>
      <c r="Z361" s="144"/>
      <c r="AA361" s="143"/>
      <c r="AB361" s="144"/>
      <c r="AC361" s="143"/>
      <c r="AD361" s="143"/>
      <c r="AE361" s="143"/>
      <c r="AF361" s="143"/>
      <c r="AG361" s="144"/>
      <c r="AH361" s="143"/>
      <c r="AI361" s="143"/>
    </row>
    <row r="362" spans="1:35" s="112" customFormat="1" ht="21" x14ac:dyDescent="0.2">
      <c r="A362" s="93">
        <f t="shared" si="9"/>
        <v>271</v>
      </c>
      <c r="B362" s="287" t="s">
        <v>804</v>
      </c>
      <c r="C362" s="213" t="s">
        <v>1082</v>
      </c>
      <c r="D362" s="214" t="s">
        <v>1357</v>
      </c>
      <c r="E362" s="46" t="s">
        <v>1369</v>
      </c>
      <c r="F362" s="98">
        <v>3</v>
      </c>
      <c r="G362" s="99">
        <f t="shared" si="10"/>
        <v>42198</v>
      </c>
      <c r="H362" s="99"/>
      <c r="I362" s="72">
        <v>-98</v>
      </c>
      <c r="J362" s="99" t="s">
        <v>2980</v>
      </c>
      <c r="K362" s="99">
        <v>42283</v>
      </c>
      <c r="L362" s="114" t="s">
        <v>2971</v>
      </c>
      <c r="M362" s="104">
        <v>42291</v>
      </c>
      <c r="N362" s="46" t="s">
        <v>3123</v>
      </c>
      <c r="O362" s="104">
        <v>42344</v>
      </c>
      <c r="P362" s="114">
        <v>1</v>
      </c>
      <c r="Q362" s="114" t="s">
        <v>3047</v>
      </c>
      <c r="R362" s="62">
        <v>42290</v>
      </c>
      <c r="S362" s="101"/>
      <c r="T362" s="102"/>
      <c r="U362" s="114" t="s">
        <v>2544</v>
      </c>
      <c r="V362" s="106" t="s">
        <v>3066</v>
      </c>
      <c r="W362" s="142"/>
      <c r="X362" s="142"/>
      <c r="Y362" s="143"/>
      <c r="Z362" s="144"/>
      <c r="AA362" s="143"/>
      <c r="AB362" s="144"/>
      <c r="AC362" s="143"/>
      <c r="AD362" s="143"/>
      <c r="AE362" s="143"/>
      <c r="AF362" s="143"/>
      <c r="AG362" s="144"/>
      <c r="AH362" s="143"/>
      <c r="AI362" s="143"/>
    </row>
    <row r="363" spans="1:35" s="112" customFormat="1" ht="21" x14ac:dyDescent="0.2">
      <c r="A363" s="93">
        <f t="shared" si="9"/>
        <v>272</v>
      </c>
      <c r="B363" s="287" t="s">
        <v>805</v>
      </c>
      <c r="C363" s="213" t="s">
        <v>1083</v>
      </c>
      <c r="D363" s="214" t="s">
        <v>1358</v>
      </c>
      <c r="E363" s="46" t="s">
        <v>1369</v>
      </c>
      <c r="F363" s="98">
        <v>3</v>
      </c>
      <c r="G363" s="99">
        <f t="shared" si="10"/>
        <v>42201</v>
      </c>
      <c r="H363" s="99"/>
      <c r="I363" s="72">
        <v>-95</v>
      </c>
      <c r="J363" s="99" t="s">
        <v>2980</v>
      </c>
      <c r="K363" s="99">
        <v>42283</v>
      </c>
      <c r="L363" s="114" t="s">
        <v>2971</v>
      </c>
      <c r="M363" s="104">
        <v>42291</v>
      </c>
      <c r="N363" s="46" t="s">
        <v>3123</v>
      </c>
      <c r="O363" s="104">
        <v>42344</v>
      </c>
      <c r="P363" s="114">
        <v>1</v>
      </c>
      <c r="Q363" s="114" t="s">
        <v>3047</v>
      </c>
      <c r="R363" s="62">
        <v>42290</v>
      </c>
      <c r="S363" s="101"/>
      <c r="T363" s="102"/>
      <c r="U363" s="114" t="s">
        <v>2544</v>
      </c>
      <c r="V363" s="106" t="s">
        <v>3066</v>
      </c>
      <c r="W363" s="142"/>
      <c r="X363" s="142"/>
      <c r="Y363" s="143"/>
      <c r="Z363" s="144"/>
      <c r="AA363" s="143"/>
      <c r="AB363" s="144"/>
      <c r="AC363" s="143"/>
      <c r="AD363" s="143"/>
      <c r="AE363" s="143"/>
      <c r="AF363" s="143"/>
      <c r="AG363" s="144"/>
      <c r="AH363" s="143"/>
      <c r="AI363" s="143"/>
    </row>
    <row r="364" spans="1:35" s="112" customFormat="1" ht="21" x14ac:dyDescent="0.2">
      <c r="A364" s="93">
        <f t="shared" si="9"/>
        <v>273</v>
      </c>
      <c r="B364" s="287" t="s">
        <v>806</v>
      </c>
      <c r="C364" s="213" t="s">
        <v>1084</v>
      </c>
      <c r="D364" s="214" t="s">
        <v>1359</v>
      </c>
      <c r="E364" s="46" t="s">
        <v>1369</v>
      </c>
      <c r="F364" s="98">
        <v>3</v>
      </c>
      <c r="G364" s="99">
        <f t="shared" si="10"/>
        <v>42204</v>
      </c>
      <c r="H364" s="99"/>
      <c r="I364" s="72">
        <v>-92</v>
      </c>
      <c r="J364" s="99" t="s">
        <v>2980</v>
      </c>
      <c r="K364" s="99">
        <v>42283</v>
      </c>
      <c r="L364" s="114" t="s">
        <v>2971</v>
      </c>
      <c r="M364" s="104">
        <v>42291</v>
      </c>
      <c r="N364" s="46" t="s">
        <v>3123</v>
      </c>
      <c r="O364" s="104">
        <v>42344</v>
      </c>
      <c r="P364" s="114">
        <v>1</v>
      </c>
      <c r="Q364" s="114" t="s">
        <v>3047</v>
      </c>
      <c r="R364" s="62">
        <v>42290</v>
      </c>
      <c r="S364" s="101"/>
      <c r="T364" s="102"/>
      <c r="U364" s="114" t="s">
        <v>2544</v>
      </c>
      <c r="V364" s="106" t="s">
        <v>3066</v>
      </c>
      <c r="W364" s="142"/>
      <c r="X364" s="142"/>
      <c r="Y364" s="143"/>
      <c r="Z364" s="144"/>
      <c r="AA364" s="143"/>
      <c r="AB364" s="144"/>
      <c r="AC364" s="143"/>
      <c r="AD364" s="143"/>
      <c r="AE364" s="143"/>
      <c r="AF364" s="143"/>
      <c r="AG364" s="144"/>
      <c r="AH364" s="143"/>
      <c r="AI364" s="143"/>
    </row>
    <row r="365" spans="1:35" s="112" customFormat="1" ht="21" x14ac:dyDescent="0.2">
      <c r="A365" s="93">
        <f t="shared" si="9"/>
        <v>274</v>
      </c>
      <c r="B365" s="287" t="s">
        <v>807</v>
      </c>
      <c r="C365" s="213" t="s">
        <v>1085</v>
      </c>
      <c r="D365" s="214" t="s">
        <v>1360</v>
      </c>
      <c r="E365" s="46" t="s">
        <v>1369</v>
      </c>
      <c r="F365" s="98">
        <v>3</v>
      </c>
      <c r="G365" s="99">
        <f t="shared" si="10"/>
        <v>42207</v>
      </c>
      <c r="H365" s="99"/>
      <c r="I365" s="72">
        <v>-89</v>
      </c>
      <c r="J365" s="99" t="s">
        <v>2980</v>
      </c>
      <c r="K365" s="99">
        <v>42283</v>
      </c>
      <c r="L365" s="114" t="s">
        <v>2971</v>
      </c>
      <c r="M365" s="104">
        <v>42291</v>
      </c>
      <c r="N365" s="46" t="s">
        <v>3123</v>
      </c>
      <c r="O365" s="104">
        <v>42344</v>
      </c>
      <c r="P365" s="114">
        <v>1</v>
      </c>
      <c r="Q365" s="114" t="s">
        <v>3047</v>
      </c>
      <c r="R365" s="62">
        <v>42290</v>
      </c>
      <c r="S365" s="101"/>
      <c r="T365" s="102"/>
      <c r="U365" s="114" t="s">
        <v>2544</v>
      </c>
      <c r="V365" s="106" t="s">
        <v>3066</v>
      </c>
      <c r="W365" s="142"/>
      <c r="X365" s="142"/>
      <c r="Y365" s="143"/>
      <c r="Z365" s="144"/>
      <c r="AA365" s="143"/>
      <c r="AB365" s="144"/>
      <c r="AC365" s="143"/>
      <c r="AD365" s="143"/>
      <c r="AE365" s="143"/>
      <c r="AF365" s="143"/>
      <c r="AG365" s="144"/>
      <c r="AH365" s="143"/>
      <c r="AI365" s="143"/>
    </row>
    <row r="366" spans="1:35" s="112" customFormat="1" ht="21" x14ac:dyDescent="0.2">
      <c r="A366" s="93">
        <f t="shared" si="9"/>
        <v>275</v>
      </c>
      <c r="B366" s="287" t="s">
        <v>808</v>
      </c>
      <c r="C366" s="213" t="s">
        <v>1086</v>
      </c>
      <c r="D366" s="214" t="s">
        <v>1361</v>
      </c>
      <c r="E366" s="46" t="s">
        <v>1369</v>
      </c>
      <c r="F366" s="98">
        <v>3</v>
      </c>
      <c r="G366" s="99">
        <f t="shared" si="10"/>
        <v>42210</v>
      </c>
      <c r="H366" s="99"/>
      <c r="I366" s="72">
        <v>-86</v>
      </c>
      <c r="J366" s="99" t="s">
        <v>2980</v>
      </c>
      <c r="K366" s="99">
        <v>42283</v>
      </c>
      <c r="L366" s="114" t="s">
        <v>2971</v>
      </c>
      <c r="M366" s="104">
        <v>42291</v>
      </c>
      <c r="N366" s="46" t="s">
        <v>3123</v>
      </c>
      <c r="O366" s="104">
        <v>42344</v>
      </c>
      <c r="P366" s="114">
        <v>1</v>
      </c>
      <c r="Q366" s="114" t="s">
        <v>3047</v>
      </c>
      <c r="R366" s="62">
        <v>42290</v>
      </c>
      <c r="S366" s="101"/>
      <c r="T366" s="102"/>
      <c r="U366" s="114" t="s">
        <v>2544</v>
      </c>
      <c r="V366" s="106" t="s">
        <v>3066</v>
      </c>
      <c r="W366" s="142"/>
      <c r="X366" s="142"/>
      <c r="Y366" s="143"/>
      <c r="Z366" s="144"/>
      <c r="AA366" s="143"/>
      <c r="AB366" s="144"/>
      <c r="AC366" s="143"/>
      <c r="AD366" s="143"/>
      <c r="AE366" s="143"/>
      <c r="AF366" s="143"/>
      <c r="AG366" s="144"/>
      <c r="AH366" s="143"/>
      <c r="AI366" s="143"/>
    </row>
    <row r="367" spans="1:35" s="112" customFormat="1" ht="21" x14ac:dyDescent="0.2">
      <c r="A367" s="93">
        <f t="shared" si="9"/>
        <v>276</v>
      </c>
      <c r="B367" s="287" t="s">
        <v>809</v>
      </c>
      <c r="C367" s="213" t="s">
        <v>1087</v>
      </c>
      <c r="D367" s="214" t="s">
        <v>1362</v>
      </c>
      <c r="E367" s="46" t="s">
        <v>1369</v>
      </c>
      <c r="F367" s="98">
        <v>3</v>
      </c>
      <c r="G367" s="99">
        <f t="shared" si="10"/>
        <v>42213</v>
      </c>
      <c r="H367" s="99"/>
      <c r="I367" s="72">
        <v>-83</v>
      </c>
      <c r="J367" s="99" t="s">
        <v>2980</v>
      </c>
      <c r="K367" s="99">
        <v>42283</v>
      </c>
      <c r="L367" s="114" t="s">
        <v>2971</v>
      </c>
      <c r="M367" s="104">
        <v>42291</v>
      </c>
      <c r="N367" s="46" t="s">
        <v>3123</v>
      </c>
      <c r="O367" s="104">
        <v>42344</v>
      </c>
      <c r="P367" s="114">
        <v>1</v>
      </c>
      <c r="Q367" s="114" t="s">
        <v>3047</v>
      </c>
      <c r="R367" s="62">
        <v>42290</v>
      </c>
      <c r="S367" s="101"/>
      <c r="T367" s="102"/>
      <c r="U367" s="114" t="s">
        <v>2544</v>
      </c>
      <c r="V367" s="106" t="s">
        <v>3066</v>
      </c>
      <c r="W367" s="142"/>
      <c r="X367" s="142"/>
      <c r="Y367" s="143"/>
      <c r="Z367" s="144"/>
      <c r="AA367" s="143"/>
      <c r="AB367" s="144"/>
      <c r="AC367" s="143"/>
      <c r="AD367" s="143"/>
      <c r="AE367" s="143"/>
      <c r="AF367" s="143"/>
      <c r="AG367" s="144"/>
      <c r="AH367" s="143"/>
      <c r="AI367" s="143"/>
    </row>
    <row r="368" spans="1:35" s="112" customFormat="1" ht="21" x14ac:dyDescent="0.2">
      <c r="A368" s="93">
        <f t="shared" si="9"/>
        <v>277</v>
      </c>
      <c r="B368" s="287" t="s">
        <v>810</v>
      </c>
      <c r="C368" s="213" t="s">
        <v>1088</v>
      </c>
      <c r="D368" s="214" t="s">
        <v>1363</v>
      </c>
      <c r="E368" s="46" t="s">
        <v>1369</v>
      </c>
      <c r="F368" s="98">
        <v>3</v>
      </c>
      <c r="G368" s="99">
        <f t="shared" si="10"/>
        <v>42216</v>
      </c>
      <c r="H368" s="99"/>
      <c r="I368" s="72">
        <v>-80</v>
      </c>
      <c r="J368" s="99" t="s">
        <v>2980</v>
      </c>
      <c r="K368" s="99">
        <v>42283</v>
      </c>
      <c r="L368" s="114" t="s">
        <v>2971</v>
      </c>
      <c r="M368" s="104">
        <v>42291</v>
      </c>
      <c r="N368" s="46" t="s">
        <v>3123</v>
      </c>
      <c r="O368" s="104">
        <v>42344</v>
      </c>
      <c r="P368" s="114">
        <v>1</v>
      </c>
      <c r="Q368" s="114" t="s">
        <v>3047</v>
      </c>
      <c r="R368" s="62">
        <v>42290</v>
      </c>
      <c r="S368" s="101"/>
      <c r="T368" s="102"/>
      <c r="U368" s="114" t="s">
        <v>2544</v>
      </c>
      <c r="V368" s="106" t="s">
        <v>3066</v>
      </c>
      <c r="W368" s="142"/>
      <c r="X368" s="142"/>
      <c r="Y368" s="143"/>
      <c r="Z368" s="144"/>
      <c r="AA368" s="143"/>
      <c r="AB368" s="144"/>
      <c r="AC368" s="143"/>
      <c r="AD368" s="143"/>
      <c r="AE368" s="143"/>
      <c r="AF368" s="143"/>
      <c r="AG368" s="144"/>
      <c r="AH368" s="143"/>
      <c r="AI368" s="143"/>
    </row>
    <row r="369" spans="1:35" s="112" customFormat="1" ht="21" x14ac:dyDescent="0.2">
      <c r="A369" s="93">
        <f t="shared" si="9"/>
        <v>278</v>
      </c>
      <c r="B369" s="287" t="s">
        <v>811</v>
      </c>
      <c r="C369" s="213" t="s">
        <v>1089</v>
      </c>
      <c r="D369" s="214" t="s">
        <v>1364</v>
      </c>
      <c r="E369" s="46" t="s">
        <v>1369</v>
      </c>
      <c r="F369" s="98">
        <v>3</v>
      </c>
      <c r="G369" s="99">
        <f t="shared" si="10"/>
        <v>42219</v>
      </c>
      <c r="H369" s="99"/>
      <c r="I369" s="72">
        <v>-77</v>
      </c>
      <c r="J369" s="99" t="s">
        <v>2980</v>
      </c>
      <c r="K369" s="99">
        <v>42283</v>
      </c>
      <c r="L369" s="114" t="s">
        <v>2971</v>
      </c>
      <c r="M369" s="104">
        <v>42291</v>
      </c>
      <c r="N369" s="46" t="s">
        <v>3123</v>
      </c>
      <c r="O369" s="104">
        <v>42344</v>
      </c>
      <c r="P369" s="114">
        <v>1</v>
      </c>
      <c r="Q369" s="114" t="s">
        <v>3047</v>
      </c>
      <c r="R369" s="62">
        <v>42290</v>
      </c>
      <c r="S369" s="101"/>
      <c r="T369" s="102"/>
      <c r="U369" s="114" t="s">
        <v>2544</v>
      </c>
      <c r="V369" s="106" t="s">
        <v>3066</v>
      </c>
      <c r="W369" s="142"/>
      <c r="X369" s="142"/>
      <c r="Y369" s="143"/>
      <c r="Z369" s="144"/>
      <c r="AA369" s="143"/>
      <c r="AB369" s="144"/>
      <c r="AC369" s="143"/>
      <c r="AD369" s="143"/>
      <c r="AE369" s="143"/>
      <c r="AF369" s="143"/>
      <c r="AG369" s="144"/>
      <c r="AH369" s="143"/>
      <c r="AI369" s="143"/>
    </row>
    <row r="370" spans="1:35" s="112" customFormat="1" ht="21" x14ac:dyDescent="0.2">
      <c r="A370" s="93">
        <f t="shared" si="9"/>
        <v>279</v>
      </c>
      <c r="B370" s="287" t="s">
        <v>812</v>
      </c>
      <c r="C370" s="213" t="s">
        <v>1090</v>
      </c>
      <c r="D370" s="214" t="s">
        <v>1365</v>
      </c>
      <c r="E370" s="46" t="s">
        <v>1369</v>
      </c>
      <c r="F370" s="98">
        <v>3</v>
      </c>
      <c r="G370" s="99">
        <f t="shared" si="10"/>
        <v>42222</v>
      </c>
      <c r="H370" s="99"/>
      <c r="I370" s="72">
        <v>-74</v>
      </c>
      <c r="J370" s="99" t="s">
        <v>2980</v>
      </c>
      <c r="K370" s="99">
        <v>42283</v>
      </c>
      <c r="L370" s="114" t="s">
        <v>2971</v>
      </c>
      <c r="M370" s="104">
        <v>42291</v>
      </c>
      <c r="N370" s="46" t="s">
        <v>3158</v>
      </c>
      <c r="O370" s="104">
        <v>42367</v>
      </c>
      <c r="P370" s="114">
        <v>1</v>
      </c>
      <c r="Q370" s="114" t="s">
        <v>3047</v>
      </c>
      <c r="R370" s="62">
        <v>42290</v>
      </c>
      <c r="S370" s="101"/>
      <c r="T370" s="102"/>
      <c r="U370" s="114" t="s">
        <v>2544</v>
      </c>
      <c r="V370" s="106" t="s">
        <v>3066</v>
      </c>
      <c r="W370" s="142"/>
      <c r="X370" s="142"/>
      <c r="Y370" s="143"/>
      <c r="Z370" s="144"/>
      <c r="AA370" s="143"/>
      <c r="AB370" s="144"/>
      <c r="AC370" s="143"/>
      <c r="AD370" s="143"/>
      <c r="AE370" s="143"/>
      <c r="AF370" s="143"/>
      <c r="AG370" s="144"/>
      <c r="AH370" s="143"/>
      <c r="AI370" s="143"/>
    </row>
    <row r="371" spans="1:35" s="112" customFormat="1" hidden="1" x14ac:dyDescent="0.2">
      <c r="A371" s="93">
        <f t="shared" si="9"/>
        <v>280</v>
      </c>
      <c r="B371" s="512" t="s">
        <v>2251</v>
      </c>
      <c r="C371" s="510" t="s">
        <v>1091</v>
      </c>
      <c r="D371" s="510" t="s">
        <v>1366</v>
      </c>
      <c r="E371" s="46" t="s">
        <v>1369</v>
      </c>
      <c r="F371" s="98">
        <v>2</v>
      </c>
      <c r="G371" s="99">
        <v>41876</v>
      </c>
      <c r="H371" s="99"/>
      <c r="I371" s="72">
        <v>-157</v>
      </c>
      <c r="J371" s="99" t="s">
        <v>2248</v>
      </c>
      <c r="K371" s="99">
        <v>42033</v>
      </c>
      <c r="L371" s="114" t="s">
        <v>2249</v>
      </c>
      <c r="M371" s="104">
        <v>42036</v>
      </c>
      <c r="N371" s="113" t="s">
        <v>2253</v>
      </c>
      <c r="O371" s="104">
        <v>42038</v>
      </c>
      <c r="P371" s="114">
        <v>2</v>
      </c>
      <c r="Q371" s="131" t="s">
        <v>2252</v>
      </c>
      <c r="R371" s="104">
        <v>42038</v>
      </c>
      <c r="S371" s="146" t="s">
        <v>2256</v>
      </c>
      <c r="T371" s="104">
        <v>42051</v>
      </c>
      <c r="U371" s="105" t="s">
        <v>1465</v>
      </c>
      <c r="V371" s="194" t="s">
        <v>1442</v>
      </c>
      <c r="W371" s="142"/>
      <c r="X371" s="142"/>
      <c r="Y371" s="143"/>
      <c r="Z371" s="144"/>
      <c r="AA371" s="143"/>
      <c r="AB371" s="144"/>
      <c r="AC371" s="143"/>
      <c r="AD371" s="143"/>
      <c r="AE371" s="143"/>
      <c r="AF371" s="143"/>
      <c r="AG371" s="144"/>
      <c r="AH371" s="143"/>
      <c r="AI371" s="143"/>
    </row>
    <row r="372" spans="1:35" s="112" customFormat="1" hidden="1" x14ac:dyDescent="0.2">
      <c r="A372" s="210"/>
      <c r="B372" s="513"/>
      <c r="C372" s="511"/>
      <c r="D372" s="511"/>
      <c r="E372" s="46" t="s">
        <v>1432</v>
      </c>
      <c r="F372" s="98" t="s">
        <v>1442</v>
      </c>
      <c r="G372" s="99" t="s">
        <v>1442</v>
      </c>
      <c r="H372" s="99"/>
      <c r="I372" s="72" t="s">
        <v>1442</v>
      </c>
      <c r="J372" s="99" t="s">
        <v>2254</v>
      </c>
      <c r="K372" s="99">
        <v>42046</v>
      </c>
      <c r="L372" s="114" t="s">
        <v>2255</v>
      </c>
      <c r="M372" s="104">
        <v>41684</v>
      </c>
      <c r="N372" s="113"/>
      <c r="O372" s="104"/>
      <c r="P372" s="114"/>
      <c r="Q372" s="131" t="s">
        <v>2257</v>
      </c>
      <c r="R372" s="104">
        <v>42051</v>
      </c>
      <c r="S372" s="101"/>
      <c r="T372" s="102"/>
      <c r="U372" s="101"/>
      <c r="V372" s="194" t="s">
        <v>2250</v>
      </c>
      <c r="W372" s="142"/>
      <c r="X372" s="142"/>
      <c r="Y372" s="143"/>
      <c r="Z372" s="144"/>
      <c r="AA372" s="143"/>
      <c r="AB372" s="144"/>
      <c r="AC372" s="143"/>
      <c r="AD372" s="143"/>
      <c r="AE372" s="143"/>
      <c r="AF372" s="143"/>
      <c r="AG372" s="144"/>
      <c r="AH372" s="143"/>
      <c r="AI372" s="143"/>
    </row>
    <row r="373" spans="1:35" s="112" customFormat="1" hidden="1" x14ac:dyDescent="0.2">
      <c r="A373" s="137">
        <f>A371+1</f>
        <v>281</v>
      </c>
      <c r="B373" s="148" t="s">
        <v>813</v>
      </c>
      <c r="C373" s="149" t="s">
        <v>1092</v>
      </c>
      <c r="D373" s="149" t="s">
        <v>1367</v>
      </c>
      <c r="E373" s="46"/>
      <c r="F373" s="98">
        <v>2</v>
      </c>
      <c r="G373" s="145">
        <v>41881</v>
      </c>
      <c r="H373" s="145"/>
      <c r="I373" s="191">
        <f ca="1">G373-TODAY()</f>
        <v>-2181</v>
      </c>
      <c r="J373" s="145"/>
      <c r="K373" s="145"/>
      <c r="L373" s="131"/>
      <c r="M373" s="138"/>
      <c r="N373" s="192"/>
      <c r="O373" s="193"/>
      <c r="P373" s="192"/>
      <c r="Q373" s="192"/>
      <c r="R373" s="192"/>
      <c r="S373" s="192"/>
      <c r="T373" s="193"/>
      <c r="U373" s="192"/>
      <c r="V373" s="194"/>
      <c r="W373" s="142"/>
      <c r="X373" s="142"/>
      <c r="Y373" s="143"/>
      <c r="Z373" s="144"/>
      <c r="AA373" s="143"/>
      <c r="AB373" s="144"/>
      <c r="AC373" s="143"/>
      <c r="AD373" s="143"/>
      <c r="AE373" s="143"/>
      <c r="AF373" s="143"/>
      <c r="AG373" s="144"/>
      <c r="AH373" s="143"/>
      <c r="AI373" s="143"/>
    </row>
    <row r="374" spans="1:35" s="112" customFormat="1" ht="31.5" hidden="1" x14ac:dyDescent="0.2">
      <c r="A374" s="137">
        <v>282</v>
      </c>
      <c r="B374" s="148" t="s">
        <v>1766</v>
      </c>
      <c r="C374" s="149" t="s">
        <v>1752</v>
      </c>
      <c r="D374" s="149" t="s">
        <v>1765</v>
      </c>
      <c r="E374" s="46" t="s">
        <v>1369</v>
      </c>
      <c r="F374" s="131">
        <v>3</v>
      </c>
      <c r="G374" s="145" t="s">
        <v>1442</v>
      </c>
      <c r="H374" s="145"/>
      <c r="I374" s="191" t="s">
        <v>1442</v>
      </c>
      <c r="J374" s="99" t="s">
        <v>1775</v>
      </c>
      <c r="K374" s="99">
        <v>41892</v>
      </c>
      <c r="L374" s="114" t="s">
        <v>1776</v>
      </c>
      <c r="M374" s="104">
        <v>41893</v>
      </c>
      <c r="N374" s="113" t="s">
        <v>2183</v>
      </c>
      <c r="O374" s="104">
        <v>41959</v>
      </c>
      <c r="P374" s="105" t="s">
        <v>1465</v>
      </c>
      <c r="Q374" s="131" t="s">
        <v>1820</v>
      </c>
      <c r="R374" s="104">
        <v>41893</v>
      </c>
      <c r="S374" s="146" t="s">
        <v>1958</v>
      </c>
      <c r="T374" s="138">
        <v>41911</v>
      </c>
      <c r="U374" s="105" t="s">
        <v>1465</v>
      </c>
      <c r="V374" s="184" t="s">
        <v>1442</v>
      </c>
      <c r="W374" s="142"/>
      <c r="X374" s="142"/>
      <c r="Y374" s="143"/>
      <c r="Z374" s="144"/>
      <c r="AA374" s="143"/>
      <c r="AB374" s="144"/>
      <c r="AC374" s="143"/>
      <c r="AD374" s="143"/>
      <c r="AE374" s="143"/>
      <c r="AF374" s="143"/>
      <c r="AG374" s="144"/>
      <c r="AH374" s="143"/>
      <c r="AI374" s="143"/>
    </row>
    <row r="375" spans="1:35" s="112" customFormat="1" ht="31.5" hidden="1" x14ac:dyDescent="0.2">
      <c r="A375" s="137">
        <v>283</v>
      </c>
      <c r="B375" s="148" t="s">
        <v>1774</v>
      </c>
      <c r="C375" s="149" t="s">
        <v>1753</v>
      </c>
      <c r="D375" s="149" t="s">
        <v>1767</v>
      </c>
      <c r="E375" s="46" t="s">
        <v>1369</v>
      </c>
      <c r="F375" s="131">
        <v>3</v>
      </c>
      <c r="G375" s="145" t="s">
        <v>1442</v>
      </c>
      <c r="H375" s="145"/>
      <c r="I375" s="191" t="s">
        <v>1442</v>
      </c>
      <c r="J375" s="99" t="s">
        <v>1775</v>
      </c>
      <c r="K375" s="99">
        <v>41892</v>
      </c>
      <c r="L375" s="114" t="s">
        <v>1776</v>
      </c>
      <c r="M375" s="104">
        <v>41893</v>
      </c>
      <c r="N375" s="113" t="s">
        <v>2183</v>
      </c>
      <c r="O375" s="104">
        <v>41959</v>
      </c>
      <c r="P375" s="105" t="s">
        <v>1465</v>
      </c>
      <c r="Q375" s="131" t="s">
        <v>1820</v>
      </c>
      <c r="R375" s="104">
        <v>41893</v>
      </c>
      <c r="S375" s="146" t="s">
        <v>1958</v>
      </c>
      <c r="T375" s="138">
        <v>41911</v>
      </c>
      <c r="U375" s="105" t="s">
        <v>1465</v>
      </c>
      <c r="V375" s="184" t="s">
        <v>1442</v>
      </c>
      <c r="W375" s="142"/>
      <c r="X375" s="142"/>
      <c r="Y375" s="143"/>
      <c r="Z375" s="144"/>
      <c r="AA375" s="143"/>
      <c r="AB375" s="144"/>
      <c r="AC375" s="143"/>
      <c r="AD375" s="143"/>
      <c r="AE375" s="143"/>
      <c r="AF375" s="143"/>
      <c r="AG375" s="144"/>
      <c r="AH375" s="143"/>
      <c r="AI375" s="143"/>
    </row>
    <row r="376" spans="1:35" s="112" customFormat="1" ht="21" hidden="1" x14ac:dyDescent="0.2">
      <c r="A376" s="137">
        <v>284</v>
      </c>
      <c r="B376" s="148" t="s">
        <v>1772</v>
      </c>
      <c r="C376" s="149" t="s">
        <v>1754</v>
      </c>
      <c r="D376" s="149" t="s">
        <v>1773</v>
      </c>
      <c r="E376" s="46" t="s">
        <v>1369</v>
      </c>
      <c r="F376" s="131">
        <v>3</v>
      </c>
      <c r="G376" s="145" t="s">
        <v>1442</v>
      </c>
      <c r="H376" s="145"/>
      <c r="I376" s="191" t="s">
        <v>1442</v>
      </c>
      <c r="J376" s="99" t="s">
        <v>1784</v>
      </c>
      <c r="K376" s="99">
        <v>41892</v>
      </c>
      <c r="L376" s="114" t="s">
        <v>1785</v>
      </c>
      <c r="M376" s="104">
        <v>41894</v>
      </c>
      <c r="N376" s="113" t="s">
        <v>1851</v>
      </c>
      <c r="O376" s="138">
        <v>41897</v>
      </c>
      <c r="P376" s="131" t="s">
        <v>1852</v>
      </c>
      <c r="Q376" s="131" t="s">
        <v>1845</v>
      </c>
      <c r="R376" s="104">
        <v>41898</v>
      </c>
      <c r="S376" s="146" t="s">
        <v>1958</v>
      </c>
      <c r="T376" s="138">
        <v>41911</v>
      </c>
      <c r="U376" s="105" t="s">
        <v>1465</v>
      </c>
      <c r="V376" s="184" t="s">
        <v>1442</v>
      </c>
      <c r="W376" s="142"/>
      <c r="X376" s="142"/>
      <c r="Y376" s="143"/>
      <c r="Z376" s="144"/>
      <c r="AA376" s="143"/>
      <c r="AB376" s="144"/>
      <c r="AC376" s="143"/>
      <c r="AD376" s="143"/>
      <c r="AE376" s="143"/>
      <c r="AF376" s="143"/>
      <c r="AG376" s="144"/>
      <c r="AH376" s="143"/>
      <c r="AI376" s="143"/>
    </row>
    <row r="377" spans="1:35" s="112" customFormat="1" ht="21" hidden="1" x14ac:dyDescent="0.2">
      <c r="A377" s="137">
        <v>285</v>
      </c>
      <c r="B377" s="148" t="s">
        <v>1779</v>
      </c>
      <c r="C377" s="149" t="s">
        <v>1755</v>
      </c>
      <c r="D377" s="149" t="s">
        <v>1780</v>
      </c>
      <c r="E377" s="46" t="s">
        <v>1369</v>
      </c>
      <c r="F377" s="131">
        <v>3</v>
      </c>
      <c r="G377" s="145" t="s">
        <v>1442</v>
      </c>
      <c r="H377" s="145"/>
      <c r="I377" s="191" t="s">
        <v>1442</v>
      </c>
      <c r="J377" s="99" t="s">
        <v>1784</v>
      </c>
      <c r="K377" s="99">
        <v>41892</v>
      </c>
      <c r="L377" s="114" t="s">
        <v>1785</v>
      </c>
      <c r="M377" s="104">
        <v>41894</v>
      </c>
      <c r="N377" s="113" t="s">
        <v>1851</v>
      </c>
      <c r="O377" s="138">
        <v>41897</v>
      </c>
      <c r="P377" s="131" t="s">
        <v>1852</v>
      </c>
      <c r="Q377" s="131" t="s">
        <v>1845</v>
      </c>
      <c r="R377" s="104">
        <v>41898</v>
      </c>
      <c r="S377" s="146" t="s">
        <v>1958</v>
      </c>
      <c r="T377" s="138">
        <v>41911</v>
      </c>
      <c r="U377" s="105" t="s">
        <v>1465</v>
      </c>
      <c r="V377" s="184" t="s">
        <v>1442</v>
      </c>
      <c r="W377" s="142"/>
      <c r="X377" s="142"/>
      <c r="Y377" s="143"/>
      <c r="Z377" s="144"/>
      <c r="AA377" s="143"/>
      <c r="AB377" s="144"/>
      <c r="AC377" s="143"/>
      <c r="AD377" s="143"/>
      <c r="AE377" s="143"/>
      <c r="AF377" s="143"/>
      <c r="AG377" s="144"/>
      <c r="AH377" s="143"/>
      <c r="AI377" s="143"/>
    </row>
    <row r="378" spans="1:35" s="112" customFormat="1" ht="21" hidden="1" x14ac:dyDescent="0.2">
      <c r="A378" s="137">
        <v>286</v>
      </c>
      <c r="B378" s="148" t="s">
        <v>1786</v>
      </c>
      <c r="C378" s="149" t="s">
        <v>1756</v>
      </c>
      <c r="D378" s="149" t="s">
        <v>1788</v>
      </c>
      <c r="E378" s="46" t="s">
        <v>1369</v>
      </c>
      <c r="F378" s="131">
        <v>3</v>
      </c>
      <c r="G378" s="145" t="s">
        <v>1442</v>
      </c>
      <c r="H378" s="145"/>
      <c r="I378" s="191" t="s">
        <v>1442</v>
      </c>
      <c r="J378" s="99" t="s">
        <v>1796</v>
      </c>
      <c r="K378" s="99">
        <v>41893</v>
      </c>
      <c r="L378" s="114" t="s">
        <v>1795</v>
      </c>
      <c r="M378" s="104">
        <v>41894</v>
      </c>
      <c r="N378" s="113" t="s">
        <v>2180</v>
      </c>
      <c r="O378" s="138">
        <v>41959</v>
      </c>
      <c r="P378" s="105" t="s">
        <v>1465</v>
      </c>
      <c r="Q378" s="131" t="s">
        <v>1846</v>
      </c>
      <c r="R378" s="104">
        <v>41898</v>
      </c>
      <c r="S378" s="146" t="s">
        <v>1958</v>
      </c>
      <c r="T378" s="138">
        <v>41911</v>
      </c>
      <c r="U378" s="105" t="s">
        <v>1465</v>
      </c>
      <c r="V378" s="184" t="s">
        <v>1442</v>
      </c>
      <c r="W378" s="142"/>
      <c r="X378" s="142"/>
      <c r="Y378" s="143"/>
      <c r="Z378" s="144"/>
      <c r="AA378" s="143"/>
      <c r="AB378" s="144"/>
      <c r="AC378" s="143"/>
      <c r="AD378" s="143"/>
      <c r="AE378" s="143"/>
      <c r="AF378" s="143"/>
      <c r="AG378" s="144"/>
      <c r="AH378" s="143"/>
      <c r="AI378" s="143"/>
    </row>
    <row r="379" spans="1:35" s="112" customFormat="1" ht="31.5" hidden="1" x14ac:dyDescent="0.2">
      <c r="A379" s="137">
        <v>287</v>
      </c>
      <c r="B379" s="148" t="s">
        <v>1787</v>
      </c>
      <c r="C379" s="149" t="s">
        <v>1757</v>
      </c>
      <c r="D379" s="149" t="s">
        <v>1789</v>
      </c>
      <c r="E379" s="46" t="s">
        <v>1369</v>
      </c>
      <c r="F379" s="131">
        <v>3</v>
      </c>
      <c r="G379" s="145" t="s">
        <v>1442</v>
      </c>
      <c r="H379" s="145"/>
      <c r="I379" s="191" t="s">
        <v>1442</v>
      </c>
      <c r="J379" s="99" t="s">
        <v>1796</v>
      </c>
      <c r="K379" s="99">
        <v>41893</v>
      </c>
      <c r="L379" s="114" t="s">
        <v>1795</v>
      </c>
      <c r="M379" s="104">
        <v>41894</v>
      </c>
      <c r="N379" s="113" t="s">
        <v>2180</v>
      </c>
      <c r="O379" s="138">
        <v>41959</v>
      </c>
      <c r="P379" s="105" t="s">
        <v>1465</v>
      </c>
      <c r="Q379" s="131" t="s">
        <v>1846</v>
      </c>
      <c r="R379" s="104">
        <v>41898</v>
      </c>
      <c r="S379" s="146" t="s">
        <v>1958</v>
      </c>
      <c r="T379" s="138">
        <v>41911</v>
      </c>
      <c r="U379" s="105" t="s">
        <v>1465</v>
      </c>
      <c r="V379" s="184" t="s">
        <v>1442</v>
      </c>
      <c r="W379" s="142"/>
      <c r="X379" s="142"/>
      <c r="Y379" s="143"/>
      <c r="Z379" s="144"/>
      <c r="AA379" s="143"/>
      <c r="AB379" s="144"/>
      <c r="AC379" s="143"/>
      <c r="AD379" s="143"/>
      <c r="AE379" s="143"/>
      <c r="AF379" s="143"/>
      <c r="AG379" s="144"/>
      <c r="AH379" s="143"/>
      <c r="AI379" s="143"/>
    </row>
    <row r="380" spans="1:35" s="112" customFormat="1" ht="31.5" hidden="1" x14ac:dyDescent="0.2">
      <c r="A380" s="137">
        <v>288</v>
      </c>
      <c r="B380" s="148" t="s">
        <v>1791</v>
      </c>
      <c r="C380" s="149" t="s">
        <v>1758</v>
      </c>
      <c r="D380" s="149" t="s">
        <v>1790</v>
      </c>
      <c r="E380" s="46" t="s">
        <v>1369</v>
      </c>
      <c r="F380" s="131">
        <v>3</v>
      </c>
      <c r="G380" s="145" t="s">
        <v>1442</v>
      </c>
      <c r="H380" s="145"/>
      <c r="I380" s="191" t="s">
        <v>1442</v>
      </c>
      <c r="J380" s="99" t="s">
        <v>1796</v>
      </c>
      <c r="K380" s="99">
        <v>41893</v>
      </c>
      <c r="L380" s="114" t="s">
        <v>1795</v>
      </c>
      <c r="M380" s="104">
        <v>41894</v>
      </c>
      <c r="N380" s="113" t="s">
        <v>2180</v>
      </c>
      <c r="O380" s="138">
        <v>41959</v>
      </c>
      <c r="P380" s="105" t="s">
        <v>1465</v>
      </c>
      <c r="Q380" s="131" t="s">
        <v>1846</v>
      </c>
      <c r="R380" s="104">
        <v>41898</v>
      </c>
      <c r="S380" s="146" t="s">
        <v>1958</v>
      </c>
      <c r="T380" s="138">
        <v>41911</v>
      </c>
      <c r="U380" s="105" t="s">
        <v>1465</v>
      </c>
      <c r="V380" s="184" t="s">
        <v>1442</v>
      </c>
      <c r="W380" s="142"/>
      <c r="X380" s="142"/>
      <c r="Y380" s="143"/>
      <c r="Z380" s="144"/>
      <c r="AA380" s="143"/>
      <c r="AB380" s="144"/>
      <c r="AC380" s="143"/>
      <c r="AD380" s="143"/>
      <c r="AE380" s="143"/>
      <c r="AF380" s="143"/>
      <c r="AG380" s="144"/>
      <c r="AH380" s="143"/>
      <c r="AI380" s="143"/>
    </row>
    <row r="381" spans="1:35" s="112" customFormat="1" ht="21" hidden="1" x14ac:dyDescent="0.2">
      <c r="A381" s="137">
        <v>289</v>
      </c>
      <c r="B381" s="148" t="s">
        <v>1807</v>
      </c>
      <c r="C381" s="149" t="s">
        <v>1759</v>
      </c>
      <c r="D381" s="149" t="s">
        <v>1801</v>
      </c>
      <c r="E381" s="46" t="s">
        <v>1369</v>
      </c>
      <c r="F381" s="131">
        <v>3</v>
      </c>
      <c r="G381" s="145" t="s">
        <v>1442</v>
      </c>
      <c r="H381" s="145"/>
      <c r="I381" s="191" t="s">
        <v>1442</v>
      </c>
      <c r="J381" s="99" t="s">
        <v>1832</v>
      </c>
      <c r="K381" s="145">
        <v>41897</v>
      </c>
      <c r="L381" s="114" t="s">
        <v>1833</v>
      </c>
      <c r="M381" s="138">
        <v>41900</v>
      </c>
      <c r="N381" s="113" t="s">
        <v>2181</v>
      </c>
      <c r="O381" s="138">
        <v>41959</v>
      </c>
      <c r="P381" s="105" t="s">
        <v>1465</v>
      </c>
      <c r="Q381" s="114" t="s">
        <v>1889</v>
      </c>
      <c r="R381" s="104">
        <v>41903</v>
      </c>
      <c r="S381" s="146" t="s">
        <v>1958</v>
      </c>
      <c r="T381" s="138">
        <v>41911</v>
      </c>
      <c r="U381" s="105" t="s">
        <v>1465</v>
      </c>
      <c r="V381" s="184" t="s">
        <v>1442</v>
      </c>
      <c r="W381" s="142"/>
      <c r="X381" s="142"/>
      <c r="Y381" s="143"/>
      <c r="Z381" s="144"/>
      <c r="AA381" s="143"/>
      <c r="AB381" s="144"/>
      <c r="AC381" s="143"/>
      <c r="AD381" s="143"/>
      <c r="AE381" s="143"/>
      <c r="AF381" s="143"/>
      <c r="AG381" s="144"/>
      <c r="AH381" s="143"/>
      <c r="AI381" s="143"/>
    </row>
    <row r="382" spans="1:35" s="112" customFormat="1" ht="31.5" hidden="1" x14ac:dyDescent="0.2">
      <c r="A382" s="137">
        <v>290</v>
      </c>
      <c r="B382" s="148" t="s">
        <v>1808</v>
      </c>
      <c r="C382" s="149" t="s">
        <v>1760</v>
      </c>
      <c r="D382" s="149" t="s">
        <v>1802</v>
      </c>
      <c r="E382" s="46" t="s">
        <v>1369</v>
      </c>
      <c r="F382" s="131">
        <v>3</v>
      </c>
      <c r="G382" s="145" t="s">
        <v>1442</v>
      </c>
      <c r="H382" s="145"/>
      <c r="I382" s="191" t="s">
        <v>1442</v>
      </c>
      <c r="J382" s="99" t="s">
        <v>1832</v>
      </c>
      <c r="K382" s="145">
        <v>41897</v>
      </c>
      <c r="L382" s="114" t="s">
        <v>1833</v>
      </c>
      <c r="M382" s="138">
        <v>41900</v>
      </c>
      <c r="N382" s="113" t="s">
        <v>2181</v>
      </c>
      <c r="O382" s="138">
        <v>41959</v>
      </c>
      <c r="P382" s="105" t="s">
        <v>1465</v>
      </c>
      <c r="Q382" s="114" t="s">
        <v>1889</v>
      </c>
      <c r="R382" s="104">
        <v>41903</v>
      </c>
      <c r="S382" s="146" t="s">
        <v>1958</v>
      </c>
      <c r="T382" s="138">
        <v>41911</v>
      </c>
      <c r="U382" s="105" t="s">
        <v>1465</v>
      </c>
      <c r="V382" s="184" t="s">
        <v>1442</v>
      </c>
      <c r="W382" s="142"/>
      <c r="X382" s="142"/>
      <c r="Y382" s="143"/>
      <c r="Z382" s="144"/>
      <c r="AA382" s="143"/>
      <c r="AB382" s="144"/>
      <c r="AC382" s="143"/>
      <c r="AD382" s="143"/>
      <c r="AE382" s="143"/>
      <c r="AF382" s="143"/>
      <c r="AG382" s="144"/>
      <c r="AH382" s="143"/>
      <c r="AI382" s="143"/>
    </row>
    <row r="383" spans="1:35" s="112" customFormat="1" ht="31.5" hidden="1" x14ac:dyDescent="0.2">
      <c r="A383" s="137">
        <v>291</v>
      </c>
      <c r="B383" s="148" t="s">
        <v>1809</v>
      </c>
      <c r="C383" s="149" t="s">
        <v>1761</v>
      </c>
      <c r="D383" s="149" t="s">
        <v>1803</v>
      </c>
      <c r="E383" s="46" t="s">
        <v>1369</v>
      </c>
      <c r="F383" s="131">
        <v>3</v>
      </c>
      <c r="G383" s="145" t="s">
        <v>1442</v>
      </c>
      <c r="H383" s="145"/>
      <c r="I383" s="191" t="s">
        <v>1442</v>
      </c>
      <c r="J383" s="99" t="s">
        <v>1832</v>
      </c>
      <c r="K383" s="145">
        <v>41897</v>
      </c>
      <c r="L383" s="114" t="s">
        <v>1833</v>
      </c>
      <c r="M383" s="138">
        <v>41900</v>
      </c>
      <c r="N383" s="113" t="s">
        <v>2181</v>
      </c>
      <c r="O383" s="138">
        <v>41959</v>
      </c>
      <c r="P383" s="105" t="s">
        <v>1465</v>
      </c>
      <c r="Q383" s="114" t="s">
        <v>1889</v>
      </c>
      <c r="R383" s="104">
        <v>41903</v>
      </c>
      <c r="S383" s="146" t="s">
        <v>1958</v>
      </c>
      <c r="T383" s="138">
        <v>41911</v>
      </c>
      <c r="U383" s="105" t="s">
        <v>1465</v>
      </c>
      <c r="V383" s="184" t="s">
        <v>1442</v>
      </c>
      <c r="W383" s="142"/>
      <c r="X383" s="142"/>
      <c r="Y383" s="143"/>
      <c r="Z383" s="144"/>
      <c r="AA383" s="143"/>
      <c r="AB383" s="144"/>
      <c r="AC383" s="143"/>
      <c r="AD383" s="143"/>
      <c r="AE383" s="143"/>
      <c r="AF383" s="143"/>
      <c r="AG383" s="144"/>
      <c r="AH383" s="143"/>
      <c r="AI383" s="143"/>
    </row>
    <row r="384" spans="1:35" s="112" customFormat="1" ht="21" hidden="1" x14ac:dyDescent="0.2">
      <c r="A384" s="137">
        <v>292</v>
      </c>
      <c r="B384" s="148" t="s">
        <v>1810</v>
      </c>
      <c r="C384" s="149" t="s">
        <v>1762</v>
      </c>
      <c r="D384" s="149" t="s">
        <v>1804</v>
      </c>
      <c r="E384" s="46" t="s">
        <v>1369</v>
      </c>
      <c r="F384" s="131">
        <v>3</v>
      </c>
      <c r="G384" s="145" t="s">
        <v>1442</v>
      </c>
      <c r="H384" s="145"/>
      <c r="I384" s="191" t="s">
        <v>1442</v>
      </c>
      <c r="J384" s="99" t="s">
        <v>1832</v>
      </c>
      <c r="K384" s="145">
        <v>41897</v>
      </c>
      <c r="L384" s="114" t="s">
        <v>1833</v>
      </c>
      <c r="M384" s="138">
        <v>41900</v>
      </c>
      <c r="N384" s="113" t="s">
        <v>2181</v>
      </c>
      <c r="O384" s="138">
        <v>41959</v>
      </c>
      <c r="P384" s="105" t="s">
        <v>1465</v>
      </c>
      <c r="Q384" s="114" t="s">
        <v>1889</v>
      </c>
      <c r="R384" s="104">
        <v>41903</v>
      </c>
      <c r="S384" s="146" t="s">
        <v>1958</v>
      </c>
      <c r="T384" s="138">
        <v>41911</v>
      </c>
      <c r="U384" s="105" t="s">
        <v>1465</v>
      </c>
      <c r="V384" s="184" t="s">
        <v>1442</v>
      </c>
      <c r="W384" s="142"/>
      <c r="X384" s="142"/>
      <c r="Y384" s="143"/>
      <c r="Z384" s="144"/>
      <c r="AA384" s="143"/>
      <c r="AB384" s="144"/>
      <c r="AC384" s="143"/>
      <c r="AD384" s="143"/>
      <c r="AE384" s="143"/>
      <c r="AF384" s="143"/>
      <c r="AG384" s="144"/>
      <c r="AH384" s="143"/>
      <c r="AI384" s="143"/>
    </row>
    <row r="385" spans="1:35" s="112" customFormat="1" ht="31.5" hidden="1" x14ac:dyDescent="0.2">
      <c r="A385" s="137">
        <v>293</v>
      </c>
      <c r="B385" s="148" t="s">
        <v>1811</v>
      </c>
      <c r="C385" s="149" t="s">
        <v>1763</v>
      </c>
      <c r="D385" s="149" t="s">
        <v>1805</v>
      </c>
      <c r="E385" s="46" t="s">
        <v>1369</v>
      </c>
      <c r="F385" s="131">
        <v>3</v>
      </c>
      <c r="G385" s="145" t="s">
        <v>1442</v>
      </c>
      <c r="H385" s="145"/>
      <c r="I385" s="191" t="s">
        <v>1442</v>
      </c>
      <c r="J385" s="99" t="s">
        <v>1832</v>
      </c>
      <c r="K385" s="145">
        <v>41897</v>
      </c>
      <c r="L385" s="114" t="s">
        <v>1833</v>
      </c>
      <c r="M385" s="138">
        <v>41900</v>
      </c>
      <c r="N385" s="113" t="s">
        <v>2181</v>
      </c>
      <c r="O385" s="138">
        <v>41959</v>
      </c>
      <c r="P385" s="105" t="s">
        <v>1465</v>
      </c>
      <c r="Q385" s="114" t="s">
        <v>1889</v>
      </c>
      <c r="R385" s="104">
        <v>41903</v>
      </c>
      <c r="S385" s="146" t="s">
        <v>1958</v>
      </c>
      <c r="T385" s="138">
        <v>41911</v>
      </c>
      <c r="U385" s="105" t="s">
        <v>1465</v>
      </c>
      <c r="V385" s="184" t="s">
        <v>1442</v>
      </c>
      <c r="W385" s="142"/>
      <c r="X385" s="142"/>
      <c r="Y385" s="143"/>
      <c r="Z385" s="144"/>
      <c r="AA385" s="143"/>
      <c r="AB385" s="144"/>
      <c r="AC385" s="143"/>
      <c r="AD385" s="143"/>
      <c r="AE385" s="143"/>
      <c r="AF385" s="143"/>
      <c r="AG385" s="144"/>
      <c r="AH385" s="143"/>
      <c r="AI385" s="143"/>
    </row>
    <row r="386" spans="1:35" s="112" customFormat="1" ht="31.5" hidden="1" x14ac:dyDescent="0.2">
      <c r="A386" s="137">
        <v>294</v>
      </c>
      <c r="B386" s="148" t="s">
        <v>1812</v>
      </c>
      <c r="C386" s="149" t="s">
        <v>1764</v>
      </c>
      <c r="D386" s="149" t="s">
        <v>1806</v>
      </c>
      <c r="E386" s="46" t="s">
        <v>1369</v>
      </c>
      <c r="F386" s="131">
        <v>3</v>
      </c>
      <c r="G386" s="145" t="s">
        <v>1442</v>
      </c>
      <c r="H386" s="145"/>
      <c r="I386" s="191" t="s">
        <v>1442</v>
      </c>
      <c r="J386" s="99" t="s">
        <v>1832</v>
      </c>
      <c r="K386" s="145">
        <v>41897</v>
      </c>
      <c r="L386" s="114" t="s">
        <v>1833</v>
      </c>
      <c r="M386" s="138">
        <v>41900</v>
      </c>
      <c r="N386" s="113" t="s">
        <v>2181</v>
      </c>
      <c r="O386" s="138">
        <v>41959</v>
      </c>
      <c r="P386" s="105" t="s">
        <v>1465</v>
      </c>
      <c r="Q386" s="114" t="s">
        <v>1889</v>
      </c>
      <c r="R386" s="104">
        <v>41903</v>
      </c>
      <c r="S386" s="146" t="s">
        <v>1958</v>
      </c>
      <c r="T386" s="138">
        <v>41911</v>
      </c>
      <c r="U386" s="105" t="s">
        <v>1465</v>
      </c>
      <c r="V386" s="184" t="s">
        <v>1442</v>
      </c>
      <c r="W386" s="142"/>
      <c r="X386" s="142"/>
      <c r="Y386" s="143"/>
      <c r="Z386" s="144"/>
      <c r="AA386" s="143"/>
      <c r="AB386" s="144"/>
      <c r="AC386" s="143"/>
      <c r="AD386" s="143"/>
      <c r="AE386" s="143"/>
      <c r="AF386" s="143"/>
      <c r="AG386" s="144"/>
      <c r="AH386" s="143"/>
      <c r="AI386" s="143"/>
    </row>
    <row r="387" spans="1:35" s="112" customFormat="1" ht="31.5" hidden="1" x14ac:dyDescent="0.2">
      <c r="A387" s="137">
        <v>295</v>
      </c>
      <c r="B387" s="148" t="s">
        <v>2041</v>
      </c>
      <c r="C387" s="188" t="s">
        <v>2040</v>
      </c>
      <c r="D387" s="188" t="s">
        <v>2042</v>
      </c>
      <c r="E387" s="46" t="s">
        <v>1369</v>
      </c>
      <c r="F387" s="131">
        <v>3</v>
      </c>
      <c r="G387" s="145" t="s">
        <v>1442</v>
      </c>
      <c r="H387" s="145"/>
      <c r="I387" s="191" t="s">
        <v>1442</v>
      </c>
      <c r="J387" s="99" t="s">
        <v>2051</v>
      </c>
      <c r="K387" s="145">
        <v>41941</v>
      </c>
      <c r="L387" s="114" t="s">
        <v>2052</v>
      </c>
      <c r="M387" s="138">
        <v>41942</v>
      </c>
      <c r="N387" s="113" t="s">
        <v>2142</v>
      </c>
      <c r="O387" s="138">
        <v>41947</v>
      </c>
      <c r="P387" s="105" t="s">
        <v>1465</v>
      </c>
      <c r="Q387" s="187" t="s">
        <v>2119</v>
      </c>
      <c r="R387" s="62">
        <v>41944</v>
      </c>
      <c r="S387" s="146" t="s">
        <v>2113</v>
      </c>
      <c r="T387" s="138">
        <v>41942</v>
      </c>
      <c r="U387" s="105" t="s">
        <v>1465</v>
      </c>
      <c r="V387" s="184" t="s">
        <v>1442</v>
      </c>
      <c r="W387" s="142"/>
      <c r="X387" s="142"/>
      <c r="Y387" s="143"/>
      <c r="Z387" s="144"/>
      <c r="AA387" s="143"/>
      <c r="AB387" s="144"/>
      <c r="AC387" s="143"/>
      <c r="AD387" s="143"/>
      <c r="AE387" s="143"/>
      <c r="AF387" s="143"/>
      <c r="AG387" s="144"/>
      <c r="AH387" s="143"/>
      <c r="AI387" s="143"/>
    </row>
    <row r="388" spans="1:35" s="112" customFormat="1" hidden="1" x14ac:dyDescent="0.2">
      <c r="A388" s="137">
        <v>296</v>
      </c>
      <c r="B388" s="589" t="s">
        <v>2117</v>
      </c>
      <c r="C388" s="510" t="s">
        <v>2115</v>
      </c>
      <c r="D388" s="510" t="s">
        <v>2116</v>
      </c>
      <c r="E388" s="46" t="s">
        <v>1369</v>
      </c>
      <c r="F388" s="131">
        <v>3</v>
      </c>
      <c r="G388" s="145"/>
      <c r="H388" s="145"/>
      <c r="I388" s="191"/>
      <c r="J388" s="99" t="s">
        <v>2132</v>
      </c>
      <c r="K388" s="145">
        <v>41946</v>
      </c>
      <c r="L388" s="114" t="s">
        <v>2133</v>
      </c>
      <c r="M388" s="138">
        <v>41947</v>
      </c>
      <c r="N388" s="113" t="s">
        <v>2151</v>
      </c>
      <c r="O388" s="138">
        <v>41953</v>
      </c>
      <c r="P388" s="105" t="s">
        <v>1465</v>
      </c>
      <c r="Q388" s="202" t="s">
        <v>2138</v>
      </c>
      <c r="R388" s="62">
        <v>41948</v>
      </c>
      <c r="S388" s="146" t="s">
        <v>2159</v>
      </c>
      <c r="T388" s="138">
        <v>41954</v>
      </c>
      <c r="U388" s="105" t="s">
        <v>1465</v>
      </c>
      <c r="V388" s="194" t="s">
        <v>1442</v>
      </c>
      <c r="W388" s="142"/>
      <c r="X388" s="142"/>
      <c r="Y388" s="143"/>
      <c r="Z388" s="144"/>
      <c r="AA388" s="143"/>
      <c r="AB388" s="144"/>
      <c r="AC388" s="143"/>
      <c r="AD388" s="143"/>
      <c r="AE388" s="143"/>
      <c r="AF388" s="143"/>
      <c r="AG388" s="144"/>
      <c r="AH388" s="143"/>
      <c r="AI388" s="143"/>
    </row>
    <row r="389" spans="1:35" s="112" customFormat="1" hidden="1" x14ac:dyDescent="0.2">
      <c r="A389" s="137"/>
      <c r="B389" s="590"/>
      <c r="C389" s="511"/>
      <c r="D389" s="511"/>
      <c r="E389" s="46" t="s">
        <v>1432</v>
      </c>
      <c r="F389" s="131" t="s">
        <v>1442</v>
      </c>
      <c r="G389" s="145" t="s">
        <v>1442</v>
      </c>
      <c r="H389" s="145"/>
      <c r="I389" s="191" t="s">
        <v>1442</v>
      </c>
      <c r="J389" s="61" t="s">
        <v>2148</v>
      </c>
      <c r="K389" s="61">
        <v>41952</v>
      </c>
      <c r="L389" s="114" t="s">
        <v>2150</v>
      </c>
      <c r="M389" s="104">
        <v>41953</v>
      </c>
      <c r="N389" s="113" t="s">
        <v>2171</v>
      </c>
      <c r="O389" s="138">
        <v>41959</v>
      </c>
      <c r="P389" s="105" t="s">
        <v>1465</v>
      </c>
      <c r="Q389" s="202" t="s">
        <v>2153</v>
      </c>
      <c r="R389" s="62">
        <v>41954</v>
      </c>
      <c r="S389" s="146" t="s">
        <v>2159</v>
      </c>
      <c r="T389" s="138">
        <v>41954</v>
      </c>
      <c r="U389" s="105" t="s">
        <v>1465</v>
      </c>
      <c r="V389" s="194" t="s">
        <v>1442</v>
      </c>
      <c r="W389" s="142"/>
      <c r="X389" s="142"/>
      <c r="Y389" s="143"/>
      <c r="Z389" s="144"/>
      <c r="AA389" s="143"/>
      <c r="AB389" s="144"/>
      <c r="AC389" s="143"/>
      <c r="AD389" s="143"/>
      <c r="AE389" s="143"/>
      <c r="AF389" s="143"/>
      <c r="AG389" s="144"/>
      <c r="AH389" s="143"/>
      <c r="AI389" s="143"/>
    </row>
    <row r="390" spans="1:35" s="112" customFormat="1" ht="24.95" customHeight="1" x14ac:dyDescent="0.2">
      <c r="A390" s="137">
        <v>297</v>
      </c>
      <c r="B390" s="220" t="s">
        <v>2266</v>
      </c>
      <c r="C390" s="222" t="s">
        <v>2264</v>
      </c>
      <c r="D390" s="222" t="s">
        <v>2265</v>
      </c>
      <c r="E390" s="46" t="s">
        <v>1369</v>
      </c>
      <c r="F390" s="131">
        <v>3</v>
      </c>
      <c r="G390" s="145" t="s">
        <v>2271</v>
      </c>
      <c r="H390" s="145"/>
      <c r="I390" s="191" t="s">
        <v>1442</v>
      </c>
      <c r="J390" s="61" t="s">
        <v>2269</v>
      </c>
      <c r="K390" s="61">
        <v>42092</v>
      </c>
      <c r="L390" s="17" t="s">
        <v>2270</v>
      </c>
      <c r="M390" s="104">
        <v>42103</v>
      </c>
      <c r="N390" s="46" t="s">
        <v>2319</v>
      </c>
      <c r="O390" s="138">
        <v>42106</v>
      </c>
      <c r="P390" s="131">
        <v>1</v>
      </c>
      <c r="Q390" s="17" t="s">
        <v>2281</v>
      </c>
      <c r="R390" s="62">
        <v>42107</v>
      </c>
      <c r="S390" s="46" t="s">
        <v>2330</v>
      </c>
      <c r="T390" s="138">
        <v>42113</v>
      </c>
      <c r="U390" s="131" t="s">
        <v>1369</v>
      </c>
      <c r="V390" s="184" t="s">
        <v>1442</v>
      </c>
      <c r="W390" s="142"/>
      <c r="X390" s="142"/>
      <c r="Y390" s="143"/>
      <c r="Z390" s="144"/>
      <c r="AA390" s="143"/>
      <c r="AB390" s="144"/>
      <c r="AC390" s="143"/>
      <c r="AD390" s="143"/>
      <c r="AE390" s="143"/>
      <c r="AF390" s="143"/>
      <c r="AG390" s="144"/>
      <c r="AH390" s="143"/>
      <c r="AI390" s="143"/>
    </row>
    <row r="391" spans="1:35" s="112" customFormat="1" ht="24.95" customHeight="1" x14ac:dyDescent="0.2">
      <c r="A391" s="137">
        <v>298</v>
      </c>
      <c r="B391" s="220" t="s">
        <v>2282</v>
      </c>
      <c r="C391" s="222" t="s">
        <v>2294</v>
      </c>
      <c r="D391" s="222" t="s">
        <v>2307</v>
      </c>
      <c r="E391" s="46" t="s">
        <v>1369</v>
      </c>
      <c r="F391" s="131">
        <v>3</v>
      </c>
      <c r="G391" s="145" t="s">
        <v>2306</v>
      </c>
      <c r="H391" s="145"/>
      <c r="I391" s="191" t="s">
        <v>1442</v>
      </c>
      <c r="J391" s="61" t="s">
        <v>2322</v>
      </c>
      <c r="K391" s="99">
        <v>42109</v>
      </c>
      <c r="L391" s="17" t="s">
        <v>2323</v>
      </c>
      <c r="M391" s="18">
        <v>42123</v>
      </c>
      <c r="N391" s="46" t="s">
        <v>2365</v>
      </c>
      <c r="O391" s="104">
        <v>42141</v>
      </c>
      <c r="P391" s="114">
        <v>2</v>
      </c>
      <c r="Q391" s="114" t="s">
        <v>2342</v>
      </c>
      <c r="R391" s="18">
        <v>42137</v>
      </c>
      <c r="S391" s="192"/>
      <c r="T391" s="193"/>
      <c r="U391" s="114" t="s">
        <v>2544</v>
      </c>
      <c r="V391" s="184" t="s">
        <v>3068</v>
      </c>
      <c r="W391" s="142"/>
      <c r="X391" s="142"/>
      <c r="Y391" s="143"/>
      <c r="Z391" s="144"/>
      <c r="AA391" s="143"/>
      <c r="AB391" s="144"/>
      <c r="AC391" s="143"/>
      <c r="AD391" s="143"/>
      <c r="AE391" s="143"/>
      <c r="AF391" s="143"/>
      <c r="AG391" s="144"/>
      <c r="AH391" s="143"/>
      <c r="AI391" s="143"/>
    </row>
    <row r="392" spans="1:35" s="112" customFormat="1" ht="21" x14ac:dyDescent="0.2">
      <c r="A392" s="137">
        <v>299</v>
      </c>
      <c r="B392" s="220" t="s">
        <v>2293</v>
      </c>
      <c r="C392" s="222" t="s">
        <v>2295</v>
      </c>
      <c r="D392" s="222" t="s">
        <v>2308</v>
      </c>
      <c r="E392" s="137" t="s">
        <v>1369</v>
      </c>
      <c r="F392" s="131">
        <v>3</v>
      </c>
      <c r="G392" s="145" t="s">
        <v>2306</v>
      </c>
      <c r="H392" s="145"/>
      <c r="I392" s="191" t="s">
        <v>1442</v>
      </c>
      <c r="J392" s="145"/>
      <c r="K392" s="145"/>
      <c r="L392" s="131"/>
      <c r="M392" s="138"/>
      <c r="N392" s="192"/>
      <c r="O392" s="193"/>
      <c r="P392" s="192"/>
      <c r="Q392" s="192"/>
      <c r="R392" s="192"/>
      <c r="S392" s="192"/>
      <c r="T392" s="193"/>
      <c r="U392" s="114" t="s">
        <v>2544</v>
      </c>
      <c r="V392" s="184" t="s">
        <v>3067</v>
      </c>
      <c r="W392" s="142"/>
      <c r="X392" s="142"/>
      <c r="Y392" s="143"/>
      <c r="Z392" s="144"/>
      <c r="AA392" s="143"/>
      <c r="AB392" s="144"/>
      <c r="AC392" s="143"/>
      <c r="AD392" s="143"/>
      <c r="AE392" s="143"/>
      <c r="AF392" s="143"/>
      <c r="AG392" s="144"/>
      <c r="AH392" s="143"/>
      <c r="AI392" s="143"/>
    </row>
    <row r="393" spans="1:35" s="112" customFormat="1" ht="24.95" customHeight="1" x14ac:dyDescent="0.2">
      <c r="A393" s="137">
        <v>300</v>
      </c>
      <c r="B393" s="220" t="s">
        <v>2284</v>
      </c>
      <c r="C393" s="222" t="s">
        <v>2296</v>
      </c>
      <c r="D393" s="222" t="s">
        <v>2309</v>
      </c>
      <c r="E393" s="137" t="s">
        <v>1369</v>
      </c>
      <c r="F393" s="131">
        <v>3</v>
      </c>
      <c r="G393" s="145" t="s">
        <v>2306</v>
      </c>
      <c r="H393" s="145"/>
      <c r="I393" s="191" t="s">
        <v>1442</v>
      </c>
      <c r="J393" s="145"/>
      <c r="K393" s="145"/>
      <c r="L393" s="131"/>
      <c r="M393" s="138"/>
      <c r="N393" s="192"/>
      <c r="O393" s="193"/>
      <c r="P393" s="192"/>
      <c r="Q393" s="192"/>
      <c r="R393" s="192"/>
      <c r="S393" s="192"/>
      <c r="T393" s="193"/>
      <c r="U393" s="114" t="s">
        <v>2544</v>
      </c>
      <c r="V393" s="184" t="s">
        <v>3067</v>
      </c>
      <c r="W393" s="142"/>
      <c r="X393" s="142"/>
      <c r="Y393" s="143"/>
      <c r="Z393" s="144"/>
      <c r="AA393" s="143"/>
      <c r="AB393" s="144"/>
      <c r="AC393" s="143"/>
      <c r="AD393" s="143"/>
      <c r="AE393" s="143"/>
      <c r="AF393" s="143"/>
      <c r="AG393" s="144"/>
      <c r="AH393" s="143"/>
      <c r="AI393" s="143"/>
    </row>
    <row r="394" spans="1:35" s="112" customFormat="1" ht="24.95" customHeight="1" x14ac:dyDescent="0.2">
      <c r="A394" s="137">
        <v>301</v>
      </c>
      <c r="B394" s="220" t="s">
        <v>2285</v>
      </c>
      <c r="C394" s="222" t="s">
        <v>2297</v>
      </c>
      <c r="D394" s="222" t="s">
        <v>2310</v>
      </c>
      <c r="E394" s="137" t="s">
        <v>1369</v>
      </c>
      <c r="F394" s="131">
        <v>3</v>
      </c>
      <c r="G394" s="145" t="s">
        <v>2306</v>
      </c>
      <c r="H394" s="145"/>
      <c r="I394" s="191" t="s">
        <v>1442</v>
      </c>
      <c r="J394" s="145"/>
      <c r="K394" s="145"/>
      <c r="L394" s="131"/>
      <c r="M394" s="138"/>
      <c r="N394" s="192"/>
      <c r="O394" s="193"/>
      <c r="P394" s="192"/>
      <c r="Q394" s="192"/>
      <c r="R394" s="192"/>
      <c r="S394" s="192"/>
      <c r="T394" s="193"/>
      <c r="U394" s="114" t="s">
        <v>2544</v>
      </c>
      <c r="V394" s="184" t="s">
        <v>3067</v>
      </c>
      <c r="W394" s="142"/>
      <c r="X394" s="142"/>
      <c r="Y394" s="143"/>
      <c r="Z394" s="144"/>
      <c r="AA394" s="143"/>
      <c r="AB394" s="144"/>
      <c r="AC394" s="143"/>
      <c r="AD394" s="143"/>
      <c r="AE394" s="143"/>
      <c r="AF394" s="143"/>
      <c r="AG394" s="144"/>
      <c r="AH394" s="143"/>
      <c r="AI394" s="143"/>
    </row>
    <row r="395" spans="1:35" s="112" customFormat="1" ht="24.95" customHeight="1" x14ac:dyDescent="0.2">
      <c r="A395" s="137">
        <v>302</v>
      </c>
      <c r="B395" s="220" t="s">
        <v>2283</v>
      </c>
      <c r="C395" s="222" t="s">
        <v>2298</v>
      </c>
      <c r="D395" s="222" t="s">
        <v>2311</v>
      </c>
      <c r="E395" s="137" t="s">
        <v>1369</v>
      </c>
      <c r="F395" s="131">
        <v>3</v>
      </c>
      <c r="G395" s="145" t="s">
        <v>2306</v>
      </c>
      <c r="H395" s="145"/>
      <c r="I395" s="191" t="s">
        <v>1442</v>
      </c>
      <c r="J395" s="145"/>
      <c r="K395" s="145"/>
      <c r="L395" s="131"/>
      <c r="M395" s="138"/>
      <c r="N395" s="192"/>
      <c r="O395" s="193"/>
      <c r="P395" s="192"/>
      <c r="Q395" s="192"/>
      <c r="R395" s="192"/>
      <c r="S395" s="192"/>
      <c r="T395" s="193"/>
      <c r="U395" s="114" t="s">
        <v>2544</v>
      </c>
      <c r="V395" s="184" t="s">
        <v>3067</v>
      </c>
      <c r="W395" s="142"/>
      <c r="X395" s="142"/>
      <c r="Y395" s="143"/>
      <c r="Z395" s="144"/>
      <c r="AA395" s="143"/>
      <c r="AB395" s="144"/>
      <c r="AC395" s="143"/>
      <c r="AD395" s="143"/>
      <c r="AE395" s="143"/>
      <c r="AF395" s="143"/>
      <c r="AG395" s="144"/>
      <c r="AH395" s="143"/>
      <c r="AI395" s="143"/>
    </row>
    <row r="396" spans="1:35" s="112" customFormat="1" ht="24.95" customHeight="1" x14ac:dyDescent="0.2">
      <c r="A396" s="137">
        <v>303</v>
      </c>
      <c r="B396" s="220" t="s">
        <v>2286</v>
      </c>
      <c r="C396" s="222" t="s">
        <v>2299</v>
      </c>
      <c r="D396" s="222" t="s">
        <v>2312</v>
      </c>
      <c r="E396" s="137" t="s">
        <v>1369</v>
      </c>
      <c r="F396" s="131">
        <v>3</v>
      </c>
      <c r="G396" s="145" t="s">
        <v>2306</v>
      </c>
      <c r="H396" s="145"/>
      <c r="I396" s="191" t="s">
        <v>1442</v>
      </c>
      <c r="J396" s="145"/>
      <c r="K396" s="145"/>
      <c r="L396" s="131"/>
      <c r="M396" s="138"/>
      <c r="N396" s="192"/>
      <c r="O396" s="193"/>
      <c r="P396" s="192"/>
      <c r="Q396" s="192"/>
      <c r="R396" s="192"/>
      <c r="S396" s="192"/>
      <c r="T396" s="193"/>
      <c r="U396" s="114" t="s">
        <v>2544</v>
      </c>
      <c r="V396" s="184" t="s">
        <v>3067</v>
      </c>
      <c r="W396" s="142"/>
      <c r="X396" s="142"/>
      <c r="Y396" s="143"/>
      <c r="Z396" s="144"/>
      <c r="AA396" s="143"/>
      <c r="AB396" s="144"/>
      <c r="AC396" s="143"/>
      <c r="AD396" s="143"/>
      <c r="AE396" s="143"/>
      <c r="AF396" s="143"/>
      <c r="AG396" s="144"/>
      <c r="AH396" s="143"/>
      <c r="AI396" s="143"/>
    </row>
    <row r="397" spans="1:35" s="112" customFormat="1" ht="24.95" customHeight="1" x14ac:dyDescent="0.2">
      <c r="A397" s="137">
        <v>304</v>
      </c>
      <c r="B397" s="220" t="s">
        <v>2287</v>
      </c>
      <c r="C397" s="222" t="s">
        <v>2300</v>
      </c>
      <c r="D397" s="222" t="s">
        <v>2313</v>
      </c>
      <c r="E397" s="137" t="s">
        <v>1369</v>
      </c>
      <c r="F397" s="131">
        <v>3</v>
      </c>
      <c r="G397" s="145" t="s">
        <v>2306</v>
      </c>
      <c r="H397" s="145"/>
      <c r="I397" s="191" t="s">
        <v>1442</v>
      </c>
      <c r="J397" s="145"/>
      <c r="K397" s="145"/>
      <c r="L397" s="131"/>
      <c r="M397" s="138"/>
      <c r="N397" s="192"/>
      <c r="O397" s="193"/>
      <c r="P397" s="192"/>
      <c r="Q397" s="192"/>
      <c r="R397" s="192"/>
      <c r="S397" s="192"/>
      <c r="T397" s="193"/>
      <c r="U397" s="114" t="s">
        <v>2544</v>
      </c>
      <c r="V397" s="184" t="s">
        <v>3067</v>
      </c>
      <c r="W397" s="142"/>
      <c r="X397" s="142"/>
      <c r="Y397" s="143"/>
      <c r="Z397" s="144"/>
      <c r="AA397" s="143"/>
      <c r="AB397" s="144"/>
      <c r="AC397" s="143"/>
      <c r="AD397" s="143"/>
      <c r="AE397" s="143"/>
      <c r="AF397" s="143"/>
      <c r="AG397" s="144"/>
      <c r="AH397" s="143"/>
      <c r="AI397" s="143"/>
    </row>
    <row r="398" spans="1:35" s="112" customFormat="1" ht="24.95" customHeight="1" x14ac:dyDescent="0.2">
      <c r="A398" s="137">
        <v>305</v>
      </c>
      <c r="B398" s="220" t="s">
        <v>2288</v>
      </c>
      <c r="C398" s="222" t="s">
        <v>2301</v>
      </c>
      <c r="D398" s="222" t="s">
        <v>2314</v>
      </c>
      <c r="E398" s="137" t="s">
        <v>1369</v>
      </c>
      <c r="F398" s="131">
        <v>3</v>
      </c>
      <c r="G398" s="145" t="s">
        <v>2306</v>
      </c>
      <c r="H398" s="145"/>
      <c r="I398" s="191" t="s">
        <v>1442</v>
      </c>
      <c r="J398" s="145"/>
      <c r="K398" s="145"/>
      <c r="L398" s="131"/>
      <c r="M398" s="138"/>
      <c r="N398" s="192"/>
      <c r="O398" s="193"/>
      <c r="P398" s="192"/>
      <c r="Q398" s="192"/>
      <c r="R398" s="192"/>
      <c r="S398" s="192"/>
      <c r="T398" s="193"/>
      <c r="U398" s="114" t="s">
        <v>2544</v>
      </c>
      <c r="V398" s="184" t="s">
        <v>3067</v>
      </c>
      <c r="W398" s="142"/>
      <c r="X398" s="142"/>
      <c r="Y398" s="143"/>
      <c r="Z398" s="144"/>
      <c r="AA398" s="143"/>
      <c r="AB398" s="144"/>
      <c r="AC398" s="143"/>
      <c r="AD398" s="143"/>
      <c r="AE398" s="143"/>
      <c r="AF398" s="143"/>
      <c r="AG398" s="144"/>
      <c r="AH398" s="143"/>
      <c r="AI398" s="143"/>
    </row>
    <row r="399" spans="1:35" s="112" customFormat="1" ht="24.95" customHeight="1" x14ac:dyDescent="0.2">
      <c r="A399" s="137">
        <v>306</v>
      </c>
      <c r="B399" s="220" t="s">
        <v>2289</v>
      </c>
      <c r="C399" s="222" t="s">
        <v>2302</v>
      </c>
      <c r="D399" s="222" t="s">
        <v>2315</v>
      </c>
      <c r="E399" s="137" t="s">
        <v>1369</v>
      </c>
      <c r="F399" s="131">
        <v>3</v>
      </c>
      <c r="G399" s="145" t="s">
        <v>2306</v>
      </c>
      <c r="H399" s="145"/>
      <c r="I399" s="191" t="s">
        <v>1442</v>
      </c>
      <c r="J399" s="145"/>
      <c r="K399" s="145"/>
      <c r="L399" s="131"/>
      <c r="M399" s="138"/>
      <c r="N399" s="192"/>
      <c r="O399" s="193"/>
      <c r="P399" s="192"/>
      <c r="Q399" s="192"/>
      <c r="R399" s="192"/>
      <c r="S399" s="192"/>
      <c r="T399" s="193"/>
      <c r="U399" s="114" t="s">
        <v>2544</v>
      </c>
      <c r="V399" s="184" t="s">
        <v>3067</v>
      </c>
      <c r="W399" s="142"/>
      <c r="X399" s="142"/>
      <c r="Y399" s="143"/>
      <c r="Z399" s="144"/>
      <c r="AA399" s="143"/>
      <c r="AB399" s="144"/>
      <c r="AC399" s="143"/>
      <c r="AD399" s="143"/>
      <c r="AE399" s="143"/>
      <c r="AF399" s="143"/>
      <c r="AG399" s="144"/>
      <c r="AH399" s="143"/>
      <c r="AI399" s="143"/>
    </row>
    <row r="400" spans="1:35" s="112" customFormat="1" ht="24.95" customHeight="1" x14ac:dyDescent="0.2">
      <c r="A400" s="137">
        <v>307</v>
      </c>
      <c r="B400" s="220" t="s">
        <v>2290</v>
      </c>
      <c r="C400" s="222" t="s">
        <v>2303</v>
      </c>
      <c r="D400" s="222" t="s">
        <v>2316</v>
      </c>
      <c r="E400" s="137" t="s">
        <v>1369</v>
      </c>
      <c r="F400" s="131">
        <v>3</v>
      </c>
      <c r="G400" s="145" t="s">
        <v>2306</v>
      </c>
      <c r="H400" s="145"/>
      <c r="I400" s="191" t="s">
        <v>1442</v>
      </c>
      <c r="J400" s="145"/>
      <c r="K400" s="145"/>
      <c r="L400" s="131"/>
      <c r="M400" s="138"/>
      <c r="N400" s="192"/>
      <c r="O400" s="193"/>
      <c r="P400" s="192"/>
      <c r="Q400" s="192"/>
      <c r="R400" s="192"/>
      <c r="S400" s="192"/>
      <c r="T400" s="193"/>
      <c r="U400" s="114" t="s">
        <v>2544</v>
      </c>
      <c r="V400" s="184" t="s">
        <v>3067</v>
      </c>
      <c r="W400" s="142"/>
      <c r="X400" s="142"/>
      <c r="Y400" s="143"/>
      <c r="Z400" s="144"/>
      <c r="AA400" s="143"/>
      <c r="AB400" s="144"/>
      <c r="AC400" s="143"/>
      <c r="AD400" s="143"/>
      <c r="AE400" s="143"/>
      <c r="AF400" s="143"/>
      <c r="AG400" s="144"/>
      <c r="AH400" s="143"/>
      <c r="AI400" s="143"/>
    </row>
    <row r="401" spans="1:35" s="112" customFormat="1" ht="24.95" customHeight="1" x14ac:dyDescent="0.2">
      <c r="A401" s="137">
        <v>308</v>
      </c>
      <c r="B401" s="220" t="s">
        <v>2291</v>
      </c>
      <c r="C401" s="222" t="s">
        <v>2304</v>
      </c>
      <c r="D401" s="222" t="s">
        <v>2317</v>
      </c>
      <c r="E401" s="137" t="s">
        <v>1369</v>
      </c>
      <c r="F401" s="131">
        <v>3</v>
      </c>
      <c r="G401" s="145" t="s">
        <v>2306</v>
      </c>
      <c r="H401" s="145"/>
      <c r="I401" s="191" t="s">
        <v>1442</v>
      </c>
      <c r="J401" s="145"/>
      <c r="K401" s="145"/>
      <c r="L401" s="131"/>
      <c r="M401" s="138"/>
      <c r="N401" s="192"/>
      <c r="O401" s="193"/>
      <c r="P401" s="192"/>
      <c r="Q401" s="192"/>
      <c r="R401" s="192"/>
      <c r="S401" s="192"/>
      <c r="T401" s="193"/>
      <c r="U401" s="114" t="s">
        <v>2544</v>
      </c>
      <c r="V401" s="184" t="s">
        <v>3067</v>
      </c>
      <c r="W401" s="142"/>
      <c r="X401" s="142"/>
      <c r="Y401" s="143"/>
      <c r="Z401" s="144"/>
      <c r="AA401" s="143"/>
      <c r="AB401" s="144"/>
      <c r="AC401" s="143"/>
      <c r="AD401" s="143"/>
      <c r="AE401" s="143"/>
      <c r="AF401" s="143"/>
      <c r="AG401" s="144"/>
      <c r="AH401" s="143"/>
      <c r="AI401" s="143"/>
    </row>
    <row r="402" spans="1:35" s="112" customFormat="1" ht="24.95" customHeight="1" x14ac:dyDescent="0.2">
      <c r="A402" s="137">
        <v>309</v>
      </c>
      <c r="B402" s="220" t="s">
        <v>2292</v>
      </c>
      <c r="C402" s="222" t="s">
        <v>2305</v>
      </c>
      <c r="D402" s="222" t="s">
        <v>2318</v>
      </c>
      <c r="E402" s="137" t="s">
        <v>1369</v>
      </c>
      <c r="F402" s="131">
        <v>3</v>
      </c>
      <c r="G402" s="145" t="s">
        <v>2306</v>
      </c>
      <c r="H402" s="145"/>
      <c r="I402" s="191" t="s">
        <v>1442</v>
      </c>
      <c r="J402" s="145"/>
      <c r="K402" s="145"/>
      <c r="L402" s="131"/>
      <c r="M402" s="138"/>
      <c r="N402" s="192"/>
      <c r="O402" s="193"/>
      <c r="P402" s="192"/>
      <c r="Q402" s="192"/>
      <c r="R402" s="192"/>
      <c r="S402" s="192"/>
      <c r="T402" s="193"/>
      <c r="U402" s="114" t="s">
        <v>2544</v>
      </c>
      <c r="V402" s="184" t="s">
        <v>3067</v>
      </c>
      <c r="W402" s="142"/>
      <c r="X402" s="142"/>
      <c r="Y402" s="143"/>
      <c r="Z402" s="144"/>
      <c r="AA402" s="143"/>
      <c r="AB402" s="144"/>
      <c r="AC402" s="143"/>
      <c r="AD402" s="143"/>
      <c r="AE402" s="143"/>
      <c r="AF402" s="143"/>
      <c r="AG402" s="144"/>
      <c r="AH402" s="143"/>
      <c r="AI402" s="143"/>
    </row>
    <row r="403" spans="1:35" s="112" customFormat="1" ht="24.95" customHeight="1" x14ac:dyDescent="0.2">
      <c r="A403" s="137">
        <v>310</v>
      </c>
      <c r="B403" s="500" t="s">
        <v>2415</v>
      </c>
      <c r="C403" s="500" t="s">
        <v>2416</v>
      </c>
      <c r="D403" s="500" t="s">
        <v>2417</v>
      </c>
      <c r="E403" s="46" t="s">
        <v>1369</v>
      </c>
      <c r="F403" s="131">
        <v>3</v>
      </c>
      <c r="G403" s="145" t="s">
        <v>2418</v>
      </c>
      <c r="H403" s="145"/>
      <c r="I403" s="191" t="s">
        <v>1442</v>
      </c>
      <c r="J403" s="61" t="s">
        <v>2421</v>
      </c>
      <c r="K403" s="99">
        <v>42173</v>
      </c>
      <c r="L403" s="17" t="s">
        <v>2422</v>
      </c>
      <c r="M403" s="104">
        <v>42176</v>
      </c>
      <c r="N403" s="46" t="s">
        <v>2443</v>
      </c>
      <c r="O403" s="138">
        <v>42180</v>
      </c>
      <c r="P403" s="131">
        <v>2</v>
      </c>
      <c r="Q403" s="131" t="s">
        <v>2425</v>
      </c>
      <c r="R403" s="104">
        <v>42176</v>
      </c>
      <c r="S403" s="46" t="s">
        <v>2435</v>
      </c>
      <c r="T403" s="138">
        <v>42177</v>
      </c>
      <c r="U403" s="131" t="s">
        <v>1369</v>
      </c>
      <c r="V403" s="184" t="s">
        <v>1442</v>
      </c>
      <c r="W403" s="142"/>
      <c r="X403" s="142"/>
      <c r="Y403" s="143"/>
      <c r="Z403" s="144"/>
      <c r="AA403" s="143"/>
      <c r="AB403" s="144"/>
      <c r="AC403" s="143"/>
      <c r="AD403" s="143"/>
      <c r="AE403" s="143"/>
      <c r="AF403" s="143"/>
      <c r="AG403" s="144"/>
      <c r="AH403" s="143"/>
      <c r="AI403" s="143"/>
    </row>
    <row r="404" spans="1:35" s="112" customFormat="1" ht="24.95" customHeight="1" x14ac:dyDescent="0.2">
      <c r="A404" s="137"/>
      <c r="B404" s="501"/>
      <c r="C404" s="501"/>
      <c r="D404" s="501"/>
      <c r="E404" s="46" t="s">
        <v>3124</v>
      </c>
      <c r="F404" s="131" t="s">
        <v>1442</v>
      </c>
      <c r="G404" s="145" t="s">
        <v>1442</v>
      </c>
      <c r="H404" s="145" t="s">
        <v>1442</v>
      </c>
      <c r="I404" s="191" t="s">
        <v>1442</v>
      </c>
      <c r="J404" s="61" t="s">
        <v>3126</v>
      </c>
      <c r="K404" s="99" t="s">
        <v>3127</v>
      </c>
      <c r="L404" s="17" t="s">
        <v>3125</v>
      </c>
      <c r="M404" s="104">
        <v>42347</v>
      </c>
      <c r="N404" s="46" t="s">
        <v>3180</v>
      </c>
      <c r="O404" s="138">
        <v>42372</v>
      </c>
      <c r="P404" s="131">
        <v>1</v>
      </c>
      <c r="Q404" s="131" t="s">
        <v>3155</v>
      </c>
      <c r="R404" s="104">
        <v>42355</v>
      </c>
      <c r="S404" s="46"/>
      <c r="T404" s="138"/>
      <c r="U404" s="131"/>
      <c r="V404" s="184" t="s">
        <v>1442</v>
      </c>
      <c r="W404" s="142"/>
      <c r="X404" s="142"/>
      <c r="Y404" s="143"/>
      <c r="Z404" s="144"/>
      <c r="AA404" s="143"/>
      <c r="AB404" s="144"/>
      <c r="AC404" s="143"/>
      <c r="AD404" s="143"/>
      <c r="AE404" s="143"/>
      <c r="AF404" s="143"/>
      <c r="AG404" s="144"/>
      <c r="AH404" s="143"/>
      <c r="AI404" s="143"/>
    </row>
    <row r="405" spans="1:35" s="112" customFormat="1" ht="24.95" customHeight="1" x14ac:dyDescent="0.2">
      <c r="A405" s="137">
        <v>311</v>
      </c>
      <c r="B405" s="288" t="s">
        <v>2514</v>
      </c>
      <c r="C405" s="282" t="s">
        <v>2515</v>
      </c>
      <c r="D405" s="280" t="s">
        <v>2516</v>
      </c>
      <c r="E405" s="46" t="s">
        <v>1369</v>
      </c>
      <c r="F405" s="131">
        <v>3</v>
      </c>
      <c r="G405" s="145" t="s">
        <v>2271</v>
      </c>
      <c r="H405" s="145"/>
      <c r="I405" s="191" t="s">
        <v>1442</v>
      </c>
      <c r="J405" s="61" t="s">
        <v>2324</v>
      </c>
      <c r="K405" s="145">
        <v>42199</v>
      </c>
      <c r="L405" s="17" t="s">
        <v>2517</v>
      </c>
      <c r="M405" s="145">
        <v>42200</v>
      </c>
      <c r="N405" s="46" t="s">
        <v>2575</v>
      </c>
      <c r="O405" s="138">
        <v>42220</v>
      </c>
      <c r="P405" s="131">
        <v>2</v>
      </c>
      <c r="Q405" s="246" t="s">
        <v>2529</v>
      </c>
      <c r="R405" s="104">
        <v>42204</v>
      </c>
      <c r="S405" s="192"/>
      <c r="T405" s="193"/>
      <c r="U405" s="192"/>
      <c r="V405" s="106" t="s">
        <v>3066</v>
      </c>
      <c r="W405" s="142"/>
      <c r="X405" s="142"/>
      <c r="Y405" s="143"/>
      <c r="Z405" s="144"/>
      <c r="AA405" s="143"/>
      <c r="AB405" s="144"/>
      <c r="AC405" s="143"/>
      <c r="AD405" s="143"/>
      <c r="AE405" s="143"/>
      <c r="AF405" s="143"/>
      <c r="AG405" s="144"/>
      <c r="AH405" s="143"/>
      <c r="AI405" s="143"/>
    </row>
    <row r="406" spans="1:35" s="112" customFormat="1" ht="24.95" customHeight="1" x14ac:dyDescent="0.2">
      <c r="A406" s="137">
        <v>312</v>
      </c>
      <c r="B406" s="195" t="s">
        <v>2556</v>
      </c>
      <c r="C406" s="249" t="s">
        <v>2557</v>
      </c>
      <c r="D406" s="248" t="s">
        <v>2558</v>
      </c>
      <c r="E406" s="46" t="s">
        <v>1369</v>
      </c>
      <c r="F406" s="131">
        <v>3</v>
      </c>
      <c r="G406" s="145" t="s">
        <v>2306</v>
      </c>
      <c r="H406" s="145"/>
      <c r="I406" s="191" t="s">
        <v>1442</v>
      </c>
      <c r="J406" s="61" t="s">
        <v>2561</v>
      </c>
      <c r="K406" s="145">
        <v>42213</v>
      </c>
      <c r="L406" s="17" t="s">
        <v>2562</v>
      </c>
      <c r="M406" s="145">
        <v>42214</v>
      </c>
      <c r="N406" s="192"/>
      <c r="O406" s="193"/>
      <c r="P406" s="192"/>
      <c r="Q406" s="246" t="s">
        <v>2563</v>
      </c>
      <c r="R406" s="104">
        <v>42214</v>
      </c>
      <c r="S406" s="192"/>
      <c r="T406" s="193"/>
      <c r="U406" s="192"/>
      <c r="V406" s="184" t="s">
        <v>3067</v>
      </c>
      <c r="W406" s="142"/>
      <c r="X406" s="142"/>
      <c r="Y406" s="143"/>
      <c r="Z406" s="144"/>
      <c r="AA406" s="143"/>
      <c r="AB406" s="144"/>
      <c r="AC406" s="143"/>
      <c r="AD406" s="143"/>
      <c r="AE406" s="143"/>
      <c r="AF406" s="143"/>
      <c r="AG406" s="144"/>
      <c r="AH406" s="143"/>
      <c r="AI406" s="143"/>
    </row>
    <row r="407" spans="1:35" s="112" customFormat="1" ht="24.95" customHeight="1" x14ac:dyDescent="0.2">
      <c r="A407" s="137">
        <v>313</v>
      </c>
      <c r="B407" s="195" t="s">
        <v>2566</v>
      </c>
      <c r="C407" s="249" t="s">
        <v>2567</v>
      </c>
      <c r="D407" s="248" t="s">
        <v>2568</v>
      </c>
      <c r="E407" s="46" t="s">
        <v>1369</v>
      </c>
      <c r="F407" s="131">
        <v>3</v>
      </c>
      <c r="G407" s="145" t="s">
        <v>2306</v>
      </c>
      <c r="H407" s="145"/>
      <c r="I407" s="191" t="s">
        <v>1442</v>
      </c>
      <c r="J407" s="61" t="s">
        <v>2569</v>
      </c>
      <c r="K407" s="145">
        <v>42215</v>
      </c>
      <c r="L407" s="17" t="s">
        <v>2570</v>
      </c>
      <c r="M407" s="145">
        <v>42215</v>
      </c>
      <c r="N407" s="46"/>
      <c r="O407" s="193"/>
      <c r="P407" s="192"/>
      <c r="Q407" s="246" t="s">
        <v>2571</v>
      </c>
      <c r="R407" s="104">
        <v>42215</v>
      </c>
      <c r="S407" s="192"/>
      <c r="T407" s="193"/>
      <c r="U407" s="192"/>
      <c r="V407" s="184" t="s">
        <v>3067</v>
      </c>
      <c r="W407" s="142"/>
      <c r="X407" s="142"/>
      <c r="Y407" s="143"/>
      <c r="Z407" s="144"/>
      <c r="AA407" s="143"/>
      <c r="AB407" s="144"/>
      <c r="AC407" s="143"/>
      <c r="AD407" s="143"/>
      <c r="AE407" s="143"/>
      <c r="AF407" s="143"/>
      <c r="AG407" s="144"/>
      <c r="AH407" s="143"/>
      <c r="AI407" s="143"/>
    </row>
    <row r="408" spans="1:35" s="112" customFormat="1" ht="24.95" customHeight="1" x14ac:dyDescent="0.2">
      <c r="A408" s="137">
        <v>314</v>
      </c>
      <c r="B408" s="270" t="s">
        <v>2854</v>
      </c>
      <c r="C408" s="255" t="s">
        <v>2852</v>
      </c>
      <c r="D408" s="255" t="s">
        <v>2853</v>
      </c>
      <c r="E408" s="46" t="s">
        <v>1369</v>
      </c>
      <c r="F408" s="131" t="s">
        <v>1442</v>
      </c>
      <c r="G408" s="271" t="s">
        <v>2306</v>
      </c>
      <c r="H408" s="145"/>
      <c r="I408" s="191" t="s">
        <v>1442</v>
      </c>
      <c r="J408" s="61" t="s">
        <v>2855</v>
      </c>
      <c r="K408" s="145">
        <v>42255</v>
      </c>
      <c r="L408" s="17" t="s">
        <v>2856</v>
      </c>
      <c r="M408" s="18">
        <v>42256</v>
      </c>
      <c r="N408" s="46" t="s">
        <v>2931</v>
      </c>
      <c r="O408" s="104">
        <v>42262</v>
      </c>
      <c r="P408" s="114">
        <v>1</v>
      </c>
      <c r="Q408" s="114" t="s">
        <v>2887</v>
      </c>
      <c r="R408" s="62">
        <v>42257</v>
      </c>
      <c r="S408" s="46" t="s">
        <v>2925</v>
      </c>
      <c r="T408" s="138">
        <v>42262</v>
      </c>
      <c r="U408" s="131" t="s">
        <v>1369</v>
      </c>
      <c r="V408" s="184" t="s">
        <v>1442</v>
      </c>
      <c r="W408" s="142"/>
      <c r="X408" s="142"/>
      <c r="Y408" s="143"/>
      <c r="Z408" s="144"/>
      <c r="AA408" s="143"/>
      <c r="AB408" s="144"/>
      <c r="AC408" s="143"/>
      <c r="AD408" s="143"/>
      <c r="AE408" s="143"/>
      <c r="AF408" s="143"/>
      <c r="AG408" s="144"/>
      <c r="AH408" s="143"/>
      <c r="AI408" s="143"/>
    </row>
    <row r="409" spans="1:35" s="112" customFormat="1" ht="24.95" customHeight="1" x14ac:dyDescent="0.2">
      <c r="A409" s="503">
        <v>315</v>
      </c>
      <c r="B409" s="500" t="s">
        <v>2863</v>
      </c>
      <c r="C409" s="500" t="s">
        <v>2864</v>
      </c>
      <c r="D409" s="500" t="s">
        <v>2865</v>
      </c>
      <c r="E409" s="46" t="s">
        <v>1369</v>
      </c>
      <c r="F409" s="131"/>
      <c r="G409" s="145"/>
      <c r="H409" s="145"/>
      <c r="I409" s="191"/>
      <c r="J409" s="272" t="s">
        <v>2892</v>
      </c>
      <c r="K409" s="275">
        <v>42260</v>
      </c>
      <c r="L409" s="114" t="s">
        <v>2895</v>
      </c>
      <c r="M409" s="104">
        <v>42261</v>
      </c>
      <c r="N409" s="192"/>
      <c r="O409" s="193"/>
      <c r="P409" s="192"/>
      <c r="Q409" s="17" t="s">
        <v>2919</v>
      </c>
      <c r="R409" s="18">
        <v>42262</v>
      </c>
      <c r="S409" s="289" t="s">
        <v>2991</v>
      </c>
      <c r="T409" s="104">
        <v>42267</v>
      </c>
      <c r="U409" s="114" t="s">
        <v>1369</v>
      </c>
      <c r="V409" s="106" t="s">
        <v>1621</v>
      </c>
      <c r="W409" s="142"/>
      <c r="X409" s="142"/>
      <c r="Y409" s="143"/>
      <c r="Z409" s="144"/>
      <c r="AA409" s="143"/>
      <c r="AB409" s="144"/>
      <c r="AC409" s="143"/>
      <c r="AD409" s="143"/>
      <c r="AE409" s="143"/>
      <c r="AF409" s="143"/>
      <c r="AG409" s="144"/>
      <c r="AH409" s="143"/>
      <c r="AI409" s="143"/>
    </row>
    <row r="410" spans="1:35" s="112" customFormat="1" ht="24.95" customHeight="1" x14ac:dyDescent="0.2">
      <c r="A410" s="504"/>
      <c r="B410" s="501"/>
      <c r="C410" s="501"/>
      <c r="D410" s="501"/>
      <c r="E410" s="290" t="s">
        <v>1432</v>
      </c>
      <c r="F410" s="131"/>
      <c r="G410" s="145"/>
      <c r="H410" s="145"/>
      <c r="I410" s="191"/>
      <c r="J410" s="272" t="s">
        <v>2983</v>
      </c>
      <c r="K410" s="274">
        <v>42285</v>
      </c>
      <c r="L410" s="114" t="s">
        <v>2984</v>
      </c>
      <c r="M410" s="104">
        <v>42289</v>
      </c>
      <c r="N410" s="289" t="s">
        <v>3046</v>
      </c>
      <c r="O410" s="104">
        <v>42290</v>
      </c>
      <c r="P410" s="114">
        <v>1</v>
      </c>
      <c r="Q410" s="17" t="s">
        <v>3044</v>
      </c>
      <c r="R410" s="18">
        <v>42285</v>
      </c>
      <c r="S410" s="192"/>
      <c r="T410" s="193"/>
      <c r="U410" s="294" t="s">
        <v>3057</v>
      </c>
      <c r="V410" s="184" t="s">
        <v>1552</v>
      </c>
      <c r="W410" s="142"/>
      <c r="X410" s="142"/>
      <c r="Y410" s="143"/>
      <c r="Z410" s="144"/>
      <c r="AA410" s="143"/>
      <c r="AB410" s="144"/>
      <c r="AC410" s="143"/>
      <c r="AD410" s="143"/>
      <c r="AE410" s="143"/>
      <c r="AF410" s="143"/>
      <c r="AG410" s="144"/>
      <c r="AH410" s="143"/>
      <c r="AI410" s="143"/>
    </row>
    <row r="411" spans="1:35" s="112" customFormat="1" ht="24.95" customHeight="1" x14ac:dyDescent="0.2">
      <c r="A411" s="503">
        <v>316</v>
      </c>
      <c r="B411" s="506" t="s">
        <v>2949</v>
      </c>
      <c r="C411" s="500" t="s">
        <v>2933</v>
      </c>
      <c r="D411" s="500" t="s">
        <v>2934</v>
      </c>
      <c r="E411" s="46" t="s">
        <v>1369</v>
      </c>
      <c r="F411" s="131" t="s">
        <v>1442</v>
      </c>
      <c r="G411" s="145" t="s">
        <v>1442</v>
      </c>
      <c r="H411" s="145"/>
      <c r="I411" s="191"/>
      <c r="J411" s="61" t="s">
        <v>2946</v>
      </c>
      <c r="K411" s="99">
        <v>42264</v>
      </c>
      <c r="L411" s="114" t="s">
        <v>2947</v>
      </c>
      <c r="M411" s="104">
        <v>42267</v>
      </c>
      <c r="N411" s="133" t="s">
        <v>3037</v>
      </c>
      <c r="O411" s="104">
        <v>42281</v>
      </c>
      <c r="P411" s="114">
        <v>2</v>
      </c>
      <c r="Q411" s="114" t="s">
        <v>3015</v>
      </c>
      <c r="R411" s="18">
        <v>42268</v>
      </c>
      <c r="S411" s="192"/>
      <c r="T411" s="193"/>
      <c r="U411" s="192"/>
      <c r="V411" s="184" t="s">
        <v>1552</v>
      </c>
      <c r="W411" s="142"/>
      <c r="X411" s="142"/>
      <c r="Y411" s="143"/>
      <c r="Z411" s="144"/>
      <c r="AA411" s="143"/>
      <c r="AB411" s="144"/>
      <c r="AC411" s="143"/>
      <c r="AD411" s="143"/>
      <c r="AE411" s="143"/>
      <c r="AF411" s="143"/>
      <c r="AG411" s="144"/>
      <c r="AH411" s="143"/>
      <c r="AI411" s="143"/>
    </row>
    <row r="412" spans="1:35" s="112" customFormat="1" ht="24.95" customHeight="1" x14ac:dyDescent="0.2">
      <c r="A412" s="505"/>
      <c r="B412" s="507"/>
      <c r="C412" s="509"/>
      <c r="D412" s="509"/>
      <c r="E412" s="46">
        <v>0</v>
      </c>
      <c r="F412" s="131"/>
      <c r="G412" s="145"/>
      <c r="H412" s="145"/>
      <c r="I412" s="191"/>
      <c r="J412" s="61" t="s">
        <v>2978</v>
      </c>
      <c r="K412" s="99">
        <v>42276</v>
      </c>
      <c r="L412" s="114" t="s">
        <v>2967</v>
      </c>
      <c r="M412" s="104">
        <v>42277</v>
      </c>
      <c r="N412" s="133" t="s">
        <v>3041</v>
      </c>
      <c r="O412" s="104">
        <v>42281</v>
      </c>
      <c r="P412" s="114">
        <v>2</v>
      </c>
      <c r="Q412" s="131" t="s">
        <v>3034</v>
      </c>
      <c r="R412" s="62">
        <v>42278</v>
      </c>
      <c r="S412" s="192"/>
      <c r="T412" s="193"/>
      <c r="U412" s="192"/>
      <c r="V412" s="184" t="s">
        <v>1552</v>
      </c>
      <c r="W412" s="142"/>
      <c r="X412" s="142"/>
      <c r="Y412" s="143"/>
      <c r="Z412" s="144"/>
      <c r="AA412" s="143"/>
      <c r="AB412" s="144"/>
      <c r="AC412" s="143"/>
      <c r="AD412" s="143"/>
      <c r="AE412" s="143"/>
      <c r="AF412" s="143"/>
      <c r="AG412" s="144"/>
      <c r="AH412" s="143"/>
      <c r="AI412" s="143"/>
    </row>
    <row r="413" spans="1:35" s="112" customFormat="1" ht="24.95" customHeight="1" x14ac:dyDescent="0.2">
      <c r="A413" s="505"/>
      <c r="B413" s="507"/>
      <c r="C413" s="509"/>
      <c r="D413" s="509"/>
      <c r="E413" s="46">
        <v>1</v>
      </c>
      <c r="F413" s="131"/>
      <c r="G413" s="145"/>
      <c r="H413" s="145"/>
      <c r="I413" s="191"/>
      <c r="J413" s="62" t="s">
        <v>2982</v>
      </c>
      <c r="K413" s="99">
        <v>42283</v>
      </c>
      <c r="L413" s="114" t="s">
        <v>2970</v>
      </c>
      <c r="M413" s="104">
        <v>42285</v>
      </c>
      <c r="N413" s="133" t="s">
        <v>3045</v>
      </c>
      <c r="O413" s="104">
        <v>42290</v>
      </c>
      <c r="P413" s="114">
        <v>2</v>
      </c>
      <c r="Q413" s="224" t="s">
        <v>2995</v>
      </c>
      <c r="R413" s="62">
        <v>42289</v>
      </c>
      <c r="S413" s="289" t="s">
        <v>2996</v>
      </c>
      <c r="T413" s="138">
        <v>42290</v>
      </c>
      <c r="U413" s="131" t="s">
        <v>1369</v>
      </c>
      <c r="V413" s="106" t="s">
        <v>1442</v>
      </c>
      <c r="W413" s="142"/>
      <c r="X413" s="142"/>
      <c r="Y413" s="143"/>
      <c r="Z413" s="144"/>
      <c r="AA413" s="143"/>
      <c r="AB413" s="144"/>
      <c r="AC413" s="143"/>
      <c r="AD413" s="143"/>
      <c r="AE413" s="143"/>
      <c r="AF413" s="143"/>
      <c r="AG413" s="144"/>
      <c r="AH413" s="143"/>
      <c r="AI413" s="143"/>
    </row>
    <row r="414" spans="1:35" s="112" customFormat="1" ht="24.95" customHeight="1" x14ac:dyDescent="0.2">
      <c r="A414" s="504"/>
      <c r="B414" s="508"/>
      <c r="C414" s="501"/>
      <c r="D414" s="501"/>
      <c r="E414" s="46">
        <v>2</v>
      </c>
      <c r="F414" s="131"/>
      <c r="G414" s="145"/>
      <c r="H414" s="145"/>
      <c r="I414" s="191"/>
      <c r="J414" s="62" t="s">
        <v>3061</v>
      </c>
      <c r="K414" s="99">
        <v>42330</v>
      </c>
      <c r="L414" s="114" t="s">
        <v>3062</v>
      </c>
      <c r="M414" s="104">
        <v>42331</v>
      </c>
      <c r="N414" s="133" t="s">
        <v>3091</v>
      </c>
      <c r="O414" s="104">
        <v>42333</v>
      </c>
      <c r="P414" s="114">
        <v>1</v>
      </c>
      <c r="Q414" s="224" t="s">
        <v>3069</v>
      </c>
      <c r="R414" s="62">
        <v>42332</v>
      </c>
      <c r="S414" s="289" t="s">
        <v>3136</v>
      </c>
      <c r="T414" s="138">
        <v>42351</v>
      </c>
      <c r="U414" s="131" t="s">
        <v>1369</v>
      </c>
      <c r="V414" s="184" t="s">
        <v>1442</v>
      </c>
      <c r="W414" s="142"/>
      <c r="X414" s="142"/>
      <c r="Y414" s="143"/>
      <c r="Z414" s="144"/>
      <c r="AA414" s="143"/>
      <c r="AB414" s="144"/>
      <c r="AC414" s="143"/>
      <c r="AD414" s="143"/>
      <c r="AE414" s="143"/>
      <c r="AF414" s="143"/>
      <c r="AG414" s="144"/>
      <c r="AH414" s="143"/>
      <c r="AI414" s="143"/>
    </row>
    <row r="415" spans="1:35" s="112" customFormat="1" ht="24.95" customHeight="1" x14ac:dyDescent="0.2">
      <c r="A415" s="137">
        <v>317</v>
      </c>
      <c r="B415" s="270" t="s">
        <v>2952</v>
      </c>
      <c r="C415" s="296" t="s">
        <v>2957</v>
      </c>
      <c r="D415" s="276" t="s">
        <v>2955</v>
      </c>
      <c r="E415" s="46" t="s">
        <v>1369</v>
      </c>
      <c r="F415" s="286" t="s">
        <v>2966</v>
      </c>
      <c r="G415" s="145" t="s">
        <v>2271</v>
      </c>
      <c r="H415" s="145"/>
      <c r="I415" s="191"/>
      <c r="J415" s="61" t="s">
        <v>2978</v>
      </c>
      <c r="K415" s="99">
        <v>42276</v>
      </c>
      <c r="L415" s="114" t="s">
        <v>2965</v>
      </c>
      <c r="M415" s="104">
        <v>42277</v>
      </c>
      <c r="N415" s="133" t="s">
        <v>3055</v>
      </c>
      <c r="O415" s="104">
        <v>42297</v>
      </c>
      <c r="P415" s="114">
        <v>1</v>
      </c>
      <c r="Q415" s="131" t="s">
        <v>3033</v>
      </c>
      <c r="R415" s="62">
        <v>42278</v>
      </c>
      <c r="S415" s="192"/>
      <c r="T415" s="193"/>
      <c r="U415" s="192"/>
      <c r="V415" s="184" t="s">
        <v>3068</v>
      </c>
      <c r="W415" s="142"/>
      <c r="X415" s="142"/>
      <c r="Y415" s="143"/>
      <c r="Z415" s="144"/>
      <c r="AA415" s="143"/>
      <c r="AB415" s="144"/>
      <c r="AC415" s="143"/>
      <c r="AD415" s="143"/>
      <c r="AE415" s="143"/>
      <c r="AF415" s="143"/>
      <c r="AG415" s="144"/>
      <c r="AH415" s="143"/>
      <c r="AI415" s="143"/>
    </row>
    <row r="416" spans="1:35" s="112" customFormat="1" ht="24.95" customHeight="1" x14ac:dyDescent="0.2">
      <c r="A416" s="137">
        <v>318</v>
      </c>
      <c r="B416" s="270" t="s">
        <v>2953</v>
      </c>
      <c r="C416" s="276" t="s">
        <v>2954</v>
      </c>
      <c r="D416" s="276" t="s">
        <v>2956</v>
      </c>
      <c r="E416" s="46" t="s">
        <v>1369</v>
      </c>
      <c r="F416" s="286" t="s">
        <v>2966</v>
      </c>
      <c r="G416" s="145" t="s">
        <v>2271</v>
      </c>
      <c r="H416" s="145"/>
      <c r="I416" s="191"/>
      <c r="J416" s="61" t="s">
        <v>2978</v>
      </c>
      <c r="K416" s="99">
        <v>42276</v>
      </c>
      <c r="L416" s="114" t="s">
        <v>2965</v>
      </c>
      <c r="M416" s="104">
        <v>42277</v>
      </c>
      <c r="N416" s="133" t="s">
        <v>3055</v>
      </c>
      <c r="O416" s="104">
        <v>42297</v>
      </c>
      <c r="P416" s="114">
        <v>1</v>
      </c>
      <c r="Q416" s="131" t="s">
        <v>3033</v>
      </c>
      <c r="R416" s="62">
        <v>42278</v>
      </c>
      <c r="S416" s="192"/>
      <c r="T416" s="193"/>
      <c r="U416" s="192"/>
      <c r="V416" s="184" t="s">
        <v>3068</v>
      </c>
      <c r="W416" s="142"/>
      <c r="X416" s="142"/>
      <c r="Y416" s="143"/>
      <c r="Z416" s="144"/>
      <c r="AA416" s="143"/>
      <c r="AB416" s="144"/>
      <c r="AC416" s="143"/>
      <c r="AD416" s="143"/>
      <c r="AE416" s="143"/>
      <c r="AF416" s="143"/>
      <c r="AG416" s="144"/>
      <c r="AH416" s="143"/>
      <c r="AI416" s="143"/>
    </row>
    <row r="417" spans="1:35" s="112" customFormat="1" ht="24.95" customHeight="1" x14ac:dyDescent="0.2">
      <c r="A417" s="503">
        <v>319</v>
      </c>
      <c r="B417" s="500" t="s">
        <v>3163</v>
      </c>
      <c r="C417" s="500" t="s">
        <v>3161</v>
      </c>
      <c r="D417" s="500" t="s">
        <v>3162</v>
      </c>
      <c r="E417" s="46" t="s">
        <v>1369</v>
      </c>
      <c r="F417" s="131"/>
      <c r="G417" s="145"/>
      <c r="H417" s="145"/>
      <c r="I417" s="191"/>
      <c r="J417" s="61" t="s">
        <v>3165</v>
      </c>
      <c r="K417" s="145" t="s">
        <v>3166</v>
      </c>
      <c r="L417" s="114" t="s">
        <v>3164</v>
      </c>
      <c r="M417" s="138">
        <v>42375</v>
      </c>
      <c r="N417" s="289" t="s">
        <v>3193</v>
      </c>
      <c r="O417" s="138">
        <v>42379</v>
      </c>
      <c r="P417" s="131">
        <v>2</v>
      </c>
      <c r="Q417" s="131" t="s">
        <v>3186</v>
      </c>
      <c r="R417" s="62">
        <v>42376</v>
      </c>
      <c r="S417" s="289" t="s">
        <v>3189</v>
      </c>
      <c r="T417" s="138">
        <v>42380</v>
      </c>
      <c r="U417" s="131" t="s">
        <v>1432</v>
      </c>
      <c r="V417" s="106" t="s">
        <v>3066</v>
      </c>
      <c r="W417" s="142"/>
      <c r="X417" s="142"/>
      <c r="Y417" s="143"/>
      <c r="Z417" s="144"/>
      <c r="AA417" s="143"/>
      <c r="AB417" s="144"/>
      <c r="AC417" s="143"/>
      <c r="AD417" s="143"/>
      <c r="AE417" s="143"/>
      <c r="AF417" s="143"/>
      <c r="AG417" s="144"/>
      <c r="AH417" s="143"/>
      <c r="AI417" s="143"/>
    </row>
    <row r="418" spans="1:35" s="112" customFormat="1" ht="24.95" customHeight="1" x14ac:dyDescent="0.2">
      <c r="A418" s="504"/>
      <c r="B418" s="501"/>
      <c r="C418" s="501"/>
      <c r="D418" s="501"/>
      <c r="E418" s="46" t="s">
        <v>1432</v>
      </c>
      <c r="F418" s="131"/>
      <c r="G418" s="145"/>
      <c r="H418" s="145"/>
      <c r="I418" s="191"/>
      <c r="J418" s="61" t="s">
        <v>3194</v>
      </c>
      <c r="K418" s="145">
        <v>42382</v>
      </c>
      <c r="L418" s="114" t="s">
        <v>3195</v>
      </c>
      <c r="M418" s="138">
        <v>42383</v>
      </c>
      <c r="N418" s="289" t="s">
        <v>3199</v>
      </c>
      <c r="O418" s="138">
        <v>42393</v>
      </c>
      <c r="P418" s="131">
        <v>1</v>
      </c>
      <c r="Q418" s="131" t="s">
        <v>3196</v>
      </c>
      <c r="R418" s="62">
        <v>42385</v>
      </c>
      <c r="S418" s="289" t="s">
        <v>3197</v>
      </c>
      <c r="T418" s="138">
        <v>42386</v>
      </c>
      <c r="U418" s="131" t="s">
        <v>1369</v>
      </c>
      <c r="V418" s="106" t="s">
        <v>3066</v>
      </c>
      <c r="W418" s="142"/>
      <c r="X418" s="142"/>
      <c r="Y418" s="143"/>
      <c r="Z418" s="144"/>
      <c r="AA418" s="143"/>
      <c r="AB418" s="144"/>
      <c r="AC418" s="143"/>
      <c r="AD418" s="143"/>
      <c r="AE418" s="143"/>
      <c r="AF418" s="143"/>
      <c r="AG418" s="144"/>
      <c r="AH418" s="143"/>
      <c r="AI418" s="143"/>
    </row>
    <row r="419" spans="1:35" s="112" customFormat="1" ht="24.95" customHeight="1" x14ac:dyDescent="0.2">
      <c r="A419" s="137">
        <v>320</v>
      </c>
      <c r="B419" s="307" t="s">
        <v>3207</v>
      </c>
      <c r="C419" s="306" t="s">
        <v>3203</v>
      </c>
      <c r="D419" s="306" t="s">
        <v>3205</v>
      </c>
      <c r="E419" s="46" t="s">
        <v>1369</v>
      </c>
      <c r="F419" s="131"/>
      <c r="G419" s="145"/>
      <c r="H419" s="145"/>
      <c r="I419" s="191"/>
      <c r="J419" s="99" t="s">
        <v>3213</v>
      </c>
      <c r="K419" s="99">
        <v>42404</v>
      </c>
      <c r="L419" s="114" t="s">
        <v>3214</v>
      </c>
      <c r="M419" s="18">
        <v>42408</v>
      </c>
      <c r="N419" s="133" t="s">
        <v>3287</v>
      </c>
      <c r="O419" s="104">
        <v>42431</v>
      </c>
      <c r="P419" s="114">
        <v>2</v>
      </c>
      <c r="Q419" s="114" t="s">
        <v>3235</v>
      </c>
      <c r="R419" s="62">
        <v>42409</v>
      </c>
      <c r="S419" s="289"/>
      <c r="T419" s="138"/>
      <c r="U419" s="131"/>
      <c r="V419" s="106" t="s">
        <v>1552</v>
      </c>
      <c r="W419" s="142"/>
      <c r="X419" s="142"/>
      <c r="Y419" s="143"/>
      <c r="Z419" s="144"/>
      <c r="AA419" s="143"/>
      <c r="AB419" s="144"/>
      <c r="AC419" s="143"/>
      <c r="AD419" s="143"/>
      <c r="AE419" s="143"/>
      <c r="AF419" s="143"/>
      <c r="AG419" s="144"/>
      <c r="AH419" s="143"/>
      <c r="AI419" s="143"/>
    </row>
    <row r="420" spans="1:35" s="112" customFormat="1" ht="24.95" customHeight="1" x14ac:dyDescent="0.2">
      <c r="A420" s="137">
        <v>321</v>
      </c>
      <c r="B420" s="307" t="s">
        <v>3208</v>
      </c>
      <c r="C420" s="306" t="s">
        <v>3204</v>
      </c>
      <c r="D420" s="306" t="s">
        <v>3206</v>
      </c>
      <c r="E420" s="46" t="s">
        <v>1369</v>
      </c>
      <c r="F420" s="131"/>
      <c r="G420" s="145"/>
      <c r="H420" s="145"/>
      <c r="I420" s="191"/>
      <c r="J420" s="99" t="s">
        <v>3213</v>
      </c>
      <c r="K420" s="99">
        <v>42404</v>
      </c>
      <c r="L420" s="114" t="s">
        <v>3214</v>
      </c>
      <c r="M420" s="18">
        <v>42408</v>
      </c>
      <c r="N420" s="133" t="s">
        <v>3287</v>
      </c>
      <c r="O420" s="104">
        <v>42431</v>
      </c>
      <c r="P420" s="114">
        <v>2</v>
      </c>
      <c r="Q420" s="114" t="s">
        <v>3235</v>
      </c>
      <c r="R420" s="62">
        <v>42409</v>
      </c>
      <c r="S420" s="289"/>
      <c r="T420" s="138"/>
      <c r="U420" s="131"/>
      <c r="V420" s="106" t="s">
        <v>1552</v>
      </c>
      <c r="W420" s="142"/>
      <c r="X420" s="142"/>
      <c r="Y420" s="143"/>
      <c r="Z420" s="144"/>
      <c r="AA420" s="143"/>
      <c r="AB420" s="144"/>
      <c r="AC420" s="143"/>
      <c r="AD420" s="143"/>
      <c r="AE420" s="143"/>
      <c r="AF420" s="143"/>
      <c r="AG420" s="144"/>
      <c r="AH420" s="143"/>
      <c r="AI420" s="143"/>
    </row>
    <row r="421" spans="1:35" s="112" customFormat="1" ht="24.95" customHeight="1" x14ac:dyDescent="0.2">
      <c r="A421" s="137">
        <v>322</v>
      </c>
      <c r="B421" s="307" t="s">
        <v>3215</v>
      </c>
      <c r="C421" s="306" t="s">
        <v>3216</v>
      </c>
      <c r="D421" s="306" t="s">
        <v>3217</v>
      </c>
      <c r="E421" s="46" t="s">
        <v>1369</v>
      </c>
      <c r="F421" s="131"/>
      <c r="G421" s="145"/>
      <c r="H421" s="145"/>
      <c r="I421" s="191"/>
      <c r="J421" s="99" t="s">
        <v>3220</v>
      </c>
      <c r="K421" s="99">
        <v>42407</v>
      </c>
      <c r="L421" s="114" t="s">
        <v>3221</v>
      </c>
      <c r="M421" s="104">
        <v>42411</v>
      </c>
      <c r="N421" s="289" t="s">
        <v>3293</v>
      </c>
      <c r="O421" s="138">
        <v>42444</v>
      </c>
      <c r="P421" s="131">
        <v>2</v>
      </c>
      <c r="Q421" s="114" t="s">
        <v>3239</v>
      </c>
      <c r="R421" s="175">
        <v>42046</v>
      </c>
      <c r="S421" s="289"/>
      <c r="T421" s="138"/>
      <c r="U421" s="131"/>
      <c r="V421" s="106" t="s">
        <v>1552</v>
      </c>
      <c r="W421" s="142"/>
      <c r="X421" s="142"/>
      <c r="Y421" s="143"/>
      <c r="Z421" s="144"/>
      <c r="AA421" s="143"/>
      <c r="AB421" s="144"/>
      <c r="AC421" s="143"/>
      <c r="AD421" s="143"/>
      <c r="AE421" s="143"/>
      <c r="AF421" s="143"/>
      <c r="AG421" s="144"/>
      <c r="AH421" s="143"/>
      <c r="AI421" s="143"/>
    </row>
    <row r="422" spans="1:35" s="112" customFormat="1" ht="24.95" customHeight="1" x14ac:dyDescent="0.2">
      <c r="A422" s="137">
        <v>323</v>
      </c>
      <c r="B422" s="195" t="s">
        <v>3380</v>
      </c>
      <c r="C422" s="325" t="s">
        <v>3378</v>
      </c>
      <c r="D422" s="325" t="s">
        <v>3379</v>
      </c>
      <c r="E422" s="137"/>
      <c r="F422" s="131"/>
      <c r="G422" s="145"/>
      <c r="H422" s="145"/>
      <c r="I422" s="191" t="s">
        <v>3381</v>
      </c>
      <c r="J422" s="61"/>
      <c r="K422" s="145"/>
      <c r="L422" s="131"/>
      <c r="M422" s="138"/>
      <c r="N422" s="192"/>
      <c r="O422" s="193"/>
      <c r="P422" s="192"/>
      <c r="Q422" s="192"/>
      <c r="R422" s="192"/>
      <c r="S422" s="192"/>
      <c r="T422" s="193"/>
      <c r="U422" s="192"/>
      <c r="V422" s="194"/>
      <c r="W422" s="142"/>
      <c r="X422" s="142"/>
      <c r="Y422" s="143"/>
      <c r="Z422" s="144"/>
      <c r="AA422" s="143"/>
      <c r="AB422" s="144"/>
      <c r="AC422" s="143"/>
      <c r="AD422" s="143"/>
      <c r="AE422" s="143"/>
      <c r="AF422" s="143"/>
      <c r="AG422" s="144"/>
      <c r="AH422" s="143"/>
      <c r="AI422" s="143"/>
    </row>
    <row r="423" spans="1:35" s="112" customFormat="1" ht="35.25" customHeight="1" x14ac:dyDescent="0.2">
      <c r="A423" s="137">
        <v>324</v>
      </c>
      <c r="B423" s="195" t="s">
        <v>3427</v>
      </c>
      <c r="C423" s="339" t="s">
        <v>3423</v>
      </c>
      <c r="D423" s="339" t="s">
        <v>3424</v>
      </c>
      <c r="E423" s="289" t="s">
        <v>1369</v>
      </c>
      <c r="F423" s="131"/>
      <c r="G423" s="198" t="s">
        <v>3426</v>
      </c>
      <c r="H423" s="145"/>
      <c r="I423" s="334" t="s">
        <v>3431</v>
      </c>
      <c r="J423" s="99" t="s">
        <v>3411</v>
      </c>
      <c r="K423" s="145">
        <v>42996</v>
      </c>
      <c r="L423" s="114" t="s">
        <v>3432</v>
      </c>
      <c r="M423" s="145">
        <v>42998</v>
      </c>
      <c r="N423" s="289" t="s">
        <v>3438</v>
      </c>
      <c r="O423" s="138">
        <v>43130</v>
      </c>
      <c r="P423" s="131">
        <v>1</v>
      </c>
      <c r="Q423" s="335" t="s">
        <v>3433</v>
      </c>
      <c r="R423" s="175">
        <v>42997</v>
      </c>
      <c r="S423" s="192"/>
      <c r="T423" s="193"/>
      <c r="U423" s="192"/>
      <c r="V423" s="184" t="s">
        <v>3425</v>
      </c>
      <c r="W423" s="142"/>
      <c r="X423" s="142"/>
      <c r="Y423" s="143"/>
      <c r="Z423" s="144"/>
      <c r="AA423" s="143"/>
      <c r="AB423" s="144"/>
      <c r="AC423" s="143"/>
      <c r="AD423" s="143"/>
      <c r="AE423" s="143"/>
      <c r="AF423" s="143"/>
      <c r="AG423" s="144"/>
      <c r="AH423" s="143"/>
      <c r="AI423" s="143"/>
    </row>
    <row r="424" spans="1:35" s="112" customFormat="1" ht="35.25" customHeight="1" x14ac:dyDescent="0.2">
      <c r="A424" s="137">
        <v>325</v>
      </c>
      <c r="B424" s="148" t="s">
        <v>3428</v>
      </c>
      <c r="C424" s="336" t="s">
        <v>3429</v>
      </c>
      <c r="D424" s="336" t="s">
        <v>3430</v>
      </c>
      <c r="E424" s="137"/>
      <c r="F424" s="131"/>
      <c r="G424" s="198" t="s">
        <v>3426</v>
      </c>
      <c r="H424" s="145"/>
      <c r="I424" s="191" t="s">
        <v>3431</v>
      </c>
      <c r="J424" s="99"/>
      <c r="K424" s="145"/>
      <c r="L424" s="114"/>
      <c r="M424" s="145"/>
      <c r="N424" s="192"/>
      <c r="O424" s="193"/>
      <c r="P424" s="192"/>
      <c r="Q424" s="335"/>
      <c r="R424" s="175"/>
      <c r="S424" s="192"/>
      <c r="T424" s="193"/>
      <c r="U424" s="192"/>
      <c r="V424" s="184"/>
      <c r="W424" s="142"/>
      <c r="X424" s="142"/>
      <c r="Y424" s="143"/>
      <c r="Z424" s="144"/>
      <c r="AA424" s="143"/>
      <c r="AB424" s="144"/>
      <c r="AC424" s="143"/>
      <c r="AD424" s="143"/>
      <c r="AE424" s="143"/>
      <c r="AF424" s="143"/>
      <c r="AG424" s="144"/>
      <c r="AH424" s="143"/>
      <c r="AI424" s="143"/>
    </row>
    <row r="425" spans="1:35" s="112" customFormat="1" ht="31.5" customHeight="1" x14ac:dyDescent="0.2">
      <c r="A425" s="137">
        <v>326</v>
      </c>
      <c r="B425" s="195" t="s">
        <v>3434</v>
      </c>
      <c r="C425" s="337" t="s">
        <v>3435</v>
      </c>
      <c r="D425" s="338" t="s">
        <v>3436</v>
      </c>
      <c r="E425" s="137"/>
      <c r="F425" s="131"/>
      <c r="G425" s="198" t="s">
        <v>3381</v>
      </c>
      <c r="H425" s="145"/>
      <c r="I425" s="191"/>
      <c r="J425" s="145"/>
      <c r="K425" s="145"/>
      <c r="L425" s="131"/>
      <c r="M425" s="138"/>
      <c r="N425" s="192"/>
      <c r="O425" s="193"/>
      <c r="P425" s="192"/>
      <c r="Q425" s="192"/>
      <c r="R425" s="192"/>
      <c r="S425" s="192"/>
      <c r="T425" s="193"/>
      <c r="U425" s="192"/>
      <c r="V425" s="194"/>
      <c r="W425" s="142"/>
      <c r="X425" s="142"/>
      <c r="Y425" s="143"/>
      <c r="Z425" s="144"/>
      <c r="AA425" s="143"/>
      <c r="AB425" s="144"/>
      <c r="AC425" s="143"/>
      <c r="AD425" s="143"/>
      <c r="AE425" s="143"/>
      <c r="AF425" s="143"/>
      <c r="AG425" s="144"/>
      <c r="AH425" s="143"/>
      <c r="AI425" s="143"/>
    </row>
  </sheetData>
  <sortState ref="A5:H8">
    <sortCondition sortBy="icon" ref="A5"/>
  </sortState>
  <mergeCells count="250">
    <mergeCell ref="A339:A342"/>
    <mergeCell ref="A271:A274"/>
    <mergeCell ref="A318:A320"/>
    <mergeCell ref="B318:B320"/>
    <mergeCell ref="C318:C320"/>
    <mergeCell ref="D318:D320"/>
    <mergeCell ref="A304:A306"/>
    <mergeCell ref="B304:B306"/>
    <mergeCell ref="C304:C306"/>
    <mergeCell ref="D304:D306"/>
    <mergeCell ref="B285:B286"/>
    <mergeCell ref="A327:A328"/>
    <mergeCell ref="B327:B328"/>
    <mergeCell ref="C327:C328"/>
    <mergeCell ref="D327:D328"/>
    <mergeCell ref="A307:A309"/>
    <mergeCell ref="B307:B309"/>
    <mergeCell ref="C307:C309"/>
    <mergeCell ref="D307:D309"/>
    <mergeCell ref="A312:A314"/>
    <mergeCell ref="B312:B314"/>
    <mergeCell ref="C312:C314"/>
    <mergeCell ref="D312:D314"/>
    <mergeCell ref="B321:B323"/>
    <mergeCell ref="D277:D279"/>
    <mergeCell ref="B269:B270"/>
    <mergeCell ref="C280:C281"/>
    <mergeCell ref="D315:D317"/>
    <mergeCell ref="B302:B303"/>
    <mergeCell ref="C302:C303"/>
    <mergeCell ref="D302:D303"/>
    <mergeCell ref="B310:B311"/>
    <mergeCell ref="C310:C311"/>
    <mergeCell ref="D310:D311"/>
    <mergeCell ref="D295:D296"/>
    <mergeCell ref="B293:B294"/>
    <mergeCell ref="B298:B299"/>
    <mergeCell ref="B271:B274"/>
    <mergeCell ref="C271:C274"/>
    <mergeCell ref="D271:D274"/>
    <mergeCell ref="B280:B281"/>
    <mergeCell ref="D280:D281"/>
    <mergeCell ref="B275:B276"/>
    <mergeCell ref="C275:C276"/>
    <mergeCell ref="D275:D276"/>
    <mergeCell ref="B277:B279"/>
    <mergeCell ref="C277:C279"/>
    <mergeCell ref="B388:B389"/>
    <mergeCell ref="C287:C288"/>
    <mergeCell ref="D287:D288"/>
    <mergeCell ref="B315:B317"/>
    <mergeCell ref="C315:C317"/>
    <mergeCell ref="C321:C323"/>
    <mergeCell ref="D321:D323"/>
    <mergeCell ref="B324:B326"/>
    <mergeCell ref="C324:C326"/>
    <mergeCell ref="D324:D326"/>
    <mergeCell ref="C298:C299"/>
    <mergeCell ref="D298:D299"/>
    <mergeCell ref="C293:C294"/>
    <mergeCell ref="D293:D294"/>
    <mergeCell ref="B289:B290"/>
    <mergeCell ref="C289:C290"/>
    <mergeCell ref="D289:D290"/>
    <mergeCell ref="B291:B292"/>
    <mergeCell ref="C291:C292"/>
    <mergeCell ref="D291:D292"/>
    <mergeCell ref="B295:B296"/>
    <mergeCell ref="C295:C296"/>
    <mergeCell ref="B287:B288"/>
    <mergeCell ref="AD1:AG1"/>
    <mergeCell ref="AH1:AI1"/>
    <mergeCell ref="B282:B284"/>
    <mergeCell ref="W6:Z6"/>
    <mergeCell ref="AA6:AC6"/>
    <mergeCell ref="AD6:AE6"/>
    <mergeCell ref="AF6:AH6"/>
    <mergeCell ref="W7:X7"/>
    <mergeCell ref="Y7:Z7"/>
    <mergeCell ref="B206:B207"/>
    <mergeCell ref="C206:C207"/>
    <mergeCell ref="D206:D207"/>
    <mergeCell ref="B157:B158"/>
    <mergeCell ref="C157:C158"/>
    <mergeCell ref="D157:D158"/>
    <mergeCell ref="B199:B200"/>
    <mergeCell ref="C199:C200"/>
    <mergeCell ref="D199:D200"/>
    <mergeCell ref="H5:H8"/>
    <mergeCell ref="C269:C270"/>
    <mergeCell ref="D269:D270"/>
    <mergeCell ref="C282:C284"/>
    <mergeCell ref="D282:D284"/>
    <mergeCell ref="C255:C257"/>
    <mergeCell ref="D112:D115"/>
    <mergeCell ref="S7:U7"/>
    <mergeCell ref="B112:B115"/>
    <mergeCell ref="C112:C115"/>
    <mergeCell ref="C371:C372"/>
    <mergeCell ref="D371:D372"/>
    <mergeCell ref="B300:B301"/>
    <mergeCell ref="C300:C301"/>
    <mergeCell ref="D300:D301"/>
    <mergeCell ref="C285:C286"/>
    <mergeCell ref="D285:D286"/>
    <mergeCell ref="B172:B173"/>
    <mergeCell ref="C172:C173"/>
    <mergeCell ref="D172:D173"/>
    <mergeCell ref="B165:B166"/>
    <mergeCell ref="C165:C166"/>
    <mergeCell ref="B174:B175"/>
    <mergeCell ref="C174:C175"/>
    <mergeCell ref="D174:D175"/>
    <mergeCell ref="B167:B168"/>
    <mergeCell ref="C167:C168"/>
    <mergeCell ref="D167:D168"/>
    <mergeCell ref="B169:B170"/>
    <mergeCell ref="C169:C170"/>
    <mergeCell ref="D75:D78"/>
    <mergeCell ref="B75:B78"/>
    <mergeCell ref="C75:C78"/>
    <mergeCell ref="V5:V8"/>
    <mergeCell ref="Q6:U6"/>
    <mergeCell ref="AD4:AG4"/>
    <mergeCell ref="AH4:AI4"/>
    <mergeCell ref="AD3:AG3"/>
    <mergeCell ref="AH3:AI3"/>
    <mergeCell ref="AD2:AG2"/>
    <mergeCell ref="AH2:AI2"/>
    <mergeCell ref="Y5:Z5"/>
    <mergeCell ref="AA5:AC5"/>
    <mergeCell ref="AD5:AH5"/>
    <mergeCell ref="AI5:AI8"/>
    <mergeCell ref="AA7:AC7"/>
    <mergeCell ref="AD7:AE7"/>
    <mergeCell ref="AF7:AH7"/>
    <mergeCell ref="C1:P1"/>
    <mergeCell ref="C2:P2"/>
    <mergeCell ref="C3:P3"/>
    <mergeCell ref="C4:P4"/>
    <mergeCell ref="S1:T1"/>
    <mergeCell ref="S2:T2"/>
    <mergeCell ref="S3:T3"/>
    <mergeCell ref="S4:T4"/>
    <mergeCell ref="J6:M6"/>
    <mergeCell ref="G5:G8"/>
    <mergeCell ref="N6:P6"/>
    <mergeCell ref="L5:M5"/>
    <mergeCell ref="N5:P5"/>
    <mergeCell ref="J7:K7"/>
    <mergeCell ref="L7:M7"/>
    <mergeCell ref="N7:P7"/>
    <mergeCell ref="I5:I8"/>
    <mergeCell ref="F5:F8"/>
    <mergeCell ref="Q5:U5"/>
    <mergeCell ref="Q7:R7"/>
    <mergeCell ref="U1:V1"/>
    <mergeCell ref="U2:V2"/>
    <mergeCell ref="U3:V3"/>
    <mergeCell ref="U4:V4"/>
    <mergeCell ref="A5:A8"/>
    <mergeCell ref="B5:B8"/>
    <mergeCell ref="C5:C8"/>
    <mergeCell ref="D5:D8"/>
    <mergeCell ref="E5:E8"/>
    <mergeCell ref="B235:B237"/>
    <mergeCell ref="C235:C237"/>
    <mergeCell ref="D235:D237"/>
    <mergeCell ref="B147:B149"/>
    <mergeCell ref="C147:C149"/>
    <mergeCell ref="D147:D149"/>
    <mergeCell ref="B150:B152"/>
    <mergeCell ref="C150:C152"/>
    <mergeCell ref="D150:D152"/>
    <mergeCell ref="B153:B154"/>
    <mergeCell ref="C153:C154"/>
    <mergeCell ref="D153:D154"/>
    <mergeCell ref="B232:B233"/>
    <mergeCell ref="C232:C233"/>
    <mergeCell ref="D232:D233"/>
    <mergeCell ref="B230:B231"/>
    <mergeCell ref="B228:B229"/>
    <mergeCell ref="C228:C229"/>
    <mergeCell ref="D228:D229"/>
    <mergeCell ref="B255:B257"/>
    <mergeCell ref="C126:C129"/>
    <mergeCell ref="D126:D129"/>
    <mergeCell ref="B119:B122"/>
    <mergeCell ref="C119:C122"/>
    <mergeCell ref="D119:D122"/>
    <mergeCell ref="B223:B224"/>
    <mergeCell ref="C223:C224"/>
    <mergeCell ref="D223:D224"/>
    <mergeCell ref="B126:B129"/>
    <mergeCell ref="D169:D170"/>
    <mergeCell ref="D165:D166"/>
    <mergeCell ref="B213:B214"/>
    <mergeCell ref="C213:C214"/>
    <mergeCell ref="D213:D214"/>
    <mergeCell ref="B162:B164"/>
    <mergeCell ref="C162:C164"/>
    <mergeCell ref="D162:D164"/>
    <mergeCell ref="C409:C410"/>
    <mergeCell ref="B225:B226"/>
    <mergeCell ref="C225:C226"/>
    <mergeCell ref="D225:D226"/>
    <mergeCell ref="B241:B242"/>
    <mergeCell ref="C241:C242"/>
    <mergeCell ref="D241:D242"/>
    <mergeCell ref="B264:B266"/>
    <mergeCell ref="C264:C266"/>
    <mergeCell ref="D264:D266"/>
    <mergeCell ref="B260:B263"/>
    <mergeCell ref="C260:C263"/>
    <mergeCell ref="D260:D263"/>
    <mergeCell ref="C230:C231"/>
    <mergeCell ref="D230:D231"/>
    <mergeCell ref="B258:B259"/>
    <mergeCell ref="C258:C259"/>
    <mergeCell ref="D258:D259"/>
    <mergeCell ref="B244:B245"/>
    <mergeCell ref="C244:C245"/>
    <mergeCell ref="D244:D245"/>
    <mergeCell ref="B253:B254"/>
    <mergeCell ref="C253:C254"/>
    <mergeCell ref="D253:D254"/>
    <mergeCell ref="D409:D410"/>
    <mergeCell ref="D255:D257"/>
    <mergeCell ref="A409:A410"/>
    <mergeCell ref="A411:A414"/>
    <mergeCell ref="A417:A418"/>
    <mergeCell ref="B417:B418"/>
    <mergeCell ref="C417:C418"/>
    <mergeCell ref="D417:D418"/>
    <mergeCell ref="B334:B337"/>
    <mergeCell ref="C334:C337"/>
    <mergeCell ref="D334:D337"/>
    <mergeCell ref="C388:C389"/>
    <mergeCell ref="D388:D389"/>
    <mergeCell ref="B371:B372"/>
    <mergeCell ref="B339:B342"/>
    <mergeCell ref="C339:C342"/>
    <mergeCell ref="D339:D342"/>
    <mergeCell ref="B411:B414"/>
    <mergeCell ref="C411:C414"/>
    <mergeCell ref="D411:D414"/>
    <mergeCell ref="B403:B404"/>
    <mergeCell ref="C403:C404"/>
    <mergeCell ref="D403:D404"/>
    <mergeCell ref="B409:B410"/>
  </mergeCells>
  <conditionalFormatting sqref="I74 I183:I191 I196 I373 I141 I139 I136:I137 I134 I131:I132 I127 I124:I125 I120 I117:I118 I113 I110:I111 I108 I105:I106 I103 I100:I101 I98 I95:I96 I93 I90:I91 I88 I85:I86 I83 I80:I81 I76 I296 I146 I330:I331">
    <cfRule type="cellIs" dxfId="1" priority="2" operator="lessThan">
      <formula>1</formula>
    </cfRule>
  </conditionalFormatting>
  <conditionalFormatting sqref="I374:I377">
    <cfRule type="cellIs" dxfId="0" priority="1" operator="lessThan">
      <formula>1</formula>
    </cfRule>
  </conditionalFormatting>
  <hyperlinks>
    <hyperlink ref="E9" r:id="rId1"/>
    <hyperlink ref="E10" r:id="rId2"/>
    <hyperlink ref="E12" r:id="rId3"/>
    <hyperlink ref="E14" r:id="rId4"/>
    <hyperlink ref="E15" r:id="rId5"/>
    <hyperlink ref="E17" r:id="rId6"/>
    <hyperlink ref="E19" r:id="rId7"/>
    <hyperlink ref="E20" r:id="rId8"/>
    <hyperlink ref="E22" r:id="rId9"/>
    <hyperlink ref="E24" r:id="rId10"/>
    <hyperlink ref="E25" r:id="rId11"/>
    <hyperlink ref="E27" r:id="rId12"/>
    <hyperlink ref="E29" r:id="rId13"/>
    <hyperlink ref="E30" r:id="rId14"/>
    <hyperlink ref="E32" r:id="rId15"/>
    <hyperlink ref="E34" r:id="rId16"/>
    <hyperlink ref="E35" r:id="rId17"/>
    <hyperlink ref="E37" r:id="rId18"/>
    <hyperlink ref="E39" r:id="rId19"/>
    <hyperlink ref="E40" r:id="rId20"/>
    <hyperlink ref="E42" r:id="rId21"/>
    <hyperlink ref="E44" r:id="rId22"/>
    <hyperlink ref="E45" r:id="rId23"/>
    <hyperlink ref="E47" r:id="rId24"/>
    <hyperlink ref="E49" r:id="rId25"/>
    <hyperlink ref="E50" r:id="rId26"/>
    <hyperlink ref="E52" r:id="rId27"/>
    <hyperlink ref="E54" r:id="rId28"/>
    <hyperlink ref="E55" r:id="rId29"/>
    <hyperlink ref="E57" r:id="rId30"/>
    <hyperlink ref="E59" r:id="rId31"/>
    <hyperlink ref="E60" r:id="rId32"/>
    <hyperlink ref="E62" r:id="rId33"/>
    <hyperlink ref="E64" r:id="rId34"/>
    <hyperlink ref="E65" r:id="rId35"/>
    <hyperlink ref="E67" r:id="rId36"/>
    <hyperlink ref="E69" r:id="rId37"/>
    <hyperlink ref="E70" r:id="rId38"/>
    <hyperlink ref="E72" r:id="rId39"/>
    <hyperlink ref="E147" r:id="rId40"/>
    <hyperlink ref="S10" r:id="rId41" display="E/60295/187"/>
    <hyperlink ref="S15" r:id="rId42" display="E/60295/188"/>
    <hyperlink ref="S20" r:id="rId43" display="E/60295/189"/>
    <hyperlink ref="S25" r:id="rId44" display="E/60295/190"/>
    <hyperlink ref="S30" r:id="rId45" display="E/60295/178"/>
    <hyperlink ref="S35" r:id="rId46" display="E/60295/179"/>
    <hyperlink ref="S40" r:id="rId47" display="E/60295/180"/>
    <hyperlink ref="S45" r:id="rId48" display="E/60295/181"/>
    <hyperlink ref="S50" r:id="rId49" display="E/60295/182"/>
    <hyperlink ref="S55" r:id="rId50" display="E/60295/183"/>
    <hyperlink ref="S60" r:id="rId51" display="E/60295/184"/>
    <hyperlink ref="S65" r:id="rId52" display="E/60295/185"/>
    <hyperlink ref="S70" r:id="rId53" display="E/60295/186"/>
    <hyperlink ref="S24" r:id="rId54" display="E/60295/193"/>
    <hyperlink ref="S29" r:id="rId55" display="E/60295/194"/>
    <hyperlink ref="S34" r:id="rId56" display="E/60295/195"/>
    <hyperlink ref="S39" r:id="rId57" display="E/60295/196"/>
    <hyperlink ref="S44" r:id="rId58" display="E/60295/197"/>
    <hyperlink ref="S49" r:id="rId59" display="E/60295/198"/>
    <hyperlink ref="S54" r:id="rId60" display="E/60295/199"/>
    <hyperlink ref="S59" r:id="rId61" display="E/60295/200"/>
    <hyperlink ref="S64" r:id="rId62" display="E/60295/201"/>
    <hyperlink ref="S69" r:id="rId63" display="E/60295/202"/>
    <hyperlink ref="S9" r:id="rId64" display="E/60295/203"/>
    <hyperlink ref="S14" r:id="rId65"/>
    <hyperlink ref="S19" r:id="rId66"/>
    <hyperlink ref="S27" r:id="rId67"/>
    <hyperlink ref="S32" r:id="rId68"/>
    <hyperlink ref="S37" r:id="rId69"/>
    <hyperlink ref="S42" r:id="rId70"/>
    <hyperlink ref="S47" r:id="rId71"/>
    <hyperlink ref="S52" r:id="rId72"/>
    <hyperlink ref="S57" r:id="rId73"/>
    <hyperlink ref="S62" r:id="rId74" display="GM/60295/0212"/>
    <hyperlink ref="S67" r:id="rId75"/>
    <hyperlink ref="S72" r:id="rId76"/>
    <hyperlink ref="S12" r:id="rId77"/>
    <hyperlink ref="S17" r:id="rId78"/>
    <hyperlink ref="S22" r:id="rId79"/>
    <hyperlink ref="S147" r:id="rId80"/>
    <hyperlink ref="E150" r:id="rId81"/>
    <hyperlink ref="N147" r:id="rId82"/>
    <hyperlink ref="N150" r:id="rId83"/>
    <hyperlink ref="E148" r:id="rId84"/>
    <hyperlink ref="S148" r:id="rId85"/>
    <hyperlink ref="E153" r:id="rId86"/>
    <hyperlink ref="E149" r:id="rId87"/>
    <hyperlink ref="E151" r:id="rId88"/>
    <hyperlink ref="N149" r:id="rId89"/>
    <hyperlink ref="S149" r:id="rId90"/>
    <hyperlink ref="E152" r:id="rId91"/>
    <hyperlink ref="E154" r:id="rId92"/>
    <hyperlink ref="E199" r:id="rId93"/>
    <hyperlink ref="E235" r:id="rId94"/>
    <hyperlink ref="N151" r:id="rId95"/>
    <hyperlink ref="N153" r:id="rId96"/>
    <hyperlink ref="E156" r:id="rId97"/>
    <hyperlink ref="E155" r:id="rId98"/>
    <hyperlink ref="E157" r:id="rId99"/>
    <hyperlink ref="N152" r:id="rId100"/>
    <hyperlink ref="N154" r:id="rId101"/>
    <hyperlink ref="S150" r:id="rId102"/>
    <hyperlink ref="S152" r:id="rId103"/>
    <hyperlink ref="N155" r:id="rId104"/>
    <hyperlink ref="N156" r:id="rId105"/>
    <hyperlink ref="N157" r:id="rId106"/>
    <hyperlink ref="S155" r:id="rId107"/>
    <hyperlink ref="S156" r:id="rId108"/>
    <hyperlink ref="S157" r:id="rId109"/>
    <hyperlink ref="S154" r:id="rId110" display="GM/60295/0366"/>
    <hyperlink ref="N199" r:id="rId111"/>
    <hyperlink ref="E236" r:id="rId112"/>
    <hyperlink ref="E237" r:id="rId113"/>
    <hyperlink ref="E205" r:id="rId114"/>
    <hyperlink ref="E249" r:id="rId115"/>
    <hyperlink ref="E374" r:id="rId116"/>
    <hyperlink ref="E375" r:id="rId117"/>
    <hyperlink ref="S235" r:id="rId118"/>
    <hyperlink ref="S199" r:id="rId119"/>
    <hyperlink ref="E376" r:id="rId120"/>
    <hyperlink ref="E377" r:id="rId121"/>
    <hyperlink ref="E378" r:id="rId122"/>
    <hyperlink ref="E379" r:id="rId123"/>
    <hyperlink ref="E380" r:id="rId124"/>
    <hyperlink ref="E204" r:id="rId125"/>
    <hyperlink ref="E247" r:id="rId126"/>
    <hyperlink ref="E251" r:id="rId127"/>
    <hyperlink ref="E206" r:id="rId128"/>
    <hyperlink ref="E243" r:id="rId129"/>
    <hyperlink ref="E246" r:id="rId130"/>
    <hyperlink ref="E381" r:id="rId131"/>
    <hyperlink ref="E382" r:id="rId132"/>
    <hyperlink ref="E383" r:id="rId133"/>
    <hyperlink ref="E384" r:id="rId134"/>
    <hyperlink ref="E385" r:id="rId135"/>
    <hyperlink ref="E386" r:id="rId136"/>
    <hyperlink ref="E203" r:id="rId137"/>
    <hyperlink ref="E202" r:id="rId138"/>
    <hyperlink ref="E240" r:id="rId139"/>
    <hyperlink ref="E158" r:id="rId140" display="\\npcc.local\fs\Departments\Offshore\Offshore Technical\ConstructionEngineering\ConstructionEnggProjects\PROJECTS\2207\DRAWING\2207-NN-0071\Rev B"/>
    <hyperlink ref="N376" r:id="rId141"/>
    <hyperlink ref="N377" r:id="rId142"/>
    <hyperlink ref="E201" r:id="rId143"/>
    <hyperlink ref="E260" r:id="rId144"/>
    <hyperlink ref="E209" r:id="rId145"/>
    <hyperlink ref="N243" r:id="rId146"/>
    <hyperlink ref="N206" r:id="rId147"/>
    <hyperlink ref="N251" r:id="rId148"/>
    <hyperlink ref="E192" r:id="rId149"/>
    <hyperlink ref="E230" r:id="rId150"/>
    <hyperlink ref="E197" r:id="rId151"/>
    <hyperlink ref="S236" r:id="rId152"/>
    <hyperlink ref="S158" r:id="rId153"/>
    <hyperlink ref="E208" r:id="rId154"/>
    <hyperlink ref="E255" r:id="rId155"/>
    <hyperlink ref="N209" r:id="rId156"/>
    <hyperlink ref="N158" r:id="rId157"/>
    <hyperlink ref="N201" r:id="rId158"/>
    <hyperlink ref="N203" r:id="rId159"/>
    <hyperlink ref="S192" r:id="rId160"/>
    <hyperlink ref="E268" r:id="rId161"/>
    <hyperlink ref="E333" r:id="rId162"/>
    <hyperlink ref="S249" r:id="rId163"/>
    <hyperlink ref="S206" r:id="rId164"/>
    <hyperlink ref="S247" r:id="rId165"/>
    <hyperlink ref="S251" r:id="rId166"/>
    <hyperlink ref="E198" r:id="rId167"/>
    <hyperlink ref="E211" r:id="rId168"/>
    <hyperlink ref="E232" r:id="rId169"/>
    <hyperlink ref="S197" r:id="rId170"/>
    <hyperlink ref="S201" r:id="rId171"/>
    <hyperlink ref="S202" r:id="rId172"/>
    <hyperlink ref="S203" r:id="rId173"/>
    <hyperlink ref="S204" r:id="rId174"/>
    <hyperlink ref="S205" r:id="rId175"/>
    <hyperlink ref="S209" r:id="rId176"/>
    <hyperlink ref="S374" r:id="rId177"/>
    <hyperlink ref="S375" r:id="rId178"/>
    <hyperlink ref="S376" r:id="rId179"/>
    <hyperlink ref="S377" r:id="rId180"/>
    <hyperlink ref="S378" r:id="rId181"/>
    <hyperlink ref="S379" r:id="rId182"/>
    <hyperlink ref="S380" r:id="rId183"/>
    <hyperlink ref="S381" r:id="rId184"/>
    <hyperlink ref="S382" r:id="rId185"/>
    <hyperlink ref="S383" r:id="rId186"/>
    <hyperlink ref="S384" r:id="rId187"/>
    <hyperlink ref="S385" r:id="rId188"/>
    <hyperlink ref="S386" r:id="rId189"/>
    <hyperlink ref="S243" r:id="rId190"/>
    <hyperlink ref="S246" r:id="rId191"/>
    <hyperlink ref="S260" r:id="rId192"/>
    <hyperlink ref="S240" r:id="rId193"/>
    <hyperlink ref="E264" r:id="rId194"/>
    <hyperlink ref="E238" r:id="rId195"/>
    <hyperlink ref="E210" r:id="rId196"/>
    <hyperlink ref="E200" r:id="rId197" display="A"/>
    <hyperlink ref="S230" r:id="rId198"/>
    <hyperlink ref="E233" r:id="rId199"/>
    <hyperlink ref="E253" r:id="rId200"/>
    <hyperlink ref="E338" r:id="rId201"/>
    <hyperlink ref="E257" r:id="rId202"/>
    <hyperlink ref="E256" r:id="rId203"/>
    <hyperlink ref="E231" r:id="rId204"/>
    <hyperlink ref="E263" r:id="rId205"/>
    <hyperlink ref="E262" r:id="rId206"/>
    <hyperlink ref="E261" r:id="rId207"/>
    <hyperlink ref="E248" r:id="rId208"/>
    <hyperlink ref="E250" r:id="rId209"/>
    <hyperlink ref="E207" r:id="rId210"/>
    <hyperlink ref="E193" r:id="rId211"/>
    <hyperlink ref="E266" r:id="rId212"/>
    <hyperlink ref="E228" r:id="rId213"/>
    <hyperlink ref="N236" r:id="rId214"/>
    <hyperlink ref="N192" r:id="rId215"/>
    <hyperlink ref="N198" r:id="rId216"/>
    <hyperlink ref="N211" r:id="rId217"/>
    <hyperlink ref="N232" r:id="rId218"/>
    <hyperlink ref="E387" r:id="rId219"/>
    <hyperlink ref="E244" r:id="rId220"/>
    <hyperlink ref="N268" r:id="rId221"/>
    <hyperlink ref="N333" r:id="rId222"/>
    <hyperlink ref="N248" r:id="rId223"/>
    <hyperlink ref="N250" r:id="rId224"/>
    <hyperlink ref="N207" r:id="rId225"/>
    <hyperlink ref="N193" r:id="rId226"/>
    <hyperlink ref="N228" r:id="rId227"/>
    <hyperlink ref="S193" r:id="rId228"/>
    <hyperlink ref="S255" r:id="rId229"/>
    <hyperlink ref="S268" r:id="rId230"/>
    <hyperlink ref="S333" r:id="rId231"/>
    <hyperlink ref="S232" r:id="rId232"/>
    <hyperlink ref="S264" r:id="rId233"/>
    <hyperlink ref="S238" r:id="rId234"/>
    <hyperlink ref="S198" r:id="rId235"/>
    <hyperlink ref="S200" r:id="rId236"/>
    <hyperlink ref="S208" r:id="rId237"/>
    <hyperlink ref="S210" r:id="rId238"/>
    <hyperlink ref="S211" r:id="rId239"/>
    <hyperlink ref="S248" r:id="rId240"/>
    <hyperlink ref="S250" r:id="rId241"/>
    <hyperlink ref="S207" r:id="rId242"/>
    <hyperlink ref="S252" r:id="rId243"/>
    <hyperlink ref="E252" r:id="rId244"/>
    <hyperlink ref="S266" r:id="rId245"/>
    <hyperlink ref="S262" r:id="rId246"/>
    <hyperlink ref="S256" r:id="rId247"/>
    <hyperlink ref="S228" r:id="rId248"/>
    <hyperlink ref="S387" r:id="rId249"/>
    <hyperlink ref="S261" r:id="rId250"/>
    <hyperlink ref="S233" r:id="rId251"/>
    <hyperlink ref="S253" r:id="rId252"/>
    <hyperlink ref="S338" r:id="rId253"/>
    <hyperlink ref="S231" r:id="rId254"/>
    <hyperlink ref="S257" r:id="rId255"/>
    <hyperlink ref="S263" r:id="rId256"/>
    <hyperlink ref="S244" r:id="rId257"/>
    <hyperlink ref="E388" r:id="rId258"/>
    <hyperlink ref="N233" r:id="rId259"/>
    <hyperlink ref="N253" r:id="rId260"/>
    <hyperlink ref="N338" r:id="rId261"/>
    <hyperlink ref="E258" r:id="rId262"/>
    <hyperlink ref="N266" r:id="rId263"/>
    <hyperlink ref="N261" r:id="rId264"/>
    <hyperlink ref="N262" r:id="rId265"/>
    <hyperlink ref="N244" r:id="rId266"/>
    <hyperlink ref="N387" r:id="rId267"/>
    <hyperlink ref="E239" r:id="rId268"/>
    <hyperlink ref="E241" r:id="rId269"/>
    <hyperlink ref="E269" r:id="rId270"/>
    <hyperlink ref="N231" r:id="rId271"/>
    <hyperlink ref="N257" r:id="rId272"/>
    <hyperlink ref="N263" r:id="rId273"/>
    <hyperlink ref="E229" r:id="rId274"/>
    <hyperlink ref="E254" r:id="rId275" display="\\npcc.local\fs\Departments\Offshore\Offshore Technical\ConstructionEngineering\ConstructionEnggProjects\PROJECTS\2207\DRAWING\2207-NN-0108\Rev 0"/>
    <hyperlink ref="E389" r:id="rId276"/>
    <hyperlink ref="N388" r:id="rId277"/>
    <hyperlink ref="E245" r:id="rId278"/>
    <hyperlink ref="E270" r:id="rId279"/>
    <hyperlink ref="S388" r:id="rId280"/>
    <hyperlink ref="S389" r:id="rId281"/>
    <hyperlink ref="E242" r:id="rId282"/>
    <hyperlink ref="E259" r:id="rId283"/>
    <hyperlink ref="S254" r:id="rId284"/>
    <hyperlink ref="S229" r:id="rId285"/>
    <hyperlink ref="S258" r:id="rId286"/>
    <hyperlink ref="N239" r:id="rId287" display="TR-UFFDP1-13-04227"/>
    <hyperlink ref="N241" r:id="rId288" display="TR-UFFDP1-13-04227"/>
    <hyperlink ref="N269" r:id="rId289" display="TR-UFFDP1-13-04227"/>
    <hyperlink ref="N229" r:id="rId290"/>
    <hyperlink ref="N254" r:id="rId291"/>
    <hyperlink ref="N389" r:id="rId292"/>
    <hyperlink ref="E234" r:id="rId293"/>
    <hyperlink ref="N256" r:id="rId294"/>
    <hyperlink ref="N255" r:id="rId295"/>
    <hyperlink ref="N378" r:id="rId296"/>
    <hyperlink ref="N379" r:id="rId297"/>
    <hyperlink ref="N380" r:id="rId298"/>
    <hyperlink ref="N381" r:id="rId299"/>
    <hyperlink ref="N382" r:id="rId300"/>
    <hyperlink ref="N383" r:id="rId301"/>
    <hyperlink ref="N384" r:id="rId302"/>
    <hyperlink ref="N385" r:id="rId303"/>
    <hyperlink ref="N386" r:id="rId304"/>
    <hyperlink ref="N246" r:id="rId305"/>
    <hyperlink ref="N240" r:id="rId306"/>
    <hyperlink ref="N205" r:id="rId307"/>
    <hyperlink ref="N249" r:id="rId308"/>
    <hyperlink ref="N374" r:id="rId309"/>
    <hyperlink ref="N375" r:id="rId310"/>
    <hyperlink ref="N204" r:id="rId311"/>
    <hyperlink ref="N247" r:id="rId312"/>
    <hyperlink ref="N197" r:id="rId313"/>
    <hyperlink ref="N230" r:id="rId314"/>
    <hyperlink ref="N200" r:id="rId315"/>
    <hyperlink ref="N202" r:id="rId316"/>
    <hyperlink ref="N210" r:id="rId317"/>
    <hyperlink ref="N238" r:id="rId318"/>
    <hyperlink ref="N264" r:id="rId319"/>
    <hyperlink ref="E267" r:id="rId320"/>
    <hyperlink ref="S259" r:id="rId321"/>
    <hyperlink ref="N252" r:id="rId322"/>
    <hyperlink ref="N242" r:id="rId323"/>
    <hyperlink ref="N259" r:id="rId324"/>
    <hyperlink ref="N245" r:id="rId325"/>
    <hyperlink ref="N258" r:id="rId326"/>
    <hyperlink ref="N270" r:id="rId327"/>
    <hyperlink ref="N234" r:id="rId328"/>
    <hyperlink ref="N267" r:id="rId329"/>
    <hyperlink ref="S242" r:id="rId330"/>
    <hyperlink ref="S241" r:id="rId331"/>
    <hyperlink ref="S245" r:id="rId332"/>
    <hyperlink ref="S269" r:id="rId333"/>
    <hyperlink ref="S270" r:id="rId334"/>
    <hyperlink ref="S267" r:id="rId335"/>
    <hyperlink ref="S239" r:id="rId336"/>
    <hyperlink ref="S234" r:id="rId337"/>
    <hyperlink ref="E332" r:id="rId338"/>
    <hyperlink ref="N332" r:id="rId339"/>
    <hyperlink ref="S332" r:id="rId340"/>
    <hyperlink ref="E371" r:id="rId341"/>
    <hyperlink ref="N371" r:id="rId342"/>
    <hyperlink ref="E372" r:id="rId343"/>
    <hyperlink ref="S371" r:id="rId344"/>
    <hyperlink ref="E75" r:id="rId345"/>
    <hyperlink ref="E79" r:id="rId346"/>
    <hyperlink ref="E82" r:id="rId347"/>
    <hyperlink ref="E84" r:id="rId348"/>
    <hyperlink ref="E87" r:id="rId349"/>
    <hyperlink ref="E89" r:id="rId350"/>
    <hyperlink ref="E92" r:id="rId351"/>
    <hyperlink ref="E94" r:id="rId352"/>
    <hyperlink ref="E97" r:id="rId353"/>
    <hyperlink ref="E99" r:id="rId354"/>
    <hyperlink ref="E102" r:id="rId355"/>
    <hyperlink ref="E104" r:id="rId356"/>
    <hyperlink ref="E107" r:id="rId357"/>
    <hyperlink ref="E109" r:id="rId358"/>
    <hyperlink ref="E112" r:id="rId359"/>
    <hyperlink ref="E116" r:id="rId360"/>
    <hyperlink ref="E119" r:id="rId361"/>
    <hyperlink ref="E123" r:id="rId362"/>
    <hyperlink ref="E126" r:id="rId363"/>
    <hyperlink ref="E130" r:id="rId364"/>
    <hyperlink ref="E133" r:id="rId365"/>
    <hyperlink ref="E135" r:id="rId366"/>
    <hyperlink ref="E138" r:id="rId367"/>
    <hyperlink ref="E140" r:id="rId368"/>
    <hyperlink ref="E390" r:id="rId369" display="B"/>
    <hyperlink ref="S75" r:id="rId370"/>
    <hyperlink ref="S82" r:id="rId371"/>
    <hyperlink ref="S87" r:id="rId372"/>
    <hyperlink ref="S92" r:id="rId373"/>
    <hyperlink ref="S97" r:id="rId374"/>
    <hyperlink ref="S102" r:id="rId375"/>
    <hyperlink ref="S107" r:id="rId376"/>
    <hyperlink ref="S112" r:id="rId377"/>
    <hyperlink ref="S119" r:id="rId378"/>
    <hyperlink ref="S126" r:id="rId379"/>
    <hyperlink ref="S133" r:id="rId380"/>
    <hyperlink ref="S138" r:id="rId381"/>
    <hyperlink ref="S79" r:id="rId382"/>
    <hyperlink ref="S84" r:id="rId383"/>
    <hyperlink ref="S89" r:id="rId384"/>
    <hyperlink ref="S94" r:id="rId385"/>
    <hyperlink ref="S99" r:id="rId386"/>
    <hyperlink ref="S104" r:id="rId387"/>
    <hyperlink ref="S109" r:id="rId388"/>
    <hyperlink ref="S116" r:id="rId389"/>
    <hyperlink ref="S123" r:id="rId390"/>
    <hyperlink ref="S130" r:id="rId391"/>
    <hyperlink ref="S135" r:id="rId392"/>
    <hyperlink ref="S140" r:id="rId393"/>
    <hyperlink ref="N390" r:id="rId394"/>
    <hyperlink ref="E215" r:id="rId395"/>
    <hyperlink ref="E285" r:id="rId396"/>
    <hyperlink ref="E391" r:id="rId397"/>
    <hyperlink ref="E282" r:id="rId398"/>
    <hyperlink ref="N75" r:id="rId399"/>
    <hyperlink ref="N79" r:id="rId400"/>
    <hyperlink ref="N82" r:id="rId401"/>
    <hyperlink ref="N84" r:id="rId402"/>
    <hyperlink ref="N87" r:id="rId403"/>
    <hyperlink ref="N89" r:id="rId404"/>
    <hyperlink ref="N92" r:id="rId405"/>
    <hyperlink ref="N94" r:id="rId406"/>
    <hyperlink ref="N97" r:id="rId407"/>
    <hyperlink ref="N99" r:id="rId408"/>
    <hyperlink ref="N102" r:id="rId409"/>
    <hyperlink ref="N104" r:id="rId410"/>
    <hyperlink ref="N107" r:id="rId411"/>
    <hyperlink ref="N109" r:id="rId412"/>
    <hyperlink ref="N112" r:id="rId413"/>
    <hyperlink ref="N116" r:id="rId414"/>
    <hyperlink ref="N119" r:id="rId415"/>
    <hyperlink ref="N123" r:id="rId416"/>
    <hyperlink ref="N126" r:id="rId417"/>
    <hyperlink ref="N130" r:id="rId418"/>
    <hyperlink ref="N133" r:id="rId419"/>
    <hyperlink ref="N135" r:id="rId420"/>
    <hyperlink ref="N138" r:id="rId421"/>
    <hyperlink ref="N140" r:id="rId422"/>
    <hyperlink ref="E213" r:id="rId423"/>
    <hyperlink ref="E217" r:id="rId424"/>
    <hyperlink ref="E280" r:id="rId425"/>
    <hyperlink ref="E293" r:id="rId426"/>
    <hyperlink ref="S390" r:id="rId427"/>
    <hyperlink ref="E287" r:id="rId428"/>
    <hyperlink ref="S287" r:id="rId429"/>
    <hyperlink ref="S217" r:id="rId430"/>
    <hyperlink ref="S293" r:id="rId431"/>
    <hyperlink ref="S213" r:id="rId432"/>
    <hyperlink ref="S280" r:id="rId433"/>
    <hyperlink ref="S215" r:id="rId434"/>
    <hyperlink ref="S282" r:id="rId435"/>
    <hyperlink ref="S285" r:id="rId436"/>
    <hyperlink ref="N215" r:id="rId437"/>
    <hyperlink ref="N287" r:id="rId438"/>
    <hyperlink ref="N213" r:id="rId439"/>
    <hyperlink ref="N217" r:id="rId440"/>
    <hyperlink ref="N280" r:id="rId441"/>
    <hyperlink ref="N293" r:id="rId442"/>
    <hyperlink ref="N282" r:id="rId443"/>
    <hyperlink ref="N285" r:id="rId444"/>
    <hyperlink ref="N391" r:id="rId445"/>
    <hyperlink ref="E277" r:id="rId446"/>
    <hyperlink ref="E295" r:id="rId447"/>
    <hyperlink ref="E77" r:id="rId448"/>
    <hyperlink ref="E114" r:id="rId449"/>
    <hyperlink ref="E121" r:id="rId450"/>
    <hyperlink ref="E128" r:id="rId451"/>
    <hyperlink ref="N277" r:id="rId452"/>
    <hyperlink ref="N295" r:id="rId453"/>
    <hyperlink ref="E403" r:id="rId454"/>
    <hyperlink ref="E162" r:id="rId455"/>
    <hyperlink ref="S162" r:id="rId456"/>
    <hyperlink ref="S403" r:id="rId457"/>
    <hyperlink ref="E165" r:id="rId458"/>
    <hyperlink ref="E143" r:id="rId459"/>
    <hyperlink ref="E142" r:id="rId460"/>
    <hyperlink ref="E145" r:id="rId461"/>
    <hyperlink ref="N162" r:id="rId462"/>
    <hyperlink ref="N403" r:id="rId463"/>
    <hyperlink ref="N77" r:id="rId464"/>
    <hyperlink ref="N114" r:id="rId465"/>
    <hyperlink ref="N121" r:id="rId466"/>
    <hyperlink ref="N128" r:id="rId467"/>
    <hyperlink ref="S165" r:id="rId468"/>
    <hyperlink ref="E164" r:id="rId469" display="\\npcc.local\fs\Departments\Offshore\Offshore Technical\ConstructionEngineering\ConstructionEnggProjects\PROJECTS\2207CAMPAING II\DRAWINGS\2207-NN-1065\Rev 0"/>
    <hyperlink ref="E167" r:id="rId470"/>
    <hyperlink ref="E169" r:id="rId471"/>
    <hyperlink ref="E78" r:id="rId472"/>
    <hyperlink ref="E115" r:id="rId473"/>
    <hyperlink ref="E122" r:id="rId474"/>
    <hyperlink ref="E129" r:id="rId475"/>
    <hyperlink ref="E405" r:id="rId476"/>
    <hyperlink ref="N142" r:id="rId477"/>
    <hyperlink ref="N143" r:id="rId478"/>
    <hyperlink ref="N145" r:id="rId479"/>
    <hyperlink ref="N165" r:id="rId480"/>
    <hyperlink ref="E168" r:id="rId481" display="\\npcc.local\fs\Departments\Offshore\Offshore Technical\ConstructionEngineering\ConstructionEnggProjects\PROJECTS\2207CAMPAING II\DRAWINGS\2207-NN-1067\REV-0"/>
    <hyperlink ref="E170" r:id="rId482" display="\\npcc.local\fs\Departments\Offshore\Offshore Technical\ConstructionEngineering\ConstructionEnggProjects\PROJECTS\2207CAMPAING II\DRAWINGS\2207-NN-1068\REV-0"/>
    <hyperlink ref="N78" r:id="rId483"/>
    <hyperlink ref="N115" r:id="rId484"/>
    <hyperlink ref="N122" r:id="rId485"/>
    <hyperlink ref="N129" r:id="rId486"/>
    <hyperlink ref="N167" r:id="rId487"/>
    <hyperlink ref="N169" r:id="rId488"/>
    <hyperlink ref="N164" r:id="rId489"/>
    <hyperlink ref="S168" r:id="rId490"/>
    <hyperlink ref="N168" r:id="rId491"/>
    <hyperlink ref="N170" r:id="rId492"/>
    <hyperlink ref="E406" r:id="rId493"/>
    <hyperlink ref="E407" r:id="rId494"/>
    <hyperlink ref="S170" r:id="rId495"/>
    <hyperlink ref="N405" r:id="rId496"/>
    <hyperlink ref="E194" r:id="rId497"/>
    <hyperlink ref="E171" r:id="rId498"/>
    <hyperlink ref="E216" r:id="rId499"/>
    <hyperlink ref="E288" r:id="rId500" display="\\npcc.local\fs\Departments\Offshore\Offshore Technical\ConstructionEngineering\ConstructionEnggProjects\PROJECTS\2207CAMPAING II\DRAWINGS\2207-NN-1110\Rev 0"/>
    <hyperlink ref="E294" r:id="rId501" display="\\npcc.local\fs\Departments\Offshore\Offshore Technical\ConstructionEngineering\ConstructionEnggProjects\PROJECTS\2207CAMPAING II\DRAWINGS\2207-NN-1113\Rev 0"/>
    <hyperlink ref="E286" r:id="rId502" display="\\npcc.local\fs\Departments\Offshore\Offshore Technical\ConstructionEngineering\ConstructionEnggProjects\PROJECTS\2207CAMPAING II\DRAWINGS\2207-NN-1109\Rev 0"/>
    <hyperlink ref="E283" r:id="rId503" display="\\npcc.local\fs\Departments\Offshore\Offshore Technical\ConstructionEngineering\ConstructionEnggProjects\PROJECTS\2207CAMPAING II\DRAWINGS\2207-NN-1108\Rev 0"/>
    <hyperlink ref="S194" r:id="rId504"/>
    <hyperlink ref="S294" r:id="rId505"/>
    <hyperlink ref="S216" r:id="rId506"/>
    <hyperlink ref="S288" r:id="rId507"/>
    <hyperlink ref="N171" r:id="rId508"/>
    <hyperlink ref="N194" r:id="rId509"/>
    <hyperlink ref="E281" r:id="rId510" display="\\npcc.local\fs\Departments\Offshore\Offshore Technical\ConstructionEngineering\ConstructionEnggProjects\PROJECTS\2207CAMPAING II\DRAWINGS\2207-NN-1107\Rev 0"/>
    <hyperlink ref="E218" r:id="rId511"/>
    <hyperlink ref="E297" r:id="rId512"/>
    <hyperlink ref="E172" r:id="rId513"/>
    <hyperlink ref="E291" r:id="rId514"/>
    <hyperlink ref="N216" r:id="rId515"/>
    <hyperlink ref="N288" r:id="rId516"/>
    <hyperlink ref="N294" r:id="rId517"/>
    <hyperlink ref="N286" r:id="rId518"/>
    <hyperlink ref="N283" r:id="rId519"/>
    <hyperlink ref="E219" r:id="rId520"/>
    <hyperlink ref="E298" r:id="rId521"/>
    <hyperlink ref="E174" r:id="rId522"/>
    <hyperlink ref="N281" r:id="rId523"/>
    <hyperlink ref="N218" r:id="rId524"/>
    <hyperlink ref="N297" r:id="rId525"/>
    <hyperlink ref="N172" r:id="rId526"/>
    <hyperlink ref="E214" r:id="rId527"/>
    <hyperlink ref="E278" r:id="rId528" display="\\npcc.local\fs\Departments\Offshore\Offshore Technical\ConstructionEngineering\ConstructionEnggProjects\PROJECTS\2207CAMPAING II\DRAWINGS\2207-NN-1106\Rev 0"/>
    <hyperlink ref="E344" r:id="rId529"/>
    <hyperlink ref="E343" r:id="rId530"/>
    <hyperlink ref="E300" r:id="rId531"/>
    <hyperlink ref="N298" r:id="rId532"/>
    <hyperlink ref="N219" r:id="rId533"/>
    <hyperlink ref="E296" r:id="rId534" display="\\npcc.local\fs\Departments\Offshore\Offshore Technical\ConstructionEngineering\ConstructionEnggProjects\PROJECTS\2207CAMPAING II\DRAWINGS\2207-NN-1114\Rev 0"/>
    <hyperlink ref="E176" r:id="rId535"/>
    <hyperlink ref="E289" r:id="rId536"/>
    <hyperlink ref="N291" r:id="rId537"/>
    <hyperlink ref="N174" r:id="rId538"/>
    <hyperlink ref="N214" r:id="rId539"/>
    <hyperlink ref="N278" r:id="rId540"/>
    <hyperlink ref="N344" r:id="rId541"/>
    <hyperlink ref="E221" r:id="rId542"/>
    <hyperlink ref="E310" r:id="rId543"/>
    <hyperlink ref="E212" r:id="rId544"/>
    <hyperlink ref="E275" r:id="rId545"/>
    <hyperlink ref="N343" r:id="rId546"/>
    <hyperlink ref="E315" r:id="rId547"/>
    <hyperlink ref="E222" r:id="rId548"/>
    <hyperlink ref="E220" r:id="rId549"/>
    <hyperlink ref="E302" r:id="rId550"/>
    <hyperlink ref="E195" r:id="rId551"/>
    <hyperlink ref="N289" r:id="rId552" display="TR-UFFDP1-13-06117"/>
    <hyperlink ref="S212" r:id="rId553"/>
    <hyperlink ref="S275" r:id="rId554"/>
    <hyperlink ref="S344" r:id="rId555"/>
    <hyperlink ref="S278" r:id="rId556"/>
    <hyperlink ref="S214" r:id="rId557"/>
    <hyperlink ref="S281" r:id="rId558"/>
    <hyperlink ref="S283" r:id="rId559"/>
    <hyperlink ref="S286" r:id="rId560"/>
    <hyperlink ref="S289" r:id="rId561"/>
    <hyperlink ref="E177" r:id="rId562"/>
    <hyperlink ref="S291" r:id="rId563"/>
    <hyperlink ref="S296" r:id="rId564"/>
    <hyperlink ref="S297" r:id="rId565"/>
    <hyperlink ref="S218" r:id="rId566"/>
    <hyperlink ref="S219" r:id="rId567"/>
    <hyperlink ref="S298" r:id="rId568"/>
    <hyperlink ref="S300" r:id="rId569"/>
    <hyperlink ref="E279" r:id="rId570" display="\\npcc.local\fs\Departments\Offshore\Offshore Technical\ConstructionEngineering\ConstructionEnggProjects\PROJECTS\2207CAMPAING II\DRAWINGS\2207-NN-1106\Rev 1"/>
    <hyperlink ref="E408" r:id="rId571"/>
    <hyperlink ref="N300" r:id="rId572"/>
    <hyperlink ref="N296" r:id="rId573"/>
    <hyperlink ref="E178" r:id="rId574"/>
    <hyperlink ref="S177" r:id="rId575"/>
    <hyperlink ref="E301" r:id="rId576" display="\\npcc.local\fs\Departments\Offshore\Offshore Technical\ConstructionEngineering\ConstructionEnggProjects\PROJECTS\2207CAMPAING II\DRAWINGS\2207-NN-1117\Rev 0"/>
    <hyperlink ref="N212" r:id="rId577" display="TR-UFFDP1-13-06132"/>
    <hyperlink ref="N176" r:id="rId578"/>
    <hyperlink ref="N195" r:id="rId579"/>
    <hyperlink ref="E329" r:id="rId580"/>
    <hyperlink ref="E409" r:id="rId581"/>
    <hyperlink ref="E227" r:id="rId582"/>
    <hyperlink ref="E179" r:id="rId583"/>
    <hyperlink ref="E180" r:id="rId584"/>
    <hyperlink ref="E276" r:id="rId585" display="\\npcc.local\fs\Departments\Offshore\Offshore Technical\ConstructionEngineering\ConstructionEnggProjects\PROJECTS\2207CAMPAING II\DRAWINGS\2207-NN-1105\REV-0"/>
    <hyperlink ref="E303" r:id="rId586" display="\\npcc.local\fs\Departments\Offshore\Offshore Technical\ConstructionEngineering\ConstructionEnggProjects\PROJECTS\2207CAMPAING II\DRAWINGS\2207-NN-1118\REV-0"/>
    <hyperlink ref="E311" r:id="rId587" display="\\npcc.local\fs\Departments\Offshore\Offshore Technical\ConstructionEngineering\ConstructionEnggProjects\PROJECTS\2207CAMPAING II\DRAWINGS\2207-NN-1121\REV-0"/>
    <hyperlink ref="E316" r:id="rId588" display="\\npcc.local\fs\Departments\Offshore\Offshore Technical\ConstructionEngineering\ConstructionEnggProjects\PROJECTS\2207CAMPAING II\DRAWINGS\2207-NN-1123\REV-0"/>
    <hyperlink ref="S178" r:id="rId589"/>
    <hyperlink ref="S301" r:id="rId590"/>
    <hyperlink ref="S302" r:id="rId591"/>
    <hyperlink ref="S220" r:id="rId592"/>
    <hyperlink ref="S221" r:id="rId593"/>
    <hyperlink ref="S310" r:id="rId594"/>
    <hyperlink ref="S315" r:id="rId595"/>
    <hyperlink ref="S222" r:id="rId596"/>
    <hyperlink ref="S408" r:id="rId597"/>
    <hyperlink ref="S279" r:id="rId598"/>
    <hyperlink ref="E317" r:id="rId599" display="\\npcc.local\fs\Departments\Offshore\Offshore Technical\ConstructionEngineering\ConstructionEnggProjects\PROJECTS\2207CAMPAING II\DRAWINGS\2207-NN-1123\Rev 1"/>
    <hyperlink ref="N279" r:id="rId600"/>
    <hyperlink ref="N408" r:id="rId601"/>
    <hyperlink ref="N275" r:id="rId602" display="TR-UFFDP1-13-06132"/>
    <hyperlink ref="E321" r:id="rId603"/>
    <hyperlink ref="E324" r:id="rId604"/>
    <hyperlink ref="E334" r:id="rId605"/>
    <hyperlink ref="E411" r:id="rId606"/>
    <hyperlink ref="E181" r:id="rId607"/>
    <hyperlink ref="E182" r:id="rId608"/>
    <hyperlink ref="E223" r:id="rId609"/>
    <hyperlink ref="E225" r:id="rId610"/>
    <hyperlink ref="E284" r:id="rId611" display="\\npcc.local\fs\Departments\Offshore\Offshore Technical\ConstructionEngineering\ConstructionEnggProjects\PROJECTS\2207CAMPAING II\DRAWINGS\2207-NN-1108\Rev 1"/>
    <hyperlink ref="E290" r:id="rId612" display="\\npcc.local\fs\Departments\Offshore\Offshore Technical\ConstructionEngineering\ConstructionEnggProjects\PROJECTS\2207CAMPAING II\DRAWINGS\2207-NN-1111\Rev 0"/>
    <hyperlink ref="E292" r:id="rId613" display="\\npcc.local\fs\Departments\Offshore\Offshore Technical\ConstructionEngineering\ConstructionEnggProjects\PROJECTS\2207CAMPAING II\DRAWINGS\2207-NN-1112\Rev 0"/>
    <hyperlink ref="E322" r:id="rId614" display="\\npcc.local\fs\Departments\Offshore\Offshore Technical\ConstructionEngineering\ConstructionEnggProjects\PROJECTS\2207CAMPAING II\DRAWINGS\2207-NN-1125\Rev 0"/>
    <hyperlink ref="E325" r:id="rId615" display="\\npcc.local\fs\Departments\Offshore\Offshore Technical\ConstructionEngineering\ConstructionEnggProjects\PROJECTS\2207CAMPAING II\DRAWINGS\2207-NN-1126\Rev 0"/>
    <hyperlink ref="E335" r:id="rId616" display="\\npcc.local\fs\Departments\Offshore\Offshore Technical\ConstructionEngineering\ConstructionEnggProjects\PROJECTS\2207CAMPAING II\DRAWINGS\2207-NN-0120\Rev 0"/>
    <hyperlink ref="E412" r:id="rId617" display="\\npcc.local\fs\Departments\Offshore\Offshore Technical\ConstructionEngineering\ConstructionEnggProjects\PROJECTS\2207CAMPAING II\DRAWINGS\2207-NN-0156\Rev 0"/>
    <hyperlink ref="E413" r:id="rId618" display="\\npcc.local\fs\Departments\Offshore\Offshore Technical\ConstructionEngineering\ConstructionEnggProjects\PROJECTS\2207CAMPAING II\DRAWINGS\2207-NN-0156\Rev 1"/>
    <hyperlink ref="E416" r:id="rId619"/>
    <hyperlink ref="E415" r:id="rId620"/>
    <hyperlink ref="E358" r:id="rId621"/>
    <hyperlink ref="E359" r:id="rId622"/>
    <hyperlink ref="E360" r:id="rId623"/>
    <hyperlink ref="E361" r:id="rId624"/>
    <hyperlink ref="E362" r:id="rId625"/>
    <hyperlink ref="E363" r:id="rId626"/>
    <hyperlink ref="E364" r:id="rId627"/>
    <hyperlink ref="E365" r:id="rId628"/>
    <hyperlink ref="E366" r:id="rId629"/>
    <hyperlink ref="E367" r:id="rId630"/>
    <hyperlink ref="E368" r:id="rId631"/>
    <hyperlink ref="E369" r:id="rId632"/>
    <hyperlink ref="E370" r:id="rId633"/>
    <hyperlink ref="E345" r:id="rId634"/>
    <hyperlink ref="E346" r:id="rId635"/>
    <hyperlink ref="E347" r:id="rId636"/>
    <hyperlink ref="E348" r:id="rId637"/>
    <hyperlink ref="E349" r:id="rId638"/>
    <hyperlink ref="E350" r:id="rId639"/>
    <hyperlink ref="E351" r:id="rId640"/>
    <hyperlink ref="E352" r:id="rId641"/>
    <hyperlink ref="E353" r:id="rId642"/>
    <hyperlink ref="E354" r:id="rId643"/>
    <hyperlink ref="E355" r:id="rId644"/>
    <hyperlink ref="E356" r:id="rId645"/>
    <hyperlink ref="E357" r:id="rId646"/>
    <hyperlink ref="S180" r:id="rId647"/>
    <hyperlink ref="S227" r:id="rId648"/>
    <hyperlink ref="S303" r:id="rId649"/>
    <hyperlink ref="S311" r:id="rId650"/>
    <hyperlink ref="S316" r:id="rId651"/>
    <hyperlink ref="S329" r:id="rId652"/>
    <hyperlink ref="E410" r:id="rId653"/>
    <hyperlink ref="S409" r:id="rId654"/>
    <hyperlink ref="E336" r:id="rId655" display="\\npcc.local\fs\Departments\Offshore\Offshore Technical\ConstructionEngineering\ConstructionEnggProjects\PROJECTS\2207CAMPAING II\DRAWINGS\2207-NN-0120\Rev 1"/>
    <hyperlink ref="S336" r:id="rId656"/>
    <hyperlink ref="S413" r:id="rId657"/>
    <hyperlink ref="S326" r:id="rId658"/>
    <hyperlink ref="S323" r:id="rId659"/>
    <hyperlink ref="E326" r:id="rId660" display="\\npcc.local\fs\Departments\Offshore\Offshore Technical\ConstructionEngineering\ConstructionEnggProjects\PROJECTS\2207CAMPAING II\DRAWINGS\2207-NN-1126\Rev 1"/>
    <hyperlink ref="E323" r:id="rId661" display="\\npcc.local\fs\Departments\Offshore\Offshore Technical\ConstructionEngineering\ConstructionEnggProjects\PROJECTS\2207CAMPAING II\DRAWINGS\2207-NN-1125\Rev 1"/>
    <hyperlink ref="N315" r:id="rId662"/>
    <hyperlink ref="N222" r:id="rId663"/>
    <hyperlink ref="N221" r:id="rId664"/>
    <hyperlink ref="N301" r:id="rId665"/>
    <hyperlink ref="N302" r:id="rId666"/>
    <hyperlink ref="N220" r:id="rId667"/>
    <hyperlink ref="N310" r:id="rId668"/>
    <hyperlink ref="N181" r:id="rId669"/>
    <hyperlink ref="N317" r:id="rId670"/>
    <hyperlink ref="N284" r:id="rId671"/>
    <hyperlink ref="N290" r:id="rId672"/>
    <hyperlink ref="N292" r:id="rId673"/>
    <hyperlink ref="N227" r:id="rId674"/>
    <hyperlink ref="N276" r:id="rId675"/>
    <hyperlink ref="N303" r:id="rId676"/>
    <hyperlink ref="N311" r:id="rId677"/>
    <hyperlink ref="N316" r:id="rId678"/>
    <hyperlink ref="N223" r:id="rId679"/>
    <hyperlink ref="N225" r:id="rId680"/>
    <hyperlink ref="N334" r:id="rId681"/>
    <hyperlink ref="N411" r:id="rId682"/>
    <hyperlink ref="N321" r:id="rId683"/>
    <hyperlink ref="N324" r:id="rId684"/>
    <hyperlink ref="N335" r:id="rId685"/>
    <hyperlink ref="N412" r:id="rId686"/>
    <hyperlink ref="N322" r:id="rId687"/>
    <hyperlink ref="N325" r:id="rId688"/>
    <hyperlink ref="N336" r:id="rId689"/>
    <hyperlink ref="N413" r:id="rId690"/>
    <hyperlink ref="N410" r:id="rId691"/>
    <hyperlink ref="N177" r:id="rId692"/>
    <hyperlink ref="N178" r:id="rId693"/>
    <hyperlink ref="N179" r:id="rId694"/>
    <hyperlink ref="N180" r:id="rId695"/>
    <hyperlink ref="N182" r:id="rId696"/>
    <hyperlink ref="N329" r:id="rId697"/>
    <hyperlink ref="N415" r:id="rId698"/>
    <hyperlink ref="N416" r:id="rId699"/>
    <hyperlink ref="N323" r:id="rId700"/>
    <hyperlink ref="N326" r:id="rId701"/>
    <hyperlink ref="E414" r:id="rId702" display="\\npcc.local\fs\Departments\Offshore\Offshore Technical\ConstructionEngineering\ConstructionEnggProjects\PROJECTS\2207CAMPAING II\DRAWINGS\2207-NN-0156\Rev 2"/>
    <hyperlink ref="E337" r:id="rId703" display="\\npcc.local\fs\Departments\Offshore\Offshore Technical\ConstructionEngineering\ConstructionEnggProjects\PROJECTS\2207CAMPAING II\DRAWINGS\2207-NN-0120\Rev 2"/>
    <hyperlink ref="S164" r:id="rId704"/>
    <hyperlink ref="S172" r:id="rId705"/>
    <hyperlink ref="S176" r:id="rId706"/>
    <hyperlink ref="N414" r:id="rId707"/>
    <hyperlink ref="N337" r:id="rId708"/>
    <hyperlink ref="S174" r:id="rId709"/>
    <hyperlink ref="S179" r:id="rId710"/>
    <hyperlink ref="S181" r:id="rId711"/>
    <hyperlink ref="S182" r:id="rId712"/>
    <hyperlink ref="S195" r:id="rId713"/>
    <hyperlink ref="S223" r:id="rId714"/>
    <hyperlink ref="S225" r:id="rId715"/>
    <hyperlink ref="S284" r:id="rId716"/>
    <hyperlink ref="S290" r:id="rId717"/>
    <hyperlink ref="S292" r:id="rId718"/>
    <hyperlink ref="S171" r:id="rId719"/>
    <hyperlink ref="N345" r:id="rId720"/>
    <hyperlink ref="N346" r:id="rId721"/>
    <hyperlink ref="N347" r:id="rId722"/>
    <hyperlink ref="N348" r:id="rId723"/>
    <hyperlink ref="N349" r:id="rId724"/>
    <hyperlink ref="N350" r:id="rId725"/>
    <hyperlink ref="N351" r:id="rId726"/>
    <hyperlink ref="N352" r:id="rId727"/>
    <hyperlink ref="N353" r:id="rId728"/>
    <hyperlink ref="N354" r:id="rId729"/>
    <hyperlink ref="N355" r:id="rId730"/>
    <hyperlink ref="N356" r:id="rId731"/>
    <hyperlink ref="N357" r:id="rId732"/>
    <hyperlink ref="N358" r:id="rId733"/>
    <hyperlink ref="N359" r:id="rId734"/>
    <hyperlink ref="N360" r:id="rId735"/>
    <hyperlink ref="N361" r:id="rId736"/>
    <hyperlink ref="N362" r:id="rId737"/>
    <hyperlink ref="N363" r:id="rId738"/>
    <hyperlink ref="N364" r:id="rId739"/>
    <hyperlink ref="N365" r:id="rId740"/>
    <hyperlink ref="N366" r:id="rId741"/>
    <hyperlink ref="N367" r:id="rId742"/>
    <hyperlink ref="N368" r:id="rId743"/>
    <hyperlink ref="N369" r:id="rId744"/>
    <hyperlink ref="S317" r:id="rId745"/>
    <hyperlink ref="S343" r:id="rId746"/>
    <hyperlink ref="E173" r:id="rId747" display="\\npcc.local\fs\Departments\Offshore\Offshore Technical\ConstructionEngineering\ConstructionEnggProjects\PROJECTS\2207CAMPAING II\DRAWINGS\2207-NN-1070\REV-0"/>
    <hyperlink ref="S414" r:id="rId748"/>
    <hyperlink ref="S173" r:id="rId749"/>
    <hyperlink ref="N370" r:id="rId750"/>
    <hyperlink ref="N173" r:id="rId751"/>
    <hyperlink ref="E417" r:id="rId752"/>
    <hyperlink ref="S277" r:id="rId753"/>
    <hyperlink ref="S337" r:id="rId754"/>
    <hyperlink ref="N299" r:id="rId755" display="TR-UFFDP1-13-06035"/>
    <hyperlink ref="N163" r:id="rId756" display="TR-UFFDP1-13-05712"/>
    <hyperlink ref="N404" r:id="rId757" display="TR-UFFDP1-13-05712"/>
    <hyperlink ref="S417" r:id="rId758"/>
    <hyperlink ref="N417" r:id="rId759"/>
    <hyperlink ref="E418" r:id="rId760"/>
    <hyperlink ref="S418" r:id="rId761"/>
    <hyperlink ref="N418" r:id="rId762"/>
    <hyperlink ref="N166" r:id="rId763" display="TR-UFFDP1-13-05849"/>
    <hyperlink ref="N175" r:id="rId764" display="TR-UFFDP1-13-06049"/>
    <hyperlink ref="E271" r:id="rId765"/>
    <hyperlink ref="E420" r:id="rId766"/>
    <hyperlink ref="E419" r:id="rId767"/>
    <hyperlink ref="E224" r:id="rId768"/>
    <hyperlink ref="E226" r:id="rId769"/>
    <hyperlink ref="E339" r:id="rId770"/>
    <hyperlink ref="E318" r:id="rId771"/>
    <hyperlink ref="E327" r:id="rId772"/>
    <hyperlink ref="E421" r:id="rId773"/>
    <hyperlink ref="E307" r:id="rId774"/>
    <hyperlink ref="E312" r:id="rId775"/>
    <hyperlink ref="E304" r:id="rId776"/>
    <hyperlink ref="N271" r:id="rId777"/>
    <hyperlink ref="N419" r:id="rId778"/>
    <hyperlink ref="N420" r:id="rId779"/>
    <hyperlink ref="N307" r:id="rId780"/>
    <hyperlink ref="N312" r:id="rId781"/>
    <hyperlink ref="N421" r:id="rId782"/>
    <hyperlink ref="N339" r:id="rId783"/>
    <hyperlink ref="N327" r:id="rId784"/>
    <hyperlink ref="N318" r:id="rId785"/>
    <hyperlink ref="N224" r:id="rId786"/>
    <hyperlink ref="N226" r:id="rId787"/>
    <hyperlink ref="N304" r:id="rId788"/>
    <hyperlink ref="E272" r:id="rId789" display="..\DRAWINGS\2207-NN-1104\REV-0"/>
    <hyperlink ref="E305" r:id="rId790" display="..\DRAWINGS\2207-NN-1119\REV-0"/>
    <hyperlink ref="E308" r:id="rId791" display="..\DRAWINGS\2207-NN-1120\REV-0"/>
    <hyperlink ref="E313" r:id="rId792" display="..\DRAWINGS\2207-NN-1122\REV-0"/>
    <hyperlink ref="E319" r:id="rId793" display="..\DRAWINGS\2207-NN-1124\REV-0"/>
    <hyperlink ref="E328" r:id="rId794" display="..\DRAWINGS\2207-NN-1127\REV-0"/>
    <hyperlink ref="E340" r:id="rId795" display="..\DRAWINGS\2207-NN-0122\REV-0"/>
    <hyperlink ref="E274" r:id="rId796" display="..\DRAWINGS\2207-NN-1104\REV-1"/>
    <hyperlink ref="E341" r:id="rId797" display="..\DRAWINGS\2207-NN-0122\REV-1"/>
    <hyperlink ref="E320" r:id="rId798" display="..\DRAWINGS\2207-NN-1124\REV-1"/>
    <hyperlink ref="S328" r:id="rId799"/>
    <hyperlink ref="S319" r:id="rId800"/>
    <hyperlink ref="S313" r:id="rId801"/>
    <hyperlink ref="S305" r:id="rId802"/>
    <hyperlink ref="S308" r:id="rId803"/>
    <hyperlink ref="S272" r:id="rId804"/>
    <hyperlink ref="S340" r:id="rId805"/>
    <hyperlink ref="E306" r:id="rId806"/>
    <hyperlink ref="E309" r:id="rId807"/>
    <hyperlink ref="E314" r:id="rId808"/>
    <hyperlink ref="E273" r:id="rId809"/>
    <hyperlink ref="E342" r:id="rId810" display="..\DRAWINGS\2207-NN-0122\REV-2"/>
    <hyperlink ref="S314" r:id="rId811"/>
    <hyperlink ref="S309" r:id="rId812"/>
    <hyperlink ref="S306" r:id="rId813"/>
    <hyperlink ref="S273" r:id="rId814"/>
    <hyperlink ref="N342" r:id="rId815"/>
    <hyperlink ref="N272" r:id="rId816"/>
    <hyperlink ref="N308" r:id="rId817"/>
    <hyperlink ref="N305" r:id="rId818"/>
    <hyperlink ref="N313" r:id="rId819"/>
    <hyperlink ref="N319" r:id="rId820"/>
    <hyperlink ref="N328" r:id="rId821"/>
    <hyperlink ref="N274" r:id="rId822"/>
    <hyperlink ref="E423" r:id="rId823"/>
    <hyperlink ref="N423" r:id="rId824"/>
  </hyperlinks>
  <printOptions horizontalCentered="1"/>
  <pageMargins left="0.25" right="0.25" top="0.5" bottom="0.5" header="0.25" footer="0.25"/>
  <pageSetup paperSize="9" scale="80" orientation="portrait" r:id="rId825"/>
  <headerFooter alignWithMargins="0">
    <oddFooter xml:space="preserve">&amp;L&amp;"Tahoma,Regular"&amp;8DOCUMENT CLASS : (1) ISSUED FOR APPROVAL; (2) ISSUED FOR REVIEW &amp; COMMENTS; (3) ISSUED FOR INFORMATION&amp;R&amp;"Tahoma,Regular"&amp;8APPROVAL CODE : (1) REJECTED; (2) COMMENTED - WORK MAY PROCEED; (3) APPROVED; (4) INFORMATION </oddFooter>
  </headerFooter>
  <drawing r:id="rId82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Documents - Pipeline &amp; Cable</vt:lpstr>
      <vt:lpstr>Documents - Naval Marine</vt:lpstr>
      <vt:lpstr>Drawings</vt:lpstr>
      <vt:lpstr>Sheet1</vt:lpstr>
      <vt:lpstr>'Documents - Naval Marine'!Print_Titles</vt:lpstr>
      <vt:lpstr>'Documents - Pipeline &amp; Cable'!Print_Titles</vt:lpstr>
      <vt:lpstr>Drawings!Print_Titles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Anjali Bhasi (NPCC)</cp:lastModifiedBy>
  <cp:lastPrinted>2017-06-04T10:45:56Z</cp:lastPrinted>
  <dcterms:created xsi:type="dcterms:W3CDTF">2007-10-29T11:02:38Z</dcterms:created>
  <dcterms:modified xsi:type="dcterms:W3CDTF">2020-08-19T07:28:27Z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