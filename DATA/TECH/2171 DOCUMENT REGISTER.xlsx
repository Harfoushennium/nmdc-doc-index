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OFFSHORE\Support\ConstructionEngg\ConstructionEnggProjects\PROJECTS\2171 CRPO-69\REGISTER\"/>
    </mc:Choice>
  </mc:AlternateContent>
  <xr:revisionPtr revIDLastSave="0" documentId="13_ncr:1_{D98CAC03-4FB5-412F-A032-AC84C3F3D77B}" xr6:coauthVersionLast="47" xr6:coauthVersionMax="47" xr10:uidLastSave="{00000000-0000-0000-0000-000000000000}"/>
  <workbookProtection workbookAlgorithmName="SHA-512" workbookHashValue="aZaDzw7ge9S2IvcEe0TlTNpEaxICfWPvCPpygiUZevi5Xk0EugI5WuT63t2iB0dxx7rGi4QQK8DodyMjppmhUQ==" workbookSaltValue="UtcQ766pqnqJkUt5oQbJqg==" workbookSpinCount="100000" lockStructure="1"/>
  <bookViews>
    <workbookView xWindow="-120" yWindow="-120" windowWidth="29040" windowHeight="15840" tabRatio="789" activeTab="3" xr2:uid="{00000000-000D-0000-FFFF-FFFF00000000}"/>
  </bookViews>
  <sheets>
    <sheet name="PIPELINE &amp; CABLE" sheetId="20" r:id="rId1"/>
    <sheet name="Documents - Naval &amp; Marine" sheetId="19" r:id="rId2"/>
    <sheet name="DRAWINGS" sheetId="21" r:id="rId3"/>
    <sheet name="SKETCHES" sheetId="22" r:id="rId4"/>
  </sheets>
  <definedNames>
    <definedName name="Print_Area_MI" localSheetId="2">#REF!</definedName>
    <definedName name="Print_Area_MI" localSheetId="0">#REF!</definedName>
    <definedName name="Print_Area_MI">#REF!</definedName>
    <definedName name="_xlnm.Print_Titles" localSheetId="1">'Documents - Naval &amp; Marine'!$1:$8</definedName>
    <definedName name="_xlnm.Print_Titles" localSheetId="2">DRAWINGS!$1:$8</definedName>
    <definedName name="_xlnm.Print_Titles" localSheetId="0">'PIPELINE &amp; CABLE'!$1:$8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0" l="1"/>
  <c r="F44" i="21" l="1"/>
  <c r="F41" i="21"/>
  <c r="F40" i="21"/>
  <c r="F39" i="21"/>
  <c r="F38" i="21"/>
  <c r="F29" i="21"/>
  <c r="F28" i="21"/>
  <c r="F26" i="21"/>
  <c r="F25" i="21"/>
  <c r="F12" i="21"/>
  <c r="F20" i="21" s="1"/>
  <c r="F9" i="21"/>
  <c r="F14" i="21" s="1"/>
  <c r="R4" i="21"/>
  <c r="R4" i="19"/>
  <c r="F21" i="19"/>
  <c r="F20" i="19"/>
  <c r="F19" i="19"/>
  <c r="F16" i="19"/>
  <c r="F15" i="19"/>
  <c r="F14" i="19"/>
  <c r="F13" i="19"/>
  <c r="F10" i="19"/>
  <c r="F11" i="19"/>
  <c r="F12" i="19"/>
  <c r="F9" i="19"/>
  <c r="F23" i="21" l="1"/>
  <c r="F17" i="21"/>
</calcChain>
</file>

<file path=xl/sharedStrings.xml><?xml version="1.0" encoding="utf-8"?>
<sst xmlns="http://schemas.openxmlformats.org/spreadsheetml/2006/main" count="1960" uniqueCount="839">
  <si>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</si>
  <si>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</si>
  <si>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</si>
  <si>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</si>
  <si>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</si>
  <si>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</si>
  <si>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</si>
  <si>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</si>
  <si>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</si>
  <si>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</si>
  <si>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</si>
  <si>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>NPCC</t>
  </si>
  <si>
    <t>REV.</t>
  </si>
  <si>
    <t>NPCC
DOCUMENT NUMBER</t>
  </si>
  <si>
    <t>CLASS</t>
  </si>
  <si>
    <t>GMC</t>
  </si>
  <si>
    <t>CSE TO PMT</t>
  </si>
  <si>
    <t>FROM CLIENT</t>
  </si>
  <si>
    <t>PMT TO GMC</t>
  </si>
  <si>
    <t>STATUS FROM GMC</t>
  </si>
  <si>
    <t>PMT TO CLIENT</t>
  </si>
  <si>
    <t>CLIENT</t>
  </si>
  <si>
    <t>CLIENT DOC. No. :</t>
  </si>
  <si>
    <t>SUBMISSION PLANNED DATE</t>
  </si>
  <si>
    <t>OFFSHORE CONSTRUCTION ENGINEERING DOCUMENTS (PIPELINE &amp; CABLE)</t>
  </si>
  <si>
    <t>SKETCHES</t>
  </si>
  <si>
    <t>CATEGORY :</t>
  </si>
  <si>
    <t>FORMAT</t>
  </si>
  <si>
    <t>Transmittal/Source</t>
  </si>
  <si>
    <t>S.NO.</t>
  </si>
  <si>
    <t>PROJECT</t>
  </si>
  <si>
    <t>TITLE/DESCRIPTION</t>
  </si>
  <si>
    <t>REV</t>
  </si>
  <si>
    <t>ACAD</t>
  </si>
  <si>
    <t>PDF</t>
  </si>
  <si>
    <t>Date</t>
  </si>
  <si>
    <t>Reference</t>
  </si>
  <si>
    <t>Location</t>
  </si>
  <si>
    <t>OFFSHORE  
DWG NO.</t>
  </si>
  <si>
    <t>NO. OF 
SHEETS</t>
  </si>
  <si>
    <t>Project 2171-2172</t>
  </si>
  <si>
    <t xml:space="preserve">SAUDI ARABIAN OIL COMPANY - LONG TERM AGREEMENT (LTA) FOR OFFSHORE FACILITIES 
CRPO FOR JU'AYMAH OFFSHORE PLATFORM - BYPASS SYSTEM </t>
  </si>
  <si>
    <t xml:space="preserve">NPCC PROJECT NO. 2171 (OOK)/ 2172 (IK) </t>
  </si>
  <si>
    <t>OFFSHORE CONSTRUCTION ENGINEERING DOCUMENTS (NAVAL &amp; MARINE)</t>
  </si>
  <si>
    <t>PIPE STACKING ANALYSIS REPORT</t>
  </si>
  <si>
    <t>PIPELAY ANALYSIS REPORT FOR 48" BYPASS PIPELINE 2 FROM CLS 22 TIE-IN TO PLEM 31 / SPM 31 &amp; PLEM 33 / SPM 33</t>
  </si>
  <si>
    <t>PIPELAY ANALYSIS REPORT FOR 48" BYPASS PIPELINE 3 FROM CLS 23 TIE-IN TO PLEM 36 / SPM 36</t>
  </si>
  <si>
    <t>PIPELAY ANALYSIS REPORT FOR 48" BYPASS PIPELINE 4 FROM CLS 24 TIE-IN TO PLEM 34 / SPM 34 &amp; PLEM 35 / SPM 35</t>
  </si>
  <si>
    <t>MOORING ANALYSIS DURING SPOOL INSTALLATIONS FOR  PIPELINE 1 &amp; 2</t>
  </si>
  <si>
    <t>MOORING ANALYSIS DURING SPOOL INSTALLATIONS FOR PIPELINE 3 &amp; 4</t>
  </si>
  <si>
    <t>LOADING ARRANGEMENT FOR TRANSPORTATION OF SUBSEA SPOOLS AND VALVE SKIDS (TRIP-1)</t>
  </si>
  <si>
    <t>LOADING ARRANGEMENT FOR TRANSPORTATION OF SUBSEA SPOOLS AND VALVE SKIDS (TRIP-2)</t>
  </si>
  <si>
    <t>2171-2172-NN-0001</t>
  </si>
  <si>
    <t>2171-2172-NN-0002</t>
  </si>
  <si>
    <t>2171-2172-NN-0003</t>
  </si>
  <si>
    <t>2171-2172-NN-0004</t>
  </si>
  <si>
    <t>2171-2172-NN-0005</t>
  </si>
  <si>
    <t>2171-2172-NN-0006</t>
  </si>
  <si>
    <t>2171-2172-NN-0007</t>
  </si>
  <si>
    <t>2171-2172-NN-0008</t>
  </si>
  <si>
    <t>2171-2172-NN-0009</t>
  </si>
  <si>
    <t>2171-2172-NN-0010</t>
  </si>
  <si>
    <t>2171-2172-NN-0011</t>
  </si>
  <si>
    <t>2171-2172-NN-0012</t>
  </si>
  <si>
    <t>2171-2172-NN-0013</t>
  </si>
  <si>
    <t>2171-2172-NN-0014</t>
  </si>
  <si>
    <t>2171-2172-NN-0015</t>
  </si>
  <si>
    <t>2171-2172-NN-0016</t>
  </si>
  <si>
    <t>2171-2172-NN-0017</t>
  </si>
  <si>
    <t>2171-2172-NN-0018</t>
  </si>
  <si>
    <t>2171-2172-NN-0019</t>
  </si>
  <si>
    <t>2171-2172-NN-0020</t>
  </si>
  <si>
    <t>2171-2172-NN-0021</t>
  </si>
  <si>
    <t>2171-2172-NN-0022</t>
  </si>
  <si>
    <t>2171-2172-NN-0023</t>
  </si>
  <si>
    <t>2171-2172-NN-0024</t>
  </si>
  <si>
    <t>2171-2172-ZZ-CL-001</t>
  </si>
  <si>
    <t>2171-2172-ZZ-CL-002</t>
  </si>
  <si>
    <t>2171-2172-ZZ-CL-003</t>
  </si>
  <si>
    <t>2171-2172-ZZ-CL-004</t>
  </si>
  <si>
    <t>2171-2172-ZZ-CL-005</t>
  </si>
  <si>
    <t>2171-2172-ZZ-CL-006</t>
  </si>
  <si>
    <t>2171-2172-ZZ-CL-007</t>
  </si>
  <si>
    <t>2171-2172-ZZ-CL-008</t>
  </si>
  <si>
    <t>2171-2172-ZZ-CL-009</t>
  </si>
  <si>
    <t>2171-2172-ZZ-CL-010</t>
  </si>
  <si>
    <t>2171-2172-ZZ-CL-011</t>
  </si>
  <si>
    <t>2171-2172-ZZ-CL-012</t>
  </si>
  <si>
    <t>2171-2172-ZZ-CL-013</t>
  </si>
  <si>
    <t>2171-2172-ZZ-CL-014</t>
  </si>
  <si>
    <t>2171-2172-NN-RP-001</t>
  </si>
  <si>
    <t>2171-2172-NN-RP-002</t>
  </si>
  <si>
    <t>2171-2172-NN-RP-003</t>
  </si>
  <si>
    <t>2171-2172-NN-RP-004</t>
  </si>
  <si>
    <t>2171-2172-NN-RP-005</t>
  </si>
  <si>
    <t>2171-2172-NN-RP-006</t>
  </si>
  <si>
    <t>2171-2172-NN-RP-007</t>
  </si>
  <si>
    <t>2171-2172-NN-RP-008</t>
  </si>
  <si>
    <t>2171-2172-NN-RP-009</t>
  </si>
  <si>
    <t>2171-2172-NN-RP-010</t>
  </si>
  <si>
    <t>2171-2172-NN-RP-011</t>
  </si>
  <si>
    <t>2171-2172-NN-RP-012</t>
  </si>
  <si>
    <t>2171-2172-NN-RP-013</t>
  </si>
  <si>
    <t>2171-2172-NN-RP-014</t>
  </si>
  <si>
    <t>2171-2172-NN-0030</t>
  </si>
  <si>
    <t>2171-2172-NN-0031</t>
  </si>
  <si>
    <t>2171-2172-NN-0032</t>
  </si>
  <si>
    <t>2171-2172-NN-0033</t>
  </si>
  <si>
    <t>2171-2172-NN-0034</t>
  </si>
  <si>
    <t>2171-2172-NN-0035</t>
  </si>
  <si>
    <t>2171-2172-NN-0036</t>
  </si>
  <si>
    <t>2171-2172-NN-0037</t>
  </si>
  <si>
    <t>2171-2172-NN-0038</t>
  </si>
  <si>
    <t>2171-2172-NN-0039</t>
  </si>
  <si>
    <t>2171-2172-NN-0040</t>
  </si>
  <si>
    <t>FLANGE PROTECTOR DETAILS FOR 48” BYPASS PIPELINE</t>
  </si>
  <si>
    <t>OFO-P2171-SK-001</t>
  </si>
  <si>
    <t>OFO-P2171-SK-002</t>
  </si>
  <si>
    <t>OFO-P2171-SK-003</t>
  </si>
  <si>
    <t>SEA CONQUEST DECK LAYOUT</t>
  </si>
  <si>
    <t>TYPICAL PIG LAUNCHER &amp; RECEIVER PLAN</t>
  </si>
  <si>
    <t>PROTECTOR DETAILS FOR DIA42", DIA48"  &amp;  DIA56" PIPELINES DURING EXCAVATION PLANS</t>
  </si>
  <si>
    <t>HZD</t>
  </si>
  <si>
    <t>REY</t>
  </si>
  <si>
    <t>√</t>
  </si>
  <si>
    <t>A</t>
  </si>
  <si>
    <t>@</t>
  </si>
  <si>
    <t>2171-2172</t>
  </si>
  <si>
    <t>D</t>
  </si>
  <si>
    <t>EMERGENCY LAYDOWN HEAD FOR  48" BYPASS PIPELINES</t>
  </si>
  <si>
    <t>B</t>
  </si>
  <si>
    <t>02/011/2021</t>
  </si>
  <si>
    <t>AKS</t>
  </si>
  <si>
    <t>OFO-P2171-SK-004</t>
  </si>
  <si>
    <t>CDG</t>
  </si>
  <si>
    <t>SUPPORT FRAME FOR HTM/BISEP INSTALLTION OPERATION</t>
  </si>
  <si>
    <t>TYPICAL LIFTING OF CONCRETE MATTRESS</t>
  </si>
  <si>
    <t>govering by midline spool</t>
  </si>
  <si>
    <t>LOADING ARRANGEMENT FOR TRANSPORTATION OF CONCRETE PIPE (CB-1)</t>
  </si>
  <si>
    <t>LOADING ARRANGEMENT FOR TRANSPORTATION OF CONCRETE PIPE (CB-2)</t>
  </si>
  <si>
    <t>LOADING ARRANGEMENT FOR TRANSPORTATION OF CONCRETE PIPE (CB-3)</t>
  </si>
  <si>
    <t>2171-2172-NN-RP-015</t>
  </si>
  <si>
    <t xml:space="preserve">LOADING ARRANGMENT FOR STINGER TRANSPORTATION </t>
  </si>
  <si>
    <t>suby</t>
  </si>
  <si>
    <t>prashanth</t>
  </si>
  <si>
    <t>OFO-P2171-SK-005</t>
  </si>
  <si>
    <t>NAR</t>
  </si>
  <si>
    <t>OFO-P2171-SK-006</t>
  </si>
  <si>
    <t>DETAILS OF 56'' TEST FIXTURE SUPPORT</t>
  </si>
  <si>
    <t>OFO-P2171-SK-007</t>
  </si>
  <si>
    <t>WET SIT ASSEMBLY</t>
  </si>
  <si>
    <t>OFO-P2171-SK-008</t>
  </si>
  <si>
    <t>DETAILS OF 48'' TEST FIXTURE SUPPORT</t>
  </si>
  <si>
    <t>OFO-P2171-SK-009</t>
  </si>
  <si>
    <t>DETAILS OF 42'' TEST FIXTURE SUPPORT</t>
  </si>
  <si>
    <t>CSE-2171-72-PMT-T-004</t>
  </si>
  <si>
    <t>OFO-P2171-SK-010</t>
  </si>
  <si>
    <t>56'' HOT CLAMP ASSEMBLY LIFTING ARRANGEMENT</t>
  </si>
  <si>
    <t>CSE-2171-72-PMT-T-005</t>
  </si>
  <si>
    <t>OFO-P2171-SK-011</t>
  </si>
  <si>
    <t>OFO-P2171-SK-012</t>
  </si>
  <si>
    <t>OFO-P2171-SK-013</t>
  </si>
  <si>
    <t>OFO-P2171-SK-014</t>
  </si>
  <si>
    <t>OFO-P2171-SK-015</t>
  </si>
  <si>
    <t>OFO-P2171-SK-016</t>
  </si>
  <si>
    <t>START-UP ARRANGEMENT PROPOSED 48" BYPASS P/L-3 FROM CLS23(JOP) TIE-IN TO CFL36W(PLEM 36/SPM36) @ KP 0.000</t>
  </si>
  <si>
    <t>START-UP ARRANGEMENT PROPOSED 48" BYPASS P/L-4 FROM CLS24(JOP) TIE-IN TO CFL34W(PLEM 34/SPM34) &amp; CFL35W(PLEM35/SPM35) @ KP 0.000</t>
  </si>
  <si>
    <t>OFO-P2171-SK-017</t>
  </si>
  <si>
    <t>SUPPORT FRAME TYPE-2 FOR HTM/BISEP INSTALLTION OPERATION</t>
  </si>
  <si>
    <t>OFO-P2171-SK-018</t>
  </si>
  <si>
    <t>HANDRAILS DETAILS FOR SUPPORT FRAME</t>
  </si>
  <si>
    <t>OFO-P2171-SK-019</t>
  </si>
  <si>
    <t>DETAILS OF 56'' FIXTURE SUPPORT TEST HEAD</t>
  </si>
  <si>
    <t>OFO-P2171-SK-020</t>
  </si>
  <si>
    <t>PROTECTOR DETAILS FOR PIPELINES DURING LAYING OF PL-3 &amp; PL-4</t>
  </si>
  <si>
    <t>CSE-2171-72-PMT-T-006</t>
  </si>
  <si>
    <t>OFO-P2171-SK-021</t>
  </si>
  <si>
    <t>DETAILS OF 56'' TEST FIXTURE SUPPORT - DRY SIT</t>
  </si>
  <si>
    <t>SUPPORT FRAME FOR HTM/BISEP INSTALLTION OPERATION-SIT</t>
  </si>
  <si>
    <t>OFO-P2171-SK-022</t>
  </si>
  <si>
    <t>OFO-P2171-SK-023</t>
  </si>
  <si>
    <t>FRAME FOOTPRINT ARRANGEMENT</t>
  </si>
  <si>
    <t>OFO-P2171-SK-024</t>
  </si>
  <si>
    <t>PROTECTOR DETAILS FOR PIPELINES DURING LAYING OF PL-1 &amp; PL-2 (SEGMENT-B)</t>
  </si>
  <si>
    <t>OFO-P2171-SK-025</t>
  </si>
  <si>
    <t>PROTECTOR DETAILS FOR PIPELINES DURING LAYING OF PL-1 &amp; PL-2 (SEGMENT-A)</t>
  </si>
  <si>
    <t>OFO-P2171-SK-026</t>
  </si>
  <si>
    <t>PROTECTOR DETAILS FOR PIPELINES DURING LAYING DOWN OF PL-3 &amp; PL-4</t>
  </si>
  <si>
    <t>OFO-P2171-SK-027</t>
  </si>
  <si>
    <t>GENERAL PIPELAY PROFILE</t>
  </si>
  <si>
    <t>OFO-P2171-SK-028</t>
  </si>
  <si>
    <t>ABANDONMENT &amp; RECOVERY ARRANGEMENT AT FINAL STAGE</t>
  </si>
  <si>
    <t>OFO-P2171-SK-029</t>
  </si>
  <si>
    <t>STINGER-10 SECTION-A 80" BUOYANCY TANK</t>
  </si>
  <si>
    <t>OFO-P2171-SK-030</t>
  </si>
  <si>
    <t>STINGER-9 SECTION-A 80" BUOYANCY TANK</t>
  </si>
  <si>
    <t>LOADING ARRANGEMENT &amp; SEAFASTENING, DETAILS OF CC PIPES TRIP-1 @ CREST 287</t>
  </si>
  <si>
    <t>2171-2172-NPCC-T-0878</t>
  </si>
  <si>
    <t>CPD-JOPB-T-0156-22</t>
  </si>
  <si>
    <t>START UP HEAD (LAUNCHER) DETAILS FOR 48" BYPASS PIPELINE 3 &amp; 4 (SUH-T1)</t>
  </si>
  <si>
    <t>START UP HEAD (LAUNCHER) DETAILS FOR 48" BYPASS PIPELINE 1 &amp; 2 SEG-A &amp; B (SUH-T2)</t>
  </si>
  <si>
    <t>LAYDOWN HEAD (RECEIVER) DETAILS FOR 48" BYPASS PIPELINE 3 &amp; 4 (LDH-T1)</t>
  </si>
  <si>
    <t>LAYDOWN HEAD (LAUNCHER) DETAILS FOR 48" BYPASS PIPELINE 1 &amp; 2 SEG-A (LDH-T2)</t>
  </si>
  <si>
    <t>LAYDOWN HEAD (RECEIVER) DETAILS FOR 48" BYPASS PIPELINE 1 &amp; 2 @ SEG-B (LDH-T3)</t>
  </si>
  <si>
    <t>CSE-2171-72-PMT-T-007</t>
  </si>
  <si>
    <t>MOORING ANALYSIS FOR DLB-750 DURING LAYING OF PIPELINE #1 &amp; 2</t>
  </si>
  <si>
    <t>MOORING ANALYSIS FOR DLB-750 DURING LAYING OF PIPELINE # 3</t>
  </si>
  <si>
    <t>CSE-2171-72-PMT-T-008</t>
  </si>
  <si>
    <t>TYPICAL LIFTING OF CONCRETE SLEEPERS FOR PIPELINE CROSSINGS</t>
  </si>
  <si>
    <t>CSE-2171-72-PMT-T-009</t>
  </si>
  <si>
    <t>1 + 3</t>
  </si>
  <si>
    <t>CDG/HZD</t>
  </si>
  <si>
    <t>A,AA,B</t>
  </si>
  <si>
    <t>PIPELAY ANALYSIS REPORT FOR 48" BYPASS PIPELINES</t>
  </si>
  <si>
    <t>CSE-2171-72-PMT-T-010</t>
  </si>
  <si>
    <t>A,AA</t>
  </si>
  <si>
    <t>CANCELLED</t>
  </si>
  <si>
    <t>2 + 19</t>
  </si>
  <si>
    <t>D,DA</t>
  </si>
  <si>
    <t>2171-2172-NPCC-T-1034</t>
  </si>
  <si>
    <t>OFO-P2171-SK-031</t>
  </si>
  <si>
    <t>OFO-P2171-SK-032</t>
  </si>
  <si>
    <t>ROV AND DIVING SPREAD FOOTPRINT ON DLS-750</t>
  </si>
  <si>
    <t>2171-2172-NPCC-T-1048</t>
  </si>
  <si>
    <t>CSE-2171-72-PMT-T-011</t>
  </si>
  <si>
    <t>2171-2172-NPCC-T-1061</t>
  </si>
  <si>
    <t>2171-2172-NPCC-MWS-T-0001</t>
  </si>
  <si>
    <t>2171-2172-NPCC-T1068</t>
  </si>
  <si>
    <t>2171-2172-NPCC-T-0879</t>
  </si>
  <si>
    <t>2171-2172-NPCC-T-0942</t>
  </si>
  <si>
    <t>LIFTING AND INSTALLATION OF 56" SUBSEA VALVE SKID (CLS-22)</t>
  </si>
  <si>
    <t>23/02/2022
10/03/2022</t>
  </si>
  <si>
    <t>doc. modified on 10/03</t>
  </si>
  <si>
    <t xml:space="preserve"> STABILITY ANALYSIS DURING TRANSPORTATION OF CC PIPES TRIP1 AT CREST 287</t>
  </si>
  <si>
    <t>OFO-P2171-SK-033</t>
  </si>
  <si>
    <t>TYPICAL GRAVITY ANCHOR LIFTING ARRANGEMENT</t>
  </si>
  <si>
    <t>2171-2172-NPCC-T-1070</t>
  </si>
  <si>
    <t>2171-2172-NPCC-MWS-T-0002</t>
  </si>
  <si>
    <t>CSE-2171-72-PMT-T-012</t>
  </si>
  <si>
    <t>CSE-2171-72-PMT-T-013</t>
  </si>
  <si>
    <t>OFO-P2171-SK-034</t>
  </si>
  <si>
    <t>OFO-P2171-SK-035</t>
  </si>
  <si>
    <t>SUPPORT FRAME-2 TYPE-1 FOR HTM/BISEP INSTALLATION OPERATION</t>
  </si>
  <si>
    <t>OFFSHORE INSTALLATION STEPS ASSEMBLY</t>
  </si>
  <si>
    <t>CSE-2171-72-PMT-T-014</t>
  </si>
  <si>
    <t>MOORING ANALYSIS DURING WEATHER STANDBY POSITION FOR PIPELINE - 1 &amp; 2</t>
  </si>
  <si>
    <t xml:space="preserve">LIFTING AND INSTALLATION OF 56" SUBSEA VALVE SKID WITH SPOOLS (CLS-21) </t>
  </si>
  <si>
    <t>LIFTING AND INSTALLATION OF 56" SUBSEA VALVE SKID WITH SPOOLS (CLS-24)</t>
  </si>
  <si>
    <t xml:space="preserve">LIFTING AND INSTALLATION OF 56" SUBSEA VALVE SKID WITH SPOOLS (CLS-23) </t>
  </si>
  <si>
    <t>OFO-P2171-SK-036</t>
  </si>
  <si>
    <t>2171-2172-NPCC-T-1089</t>
  </si>
  <si>
    <t>2171-2172-NPCC-MWS-T-0003</t>
  </si>
  <si>
    <t>SEAFASTENING DESIGN REPORT FOR TRANSPORTATION OF CONCRETE SLEEPERS ON CREST-287</t>
  </si>
  <si>
    <t>CSE-2171-72-PMT-T-015</t>
  </si>
  <si>
    <t>STABILITY ANALYSIS FOR TRANSPORTATION OF CONCRETE SLEEPERS @ CREST 287</t>
  </si>
  <si>
    <t>LOADING ARRANGEMENT &amp; SEAFASTENING DETAILS OF CONCRETE SLEEPERS @ CREST 287</t>
  </si>
  <si>
    <t>CPD-JOPB-T-0387-22</t>
  </si>
  <si>
    <t>2171-2172-NPCC-MWS-T-0004</t>
  </si>
  <si>
    <t>OFO-P2171-SK-037</t>
  </si>
  <si>
    <t>FLOODING CONNECTION DETAILS ON CLOSURE PLATE</t>
  </si>
  <si>
    <t>LOADING ARRANGEMENT &amp; SEAFASTENING DETAILS OF CC PIPES TRIP-2 @ MICLYN-259</t>
  </si>
  <si>
    <t>CSE-2171-72-PMT-T-016</t>
  </si>
  <si>
    <t xml:space="preserve">SEAFASTENING DESIGN REPORT FOR TRANSPORTATION OF CC PIPES ON MICLYN-259 </t>
  </si>
  <si>
    <t>SEAFASTENING DESIGN REPORT FOR TRANSPORTATION OF CC PIPES ON CREST-287</t>
  </si>
  <si>
    <t>STABILITY ANALYSIS DURING TRANSPORTATION OF CC PIPES TRIP-2 @ MICLYIN 259</t>
  </si>
  <si>
    <t xml:space="preserve">171-2172-NPCC-T-1099 </t>
  </si>
  <si>
    <t>2171-2172-NPCC-MWS-T-0005</t>
  </si>
  <si>
    <t>2171-2172-NPCC-T-1098</t>
  </si>
  <si>
    <t>CPD-JOPB-T-0438-22</t>
  </si>
  <si>
    <t xml:space="preserve">SEAFASTENING DESIGN REPORT FOR TRANSPORTATION OF STINGER &amp; MISC. ITEMS ON ALLIANZ CB-250 </t>
  </si>
  <si>
    <t>MOORING ANALYSIS DURING WEATHER STANDBY POISITION FOR PIPELINE - 3 &amp; 4</t>
  </si>
  <si>
    <t>CSE-2171-72-PMT-T-017</t>
  </si>
  <si>
    <t>CSE-2171-72-PMT-T-018</t>
  </si>
  <si>
    <t>LOADING ARRANGEMENT &amp; SEAFASTENING DETAILS OF STINGER-X SEC (A) &amp; MISC. ITEMS @ CARGO BARGE ALLIANZ - CB250</t>
  </si>
  <si>
    <t>STABILITY ANALYSIS DURING TRANSPORTATION OF STINGER X SEC A AND MISC ITEMS @ 
ALLIANZ CB-250</t>
  </si>
  <si>
    <t>CPD-JOPB-T-0476-22</t>
  </si>
  <si>
    <t xml:space="preserve">2171-2172-NPCC-T-1099 </t>
  </si>
  <si>
    <t xml:space="preserve">2171-2172-NPCC-T-1137 </t>
  </si>
  <si>
    <t>2171-2172-NPCC-MWS-T-0006</t>
  </si>
  <si>
    <t xml:space="preserve">CPD-JOPB-T-0494-22 </t>
  </si>
  <si>
    <t>CPD-JOPB-T-0503-22</t>
  </si>
  <si>
    <t>CSE-2171-72-PMT-T-019</t>
  </si>
  <si>
    <t>2171-2172-NPCC-T-1171</t>
  </si>
  <si>
    <t>OFO-P2171-SK-038</t>
  </si>
  <si>
    <t>OFO-P2171-SK-039</t>
  </si>
  <si>
    <t>OFO-P2171-SK-040</t>
  </si>
  <si>
    <t>OFO-P2171-SK-041</t>
  </si>
  <si>
    <t>OFO-P2171-SK-042</t>
  </si>
  <si>
    <t>OFO-P2171-SK-043</t>
  </si>
  <si>
    <t>OFO-P2171-SK-044</t>
  </si>
  <si>
    <t>OFO-P2171-SK-045</t>
  </si>
  <si>
    <t>C</t>
  </si>
  <si>
    <t>CSE-2171-72-PMT-T-020</t>
  </si>
  <si>
    <t>2171-2172-NPCC-T-1175</t>
  </si>
  <si>
    <t>OFO-P2171-SK-046</t>
  </si>
  <si>
    <t>BAS1178-TRN 004</t>
  </si>
  <si>
    <t>comments</t>
  </si>
  <si>
    <t>BAS1178-TRN 009</t>
  </si>
  <si>
    <t>BAS1178-TRN 002</t>
  </si>
  <si>
    <t>BAS1178-TRN 001</t>
  </si>
  <si>
    <t>BAS1178-TRN 007</t>
  </si>
  <si>
    <t>BAS1178-TRN 003</t>
  </si>
  <si>
    <t>BAS1178-TRN 005</t>
  </si>
  <si>
    <t>BAS1178-TRN 006</t>
  </si>
  <si>
    <t>BAS1178-TRN 008</t>
  </si>
  <si>
    <t>2171-2172-NPCC-T-1194</t>
  </si>
  <si>
    <t>2171-2172-NPCC-MWS-T-0007</t>
  </si>
  <si>
    <t>OFO-P2171-SK-047</t>
  </si>
  <si>
    <t>LOADING ARRANGEMENT OF MISC. ITEMS ON PLB-648</t>
  </si>
  <si>
    <t>FLANGE CLOSURE PLATE</t>
  </si>
  <si>
    <t xml:space="preserve">CPD-JOPB-T-0629-22 </t>
  </si>
  <si>
    <t>00</t>
  </si>
  <si>
    <t>CSE-2171-72-PMT-T-021</t>
  </si>
  <si>
    <t>SPREADER BAR FRAME FOR BISEP</t>
  </si>
  <si>
    <t>SPREADER BAR FRAME FOR HOT TAP MACHINE</t>
  </si>
  <si>
    <t>LIFTING &amp; INSTALLATION OF HOT TAP CLAMP &amp; TEST FIXTURE  AT YARD</t>
  </si>
  <si>
    <t>LIFTING &amp; INSTALLATION OF INSTALLATION FRAME AT YARD</t>
  </si>
  <si>
    <t>LIFTING &amp; INSTALLATION OF HOT TAP MACHINE ON SLAB VALVE AT YARD</t>
  </si>
  <si>
    <t>LIFTING &amp; INSTALLATION OF BISEP ON SLAB VALVE AT YARD</t>
  </si>
  <si>
    <t>LIFTING &amp; INSTALLATION OF WET &amp; DRY TEST ASSEMBLY</t>
  </si>
  <si>
    <t>LIFTING &amp; RECOVER HOT TAP MACHINE (WET SIT)</t>
  </si>
  <si>
    <t>LIFTING &amp; INSTALLATION OF BISEP ON SLAB VALVE (WET SIT)</t>
  </si>
  <si>
    <t>MOCK-UPASSEMBLY</t>
  </si>
  <si>
    <t>1 + 4</t>
  </si>
  <si>
    <t>A, B</t>
  </si>
  <si>
    <t>OFO-P2171-SK-048</t>
  </si>
  <si>
    <t>2171-2172-NPCC-T-1227</t>
  </si>
  <si>
    <t>TYPICAL LIFTING &amp; HANDLING  ARRANGEMENT FOR PIPE JOINTS BY DLB-750</t>
  </si>
  <si>
    <t>C,CA</t>
  </si>
  <si>
    <t>TRANSPORTATION OF HTM FRAME ON PLB-648</t>
  </si>
  <si>
    <t>OFO-P2171-SK-049</t>
  </si>
  <si>
    <t>TRANSPORTATION OF HTM FRAME ON DELMA 2000</t>
  </si>
  <si>
    <t>04/11/2021
12/01/2022</t>
  </si>
  <si>
    <t>AA, BA</t>
  </si>
  <si>
    <t>2 + 6</t>
  </si>
  <si>
    <t>B, BA</t>
  </si>
  <si>
    <t>TYPICAL GRAVITY ANCHOR LIFTING ARRANGEMENT USING DLB-750</t>
  </si>
  <si>
    <t>TYPICAL STEVSHARK ANCHOR LIFTING ARRANGEMENT USING DLB-750</t>
  </si>
  <si>
    <t>OFO-P2171-SK-050</t>
  </si>
  <si>
    <t>OFO-P2171-SK-051</t>
  </si>
  <si>
    <t>LOADING ARRANGEMENT &amp; SEAFASTENING DETAILS OF CC PIPES TRIP-3 @ GOGAS-252</t>
  </si>
  <si>
    <t>STABILITY ANALYSIS FOR PFC-02 DURING TRANSPORTATION OF 48INCH PIPES FOR SPOOL</t>
  </si>
  <si>
    <t>2171-2172-ZZ-CL-015</t>
  </si>
  <si>
    <t>2171-2172-NN-RP-016</t>
  </si>
  <si>
    <t>2171-2172-ZZ-CL-016</t>
  </si>
  <si>
    <t>STABILITY ANALYSIS FOR TRANSPORTATION OF CC PIPES TRIP-3 @ GOGAS-252</t>
  </si>
  <si>
    <t>SEAFASTENING DESIGN REPORT FOR TRANSPORTATION OF CC PIPES ON GOGAS-252.</t>
  </si>
  <si>
    <t>CSE-2171-72-PMT-T-022</t>
  </si>
  <si>
    <t>2171-2172-NN-RP-017</t>
  </si>
  <si>
    <t>LOADING ARRANGEMENT &amp; SEAFASTENING DETAILS OF SPOOLS CC PIPES @ PFC-02</t>
  </si>
  <si>
    <t>CSE-2171-72-PMT-T-023</t>
  </si>
  <si>
    <t>SEAFASTENING DESIGN REPORT FOR TRANSPORTATION OF CC PIPES ON PFC-02</t>
  </si>
  <si>
    <t>2171-2172-NPCC-MWS-T-0008</t>
  </si>
  <si>
    <t>2171-2172-NPCC-MWS-T-0009</t>
  </si>
  <si>
    <t>ACCEPTED WITH 
CONDITION</t>
  </si>
  <si>
    <t>BAS1178-TRN 011</t>
  </si>
  <si>
    <t>BAS1178-TRN 010</t>
  </si>
  <si>
    <t xml:space="preserve">2171-2172-NPCC-T-1272 </t>
  </si>
  <si>
    <t xml:space="preserve">2171-2172-NPCC-T-1270 </t>
  </si>
  <si>
    <t>B,BA,C</t>
  </si>
  <si>
    <t>LIFTING AND INSTALLATION OF 48" BYPASS PIPELINE 1 &amp; 2 AT MIDLINE TIE-IN</t>
  </si>
  <si>
    <t>BAS1178-TRN 013</t>
  </si>
  <si>
    <t>BAS1178-TRN 012</t>
  </si>
  <si>
    <t>START-UP ARRANGEMENT PROPOSED 48" BYPASS P/L-1 (SEG-B) FROM CLS21(JOP) TIE-IN TO CFL32W(PLEM 32/SPM32) @ KP 1.016</t>
  </si>
  <si>
    <t>START-UP ARRANGEMENT PROPOSED 48" BYPASS P/L-2 (SEG-B) FROM CLS22(JOP) TIE-IN TO CFL33W(PLEM 33/SPM33) &amp; CFL31W(PLEM31/SPM31) @ KP 0.959</t>
  </si>
  <si>
    <t>START-UP ARRANGEMENT PROPOSED 48" BYPASS P/L-2 (SEG-A) FROM CLS22(JOP) TIE-IN TO CFL33W(PLEM 33/SPM33) &amp; CFL31W(PLEM31/SPM31) @ KP 0.933</t>
  </si>
  <si>
    <t>START-UP ARRANGEMENT PROPOSED 48" BYPASS P/L-1 (SEG-A) FROM CLS21(JOP) TIE-IN TO CFL32W(PLEM 32/SPM32) @ KP 0.990</t>
  </si>
  <si>
    <t>2 + 48</t>
  </si>
  <si>
    <t>FA, G</t>
  </si>
  <si>
    <t>BAS1178-TRN 014</t>
  </si>
  <si>
    <t>BAS1178-TRN 015</t>
  </si>
  <si>
    <t>CA</t>
  </si>
  <si>
    <t>LOADING ARRANGEMENT &amp; SEAFASTENING, DETAILS OF CC PIPES TRIP-4 @ CREST 287</t>
  </si>
  <si>
    <t>2171-2172-NN-0041</t>
  </si>
  <si>
    <t>LOADING ARRANGEMENT &amp; SEAFASTENING, DETAILS OF CC PIPES TRIP-5 @ MICLYN-259</t>
  </si>
  <si>
    <t>2171-2172-NN-0042</t>
  </si>
  <si>
    <t>CSE-2171-72-PMT-T-024</t>
  </si>
  <si>
    <t>LOADING ARRANGEMENT &amp; SEAFASTENING, DETAILS OF CC PIPES TRIP-6 @ GOGAS-252</t>
  </si>
  <si>
    <t>2171-2172-NN-0043</t>
  </si>
  <si>
    <t>2171-2172-NPCC-MWS-T-0010</t>
  </si>
  <si>
    <t xml:space="preserve">2171-2172-NPCC-T-1391 </t>
  </si>
  <si>
    <t>2171-2172-NN-0044</t>
  </si>
  <si>
    <t>CSE-2171-72-PMT-T-025</t>
  </si>
  <si>
    <t xml:space="preserve">2171-2172-NPCC-T-1403 </t>
  </si>
  <si>
    <t xml:space="preserve">2171-2172-NPCC-T-1407 </t>
  </si>
  <si>
    <t>2171-2172-NPCC-MWS-T-0011</t>
  </si>
  <si>
    <t>2171-2172-NPCC-MWS-T-0012</t>
  </si>
  <si>
    <t>CSE-2171-72-PMT-T-027</t>
  </si>
  <si>
    <t xml:space="preserve">2171-2172-NPCC-T-1463 </t>
  </si>
  <si>
    <t>2171-2172-NPCC-MWS-T-0014</t>
  </si>
  <si>
    <t>2171-2172-NN-0045</t>
  </si>
  <si>
    <t>2171-2172-NN-0046</t>
  </si>
  <si>
    <t>LOADING ARRANGEMENT &amp; SEAFASTENING DETAILS OF CC PIPES TRIP-7 @ MICLYN-259</t>
  </si>
  <si>
    <t>CSE-2171-72-PMT-T-028</t>
  </si>
  <si>
    <t>OFO-P2171-SK-052</t>
  </si>
  <si>
    <t>DELAM-2000 LAYOUT</t>
  </si>
  <si>
    <t>OFO-P2171-SK-053</t>
  </si>
  <si>
    <t>OFO-P2171-SK-054</t>
  </si>
  <si>
    <t>OFO-P2171-SK-055</t>
  </si>
  <si>
    <t>OFO-P2171-SK-056</t>
  </si>
  <si>
    <t>OFO-P2171-SK-057</t>
  </si>
  <si>
    <t>GRATING DETAIL FOR SPREADER BAR FRAME (BISEP)</t>
  </si>
  <si>
    <t>HANDRAILS DETAILS FOR SPREADER BAR FRAME (BISEP)</t>
  </si>
  <si>
    <t>GRATING DETAIL FOR SPREADER BAR FRAME (HTM)</t>
  </si>
  <si>
    <t>HANDRAILS DETAILS FOR SPREADER BAR FRAME (HTM)</t>
  </si>
  <si>
    <t>GRATING DETAIL FOR SUPPORT FRAME TYPE-1 FOR HTM/BISEP</t>
  </si>
  <si>
    <t>OFO-P2171-SK-058</t>
  </si>
  <si>
    <t>OFO-P2171-SK-059</t>
  </si>
  <si>
    <t>PROTECTOR DETAILS FOR PIPELINE-4 CLS-24 DURING PIPE LAYING</t>
  </si>
  <si>
    <t>SEAFASTENING DESIGN REPORT FOR TRANSPORTATION OF HTF, SSVS &amp; SPOOLS ON MICLYN-259</t>
  </si>
  <si>
    <t>CSE-2171-72-PMT-T-029</t>
  </si>
  <si>
    <t>A,B</t>
  </si>
  <si>
    <t>A,0</t>
  </si>
  <si>
    <t>1+3</t>
  </si>
  <si>
    <t>1+2</t>
  </si>
  <si>
    <t>CSE-2171-72-PMT-T-030</t>
  </si>
  <si>
    <t>29/06/2022
09/08/2022</t>
  </si>
  <si>
    <t>CSE-2171-72-PMT-T-031</t>
  </si>
  <si>
    <t>TYPICAL LIFTING ARRANGEMENT FOR SMART FLANGES 42",48" &amp; 56"</t>
  </si>
  <si>
    <t>OFO-P2171-SK-060</t>
  </si>
  <si>
    <t>OFO-P2171-SK-061</t>
  </si>
  <si>
    <t>STABILITY ANALYSIS FOR TRANSPORTATION OF HOT TAP FRAME, VALVE SKID &amp; SPOOLS FOR CFL-32 @ CREST 287</t>
  </si>
  <si>
    <t xml:space="preserve">STABILITY ANALYSIS FOR TRANSPORTATION OF HOT TAP FRAME, VALVE SKID &amp; SPOOLS FOR CLS-22 @ MICLYIN-259
</t>
  </si>
  <si>
    <t>LOADING ARRANGEMENT &amp; SEAFASTENING DETAILS OF HOT TAP FRAME, VALVE SKID &amp; SPOOLS FOR CLS-22 @ MICLYB-259</t>
  </si>
  <si>
    <t>LOADING ARRANGEMENT &amp; SEAFASTENING DETAILS OF HOT TAP FRAME, VALVE SKID &amp; SPOOLS FOR CFL-32 @ CREST-287</t>
  </si>
  <si>
    <t>SEAFASTENING DESIGN REPORT FOR TRANSPORTATION OF HTF, SSVS &amp; SPOOLS ON CREST-287</t>
  </si>
  <si>
    <t>OFO-P2171-SK-062</t>
  </si>
  <si>
    <t>LOADING ARRANGEMENT OF EQUIPMENTS ON DELMA-2000</t>
  </si>
  <si>
    <t>SKS</t>
  </si>
  <si>
    <t>0,1,A,B,C</t>
  </si>
  <si>
    <t>2 + 12</t>
  </si>
  <si>
    <t xml:space="preserve">2171-2172-NPCC-T-1539 </t>
  </si>
  <si>
    <t>2171-2172-NPCC-MWS-T-0015</t>
  </si>
  <si>
    <t xml:space="preserve">2171-2172-NPCC-T-1540 </t>
  </si>
  <si>
    <t>2171-2172-NPCC-MWS-T-0016</t>
  </si>
  <si>
    <t>OFO-P2171-SK-063</t>
  </si>
  <si>
    <t>OFO-P2171-SK-064</t>
  </si>
  <si>
    <t>A - FRAME (6775x2480x5200)</t>
  </si>
  <si>
    <t>LOADING ARRANGEMENT &amp; SEAFASTENING DETAILS @ MICLYN-258</t>
  </si>
  <si>
    <t>2171-2172-NN-0047</t>
  </si>
  <si>
    <t>SEAFASTENING DESIGN REPORT FOR TRANSPORTATION OF HTF &amp; MISC. ITEMS ON MICLYN-258</t>
  </si>
  <si>
    <t>2171-2172-NN-RP-018</t>
  </si>
  <si>
    <t>1 + 6</t>
  </si>
  <si>
    <t>A - FRAME (7690x3750x5000)</t>
  </si>
  <si>
    <t>STABILITY ANALYSIS FOR CARGO BARGE MICLYN-258</t>
  </si>
  <si>
    <t>2171-2172-ZZ-CL-017</t>
  </si>
  <si>
    <t>CSE-2171-72-PMT-T-032</t>
  </si>
  <si>
    <t>--</t>
  </si>
  <si>
    <t>BAS-1178-TRN-016</t>
  </si>
  <si>
    <t>BAS1178-TRN-017</t>
  </si>
  <si>
    <t>CSE-2171-72-PMT-T-033</t>
  </si>
  <si>
    <t>HT SEQUENCE OF ACTIVITION FOR DELMA-2000</t>
  </si>
  <si>
    <t>HT SEQUENCE OF ACTIVITION FOR PLB-648</t>
  </si>
  <si>
    <t>2171-2172-NPCC-T-1537</t>
  </si>
  <si>
    <t>2171-2172-NN-0048</t>
  </si>
  <si>
    <t>BAS1178-TRN-018</t>
  </si>
  <si>
    <t>BAS1178-TRN-019</t>
  </si>
  <si>
    <t>BAS1178-TRN-021</t>
  </si>
  <si>
    <t>BAS1178-TRN-022</t>
  </si>
  <si>
    <t>2171-2172-NN-0049</t>
  </si>
  <si>
    <t>OFO-P2171-SK-065</t>
  </si>
  <si>
    <t>TYPICAL LIFTING FOR DEMOLISHED PIPE</t>
  </si>
  <si>
    <t>2171-2172-NN-0050</t>
  </si>
  <si>
    <t>ARRANGEMENT &amp; DETAILS OF PLATFORM FOR DIVING UNITS ON QMS POSEIDON</t>
  </si>
  <si>
    <t>LIFTING AND INSTALLATION OF SPOOLS AT SUBSEA VALVE SKID ON PIPELINE TO SPM-32</t>
  </si>
  <si>
    <t>LIFTING AND INSTALLATION OF 48" X 48" SUBSEA VALVE SKID ON PIPELINE TO SPM-32</t>
  </si>
  <si>
    <t>CSE-2171-72-PMT-T-034</t>
  </si>
  <si>
    <t>Rev.1 sent to pmt on 28/09/2022 - CTL</t>
  </si>
  <si>
    <t>2171-2172-NN-0051</t>
  </si>
  <si>
    <t>CSE-2171-72-PMT-T-035</t>
  </si>
  <si>
    <t>LOADING ARRANGEMENT &amp; SEAFASTENING DETAILS FOR FLUSHING EQUIPMENT &amp; MISC. ITEMS @ MICLYN-258</t>
  </si>
  <si>
    <t>remarks</t>
  </si>
  <si>
    <t>SEAFASTENING DESIGN REPORT FOR TRANSPORTATION OF FLUSHING EQP. &amp; MISC. ITEMS ON MICLYN-258</t>
  </si>
  <si>
    <t>2171-2172-NN-RP-019</t>
  </si>
  <si>
    <t>CSE-2171-72-PMT-T-036</t>
  </si>
  <si>
    <t>2171-2172-NPCC-T-1684</t>
  </si>
  <si>
    <t>2171-2172-NPCC-T-1539</t>
  </si>
  <si>
    <t>2171-2172-NPCC-MWS-T-0018</t>
  </si>
  <si>
    <t>CSE-2171-72-PMT-T-038</t>
  </si>
  <si>
    <t>2171-2172-NPCC-T-1712</t>
  </si>
  <si>
    <t>2171-2172-NPCC-MWS-T-0019</t>
  </si>
  <si>
    <t>BAS1178-TRN 019</t>
  </si>
  <si>
    <t>Approved</t>
  </si>
  <si>
    <t>BAS1178-TRN 021</t>
  </si>
  <si>
    <t>LOADING ARRANGEMENT &amp; SEAFASTENING DETAILS OF VALVE SKID, SPOOLS &amp; CABLE TANK FOR CLS-21 @ GAC-81</t>
  </si>
  <si>
    <t>2171-2172-NN-0052</t>
  </si>
  <si>
    <t>OFO-P2171-SK-066</t>
  </si>
  <si>
    <t>OFO-P2171-SK-067</t>
  </si>
  <si>
    <t>AIRBAG LIFTING ARRANGEMENT FOR 48'' PIPELINE BYPASS PL-4</t>
  </si>
  <si>
    <t>PIPELINE LIFTING ARRANGEMENT FOR 48'' PIPELINE BYPASS PL-4 BY CRANE</t>
  </si>
  <si>
    <t>2171-2172-ZZ-CL-018</t>
  </si>
  <si>
    <t>STABILITY ANALYSIS DURING TRANSPORTATION OF VALVE SKID, SPOOLS &amp; CABLE TANK FOR 
CLS-21 @ GAC-81</t>
  </si>
  <si>
    <t xml:space="preserve">
SEAFASTENING DESIGN REPORT FOR TRANSPORTATION OF TANK, SSVS &amp; SPOOLS ON GAC-81
</t>
  </si>
  <si>
    <t>2171-2172-NN-RP-020</t>
  </si>
  <si>
    <t>CSE-2171-72-PMT-T-039</t>
  </si>
  <si>
    <t>2171-2172-NPCC-MWS-T-0020</t>
  </si>
  <si>
    <t>2171-2172-NPCC-T-1731</t>
  </si>
  <si>
    <t>2171-2172-NPCC-MWS-T-0021</t>
  </si>
  <si>
    <t>BAS1178-TRN 023</t>
  </si>
  <si>
    <t>BAS1178-TRN 024</t>
  </si>
  <si>
    <t>LOADING ARRANGEMENT &amp; SEAFASTENING, DETAILS OF VALVE SKID, SPOOLS, SHROUDS &amp; CONCRETE SLEEPERS FOR CFL-33 &amp; 
CFL-35 @ EOS-283</t>
  </si>
  <si>
    <t>LOADING ARRANGEMENT &amp; SEAFASTENING, DETAILS OF SPOOLS &amp; SHROUDS @ GOGAS-250</t>
  </si>
  <si>
    <t>2171-2172-NN-0053</t>
  </si>
  <si>
    <t>CSE-2171-72-PMT-T-041</t>
  </si>
  <si>
    <t xml:space="preserve">2171-2172-NPCC-T-1728 </t>
  </si>
  <si>
    <t>OFO-P2171-SK-068</t>
  </si>
  <si>
    <t>AIRBAG LIFTING ARRANGEMENT FOR 48'' PIPELINE FOR FLOODED CASE</t>
  </si>
  <si>
    <t>MOORING ANALYSIS DURING SUBSEA VALVE SKID &amp; SPOOLS INSTALLATION AT CLS-24</t>
  </si>
  <si>
    <t>2171-2172-ZZ-CL-019</t>
  </si>
  <si>
    <t>CSE-2171-72-PMT-T-042</t>
  </si>
  <si>
    <t>MOORING ANALYSIS DURING SUBSEA VALVE SKID &amp; SPOOLS INSTALLATION AT CLS-21
 INSTALLATION AT CLS-21</t>
  </si>
  <si>
    <t>CSE-2171-72-PMT-T-043</t>
  </si>
  <si>
    <t>2171-2172-NN-0054</t>
  </si>
  <si>
    <t xml:space="preserve">2171-2172-NPCC-MWS-T-0022 </t>
  </si>
  <si>
    <t xml:space="preserve">2171-2172-NPCC-T-1761 </t>
  </si>
  <si>
    <t>2171-2172-NPCC-T-1673</t>
  </si>
  <si>
    <t>OFO-P2171-SK-069</t>
  </si>
  <si>
    <t>OFO-P2171-SK-070</t>
  </si>
  <si>
    <t>2171-2172-NPCC-MWS-T-0023</t>
  </si>
  <si>
    <t>2171-2172-NPCC-MWS-T-0024</t>
  </si>
  <si>
    <t>LIFTING &amp; INSTALLATION OF BISEP &amp; HTM (PLB-648)</t>
  </si>
  <si>
    <t>LIFTING &amp; INSTALLATION OF BISEP &amp; HTM (DELMA-2000)</t>
  </si>
  <si>
    <t>CSE-2171-72-PMT-T-044</t>
  </si>
  <si>
    <t xml:space="preserve">
SEAFASTENING DESIGN REPORT FOR TRANSPORTATION OF SSVS, SPOOLS &amp; SHROUD ON CREST-287</t>
  </si>
  <si>
    <t>2171-2172-NN-RP-021</t>
  </si>
  <si>
    <t>LOADING ARRANGEMENT &amp; SEAFASTENING DETAILS OF  SPOOLS, VALVE SKIDS &amp; SHROUDS  @ CREST 287</t>
  </si>
  <si>
    <t>STABILITY ANALYSIS FOR TRANSPORTATION OF VALVE SKID, SPOOLS, SHROUDS &amp; SLEEPERS FOR 
CFL-33 &amp; 35 @ EOS-283</t>
  </si>
  <si>
    <t>2171-2172-ZZ-CL-020</t>
  </si>
  <si>
    <t>CSE-2171-72-PMT-T-045</t>
  </si>
  <si>
    <t>CSE-2171-72-PMT-T-046</t>
  </si>
  <si>
    <t>2171-2172-NPCC-T-1767</t>
  </si>
  <si>
    <t>2171-2172-NPCC-MWS-T-0025</t>
  </si>
  <si>
    <t>2171-2172-NPCC-T-1768</t>
  </si>
  <si>
    <t>2171-2172-NPCC-MWS-T-0026</t>
  </si>
  <si>
    <t>2171-2172-ZZ-CL-021</t>
  </si>
  <si>
    <t>STABILITY ANALYSIS FOR TRANSPORTATION OF SPOOLS &amp; SHROUDS @ GOGAS-250</t>
  </si>
  <si>
    <t>CSE-2171-72-PMT-T-047</t>
  </si>
  <si>
    <t xml:space="preserve">
SEAFASTENING DESIGN REPORT FOR TRANSPORTATION OF SPOOLS ON GOGAS-250</t>
  </si>
  <si>
    <t>2171-2172-NN-RP-022</t>
  </si>
  <si>
    <t>2171-2172-NPCC-T-1770</t>
  </si>
  <si>
    <t>2171-2172-NPCC-MWS-T-0027</t>
  </si>
  <si>
    <t>CSE-2171-72-PMT-T-048</t>
  </si>
  <si>
    <t>CSE-2171-72-PMT-T-049</t>
  </si>
  <si>
    <t>2171-2172-NPCC-T-1771</t>
  </si>
  <si>
    <t>2171-2172-NPCC-MWS-T-0028</t>
  </si>
  <si>
    <t>2171-2172-NN-RP-023</t>
  </si>
  <si>
    <t>SEAFASTENING DESIGN REPORT FOR TRANSPORTATION OF SSVS, SPOOLS AND SLEEPERS ON EOS-283</t>
  </si>
  <si>
    <t>CSE-2171-72-PMT-T-050</t>
  </si>
  <si>
    <t>2171-2172-NPCC-T-1774</t>
  </si>
  <si>
    <t>2171-2172-NPCC-MWS-T-0030</t>
  </si>
  <si>
    <t>2171-2172-NPCC-T-1773</t>
  </si>
  <si>
    <t>2171-2172-NPCC-MWS-T-0029</t>
  </si>
  <si>
    <t xml:space="preserve">SPOOL LIFTING ANALYSIS REPORT FOR 48" BYPASS PIPELINE-1 </t>
  </si>
  <si>
    <t>SPOOL LIFTING ANALYSIS REPORT FOR 48" BYPASS PIPELINE-4</t>
  </si>
  <si>
    <t>2171-2172-NPCC-T-1762</t>
  </si>
  <si>
    <t xml:space="preserve">2171-2172-NPCC-T-1763 </t>
  </si>
  <si>
    <t>LIFTING AND INSTALLATION OF 48" BYPASS PIPELINE SPOOL G.A-2 FOR BYPASS P/L-2 NEAR CFL33W(PLEM33/SPM33)</t>
  </si>
  <si>
    <t>LIFTING AND INSTALLATION OF 48" BYPASS PIPELINE SPOOL G.A-3 FOR BYPASS P/L-2 NEAR CFL33W(PLEM33/SPM33)</t>
  </si>
  <si>
    <t>LIFTING AND INSTALLATION OF SPOOL AT SUBSEA VALVE SKID ON PIPELINE-1 TO CLS-21</t>
  </si>
  <si>
    <t>2171-2172-NN-0055</t>
  </si>
  <si>
    <t>CSE-2171-72-PMT-T-051</t>
  </si>
  <si>
    <t>CSE-2171-72-PMT-T-052</t>
  </si>
  <si>
    <t>1</t>
  </si>
  <si>
    <t>LIFTING AND INSTALLATION OF 48" BYPASS PIPELINE SPOOL G.A FOR BYPASS P/L-2 AT CFL31W (PLEM31/SPM31)</t>
  </si>
  <si>
    <t>LIFTING AND INSTALLATION OF 48" BYPASS PIPELINE FOR BYPASS P/L-2 AT MIDLINE TIE-IN-2</t>
  </si>
  <si>
    <t>2171-2172-NN-0056</t>
  </si>
  <si>
    <t>BAS1178-TRN 025</t>
  </si>
  <si>
    <t>BAS1178-TRN 027</t>
  </si>
  <si>
    <t>BAS1178-TRN 026</t>
  </si>
  <si>
    <t>BAS1178-TRN 028</t>
  </si>
  <si>
    <t>2171-2172-NN-0057</t>
  </si>
  <si>
    <t xml:space="preserve"> LIFTING AND INSTALLATION OF 48" BYPASS PIPELINE TIE-IN SPOOL GA AT CFL 33W (PLEM33/SPM33)</t>
  </si>
  <si>
    <t>2171-2172-NN-0058</t>
  </si>
  <si>
    <t>CSE-2171-72-PMT-T-053</t>
  </si>
  <si>
    <t>LIFTING AND INSTALLATION OF 48" BYPASS PIPELINE SPOOL G.A FOR BYPASS P/L-2 AT CFL33W (PLEM33/SPM33)</t>
  </si>
  <si>
    <t>2171-2172-NN-0059</t>
  </si>
  <si>
    <t>TYPICAL CONCRETE SLEEPER LIFTING FOR BYPASS P/L-1, 2, 3 &amp; 4 BY TELFORD-25</t>
  </si>
  <si>
    <t>2171-2172-NN-0060</t>
  </si>
  <si>
    <t>CSE-2171-72-PMT-T-054</t>
  </si>
  <si>
    <t>2171-2172-NN-0061</t>
  </si>
  <si>
    <t>LIFTING AND INSTALLATION OF 48" BYPASS PIPELINE-4 SPOOL G.A-1 FOR BYPASS PIPELINE-4 AT CROSSING  CFL36 PIPELINE</t>
  </si>
  <si>
    <t>CSE-2171-72-PMT-T-055</t>
  </si>
  <si>
    <t>2171-2172-NN-0062</t>
  </si>
  <si>
    <t>LIFTING AND INSTALLATION OF 48" BYPASS PIPELINE-4 SPOOL G.A-2 AT CFL34E (PLEM34 / SPM34)</t>
  </si>
  <si>
    <t>LIFTING AND INSTALLATION OF 48" BYPASS PIPELINE FOR BYPASS P/L-2 FOR CROSSING CFL32 PIPELINE</t>
  </si>
  <si>
    <t>LIFTING AND INSTALLATION OF 48" BYPASS P/L-2 SPOOL G.A-2 FOR BYPASS P/L-2 AT CROSSING  CFL33 PIPELINE</t>
  </si>
  <si>
    <t>LIFTING AND INSTALLATION OF 48" BYPASS PIPELINE-4 SPOOL G.A-2 FOR BYPASS PIPELINE-4 FOR CROSSING CFL35 PIPELINE</t>
  </si>
  <si>
    <t>CSE-2171-72-PMT-T-056</t>
  </si>
  <si>
    <t>LIFTING AND INSTALLATION OF 48" BYPASS PIPELINE-4 SPOOL G.A AT CFL35E (PLEM35 / SPM35)</t>
  </si>
  <si>
    <t>LIFTING AND INSTALLATION OF 48" BYPASS PIPELINE-4 SPOOL G.A AT CLS 24 (JOP)</t>
  </si>
  <si>
    <t>CSE-2171-72-PMT-T-057</t>
  </si>
  <si>
    <t>LIFTING AND INSTALLATION OF 48" BYPASS PIPELINE-3 SPOOL G.A AT CFL36E (PLEM36 / SPM36)</t>
  </si>
  <si>
    <t>CSE-2171-72-PMT-T-058</t>
  </si>
  <si>
    <t>CSE-2171-72-PMT-T-059</t>
  </si>
  <si>
    <t>SPOOL LIFTING ANALYSIS REPORT FOR 48" BYPASS PIPELINE-2,3 &amp; 4 BY TELFORD-25</t>
  </si>
  <si>
    <t xml:space="preserve">SPOOL LIFTING ANALYSIS REPORT FOR 48" BYPASS </t>
  </si>
  <si>
    <t>CSE-2171-72-PMT-T-060</t>
  </si>
  <si>
    <t>2171-2172-NN-0063</t>
  </si>
  <si>
    <t>LOADING ARRANGEMENT &amp; SEAFASTENING DETAILS OF VALVE SKID, SPOOLS, SHROUDS &amp; CONCRETE SLEEPERS FOR CFL-33 &amp; CFL-35 @ EOS-283 (NEW)</t>
  </si>
  <si>
    <t>CSE-2171-72-PMT-T-061</t>
  </si>
  <si>
    <t>re-sent</t>
  </si>
  <si>
    <t>2171-2172-NN-0064</t>
  </si>
  <si>
    <t>haresh D</t>
  </si>
  <si>
    <t>LOADING ARRANGEMENT &amp; SEAFASTENING DETAILS OF HOT TAP FRAME, SPOOLS &amp; FLUSHING EQUIPMENTS FOR CFL-32 @ GAC-81</t>
  </si>
  <si>
    <t>2171-2172-NN-0065</t>
  </si>
  <si>
    <t>LIFTING AND OFFLOADING (REMOVAL) OF SPOOLS AT SSVS CFL-32 BY DELMA-2000</t>
  </si>
  <si>
    <t>2171-2172-NN-0066</t>
  </si>
  <si>
    <t>OFO-P2171-SK-071</t>
  </si>
  <si>
    <t xml:space="preserve">LIFTING AND OFFLOADING (REMOVAL) OF SPOOLS AT SSVS CFL-32 BY DELMA-2000 </t>
  </si>
  <si>
    <t>CSE-2171-72-PMT-T-062</t>
  </si>
  <si>
    <t>MATERIAL STORAGE AT LB-II</t>
  </si>
  <si>
    <t xml:space="preserve">LIFTING AND INSTALLATION OF 48" SPOOL SPOOL G.A AT CFL34E (PLEM34 / SPM34)”
</t>
  </si>
  <si>
    <t>2171-2172-NN-0067</t>
  </si>
  <si>
    <t>CSE-2171-72-PMT-T-064</t>
  </si>
  <si>
    <t>BAS1178-TRN 029</t>
  </si>
  <si>
    <t>EMAIL</t>
  </si>
  <si>
    <t>OFO-P2171-SK-072</t>
  </si>
  <si>
    <t>LIFTING &amp; OFFLOADING OF VALVE SKID-CLS-24 AT NPCC JETTY</t>
  </si>
  <si>
    <t>SEAFASTENING DESIGN REPORT FOR MATERIAL TEMPORARY STORAGE ON LB-II</t>
  </si>
  <si>
    <t>2171-2172-NN-RP-024</t>
  </si>
  <si>
    <t>CSE-2171-72-PMT-T-065</t>
  </si>
  <si>
    <t>STABILITY ANALYSIS DURING TRANSPORTATION OF VALVE SKIDS, SPOOLS &amp; SHROUDS @ LB-II</t>
  </si>
  <si>
    <t>2171-2172-NPCC-MWS-T-0031</t>
  </si>
  <si>
    <t>2171-2172-NPCC-T-1865</t>
  </si>
  <si>
    <t>CSE-2171-72-PMT-T-066</t>
  </si>
  <si>
    <t>CSE-2171-72-PMT-T-067</t>
  </si>
  <si>
    <t>2171-2172-NPCC-MWS-T-0032</t>
  </si>
  <si>
    <t>Email from Hisham Qazani</t>
  </si>
  <si>
    <t>BAS1178-TRN 030</t>
  </si>
  <si>
    <t>BAS1178-TRN 031</t>
  </si>
  <si>
    <t>BAS1178-TRN 032</t>
  </si>
  <si>
    <t>OPEN COMMENTS</t>
  </si>
  <si>
    <t>BAS1178-TRN 033</t>
  </si>
  <si>
    <t>MOORING ANALYSIS DURING REMEDIAL WORK RECTIFICATION OF HOT TAPPING OPERATION AT CFL-34</t>
  </si>
  <si>
    <t>2171-2172-ZZ-CL-022</t>
  </si>
  <si>
    <t>CSE-2171-72-PMT-T-068</t>
  </si>
  <si>
    <t xml:space="preserve">STABILITY ANALYSIS FOR CARGO BARGE CB-6 
</t>
  </si>
  <si>
    <t>2171-2172-ZZ-CL-023</t>
  </si>
  <si>
    <t>OFO-P2171-SK-073</t>
  </si>
  <si>
    <t>2171-2172-NN-RP-025</t>
  </si>
  <si>
    <t>SEAFASTENING DESIGN REPORT FOR HOT TAP FRAME TRANSPORTATION ON CB-6</t>
  </si>
  <si>
    <t>OFO-P2171-SK-074</t>
  </si>
  <si>
    <t>LOADING ARRANGEMENT &amp; SEAFASTENING DETAILS OF HOT TAP FRAME @ CB-6</t>
  </si>
  <si>
    <t>LIFTING AND OFFLOADING OF FRAME</t>
  </si>
  <si>
    <t>CSE-2171-72-PMT-T-069</t>
  </si>
  <si>
    <t>2171-2172-NPCC-MWS-T-0033</t>
  </si>
  <si>
    <t>OFO-P2171-SK-075</t>
  </si>
  <si>
    <t>LIFTING AND OFFLOADING OF MISC. ITEM ON MICLYN-259</t>
  </si>
  <si>
    <t>OFO-P2171-SK-076</t>
  </si>
  <si>
    <t>SAT SYSTEM PLATFORM LAYOUT ON PLB-648</t>
  </si>
  <si>
    <t>BAS1178-TRN 034</t>
  </si>
  <si>
    <t>LIFTING &amp; INSTALLATION  OF SUPPORT FRAME, BISEP &amp; HTM AT CFL-34 (PLB-648)</t>
  </si>
  <si>
    <t>OFO-P2171-SK-077</t>
  </si>
  <si>
    <t xml:space="preserve">2171-2172-NPCC-T-1865 </t>
  </si>
  <si>
    <t xml:space="preserve">2171-2172-NPCC-T-1786 </t>
  </si>
  <si>
    <t>CSE-2171-72-PMT-T-070</t>
  </si>
  <si>
    <t>3 + 33</t>
  </si>
  <si>
    <t>B, 1</t>
  </si>
  <si>
    <t>sent to fabrication T-039 
31/07/2023</t>
  </si>
  <si>
    <t>email</t>
  </si>
  <si>
    <t>OFO-P2171-SK-078</t>
  </si>
  <si>
    <t>OFO-P2171-SK-079</t>
  </si>
  <si>
    <t>OFO-P2171-SK-080</t>
  </si>
  <si>
    <t>OFO-P2171-SK-081</t>
  </si>
  <si>
    <t>A, 0</t>
  </si>
  <si>
    <t xml:space="preserve">DETAILS OF ENCAPSULATION BRACKET - 1 FOR 48" HTC ACTUATOR FLANGE </t>
  </si>
  <si>
    <t xml:space="preserve">DETAILS OF ENCAPSULATION BRACKET - 2 FOR 48" HTC ACTUATOR </t>
  </si>
  <si>
    <t xml:space="preserve">DETAILS OF ENCAPSULATION BRACKET - 3 FOR 48" HTC ACTUATOR FLANGE </t>
  </si>
  <si>
    <t>1 + 2</t>
  </si>
  <si>
    <t>ENCAPSULATION BRACKETS ARRANGEMENT FOR 48" HTC ACTUATOR FLANGE</t>
  </si>
  <si>
    <t>ENCAPSULATION BRACKETS ARRANGEMENTFOR 48” MECH. CONNECTORS</t>
  </si>
  <si>
    <t>DETAILS OF ENCAPSULATION BRACKET – 1 FOR 48” MECH. CONNECTORS</t>
  </si>
  <si>
    <t>DETAILS OF ENCAPSULATION BRACKET –2 FOR 48” MECH. CONNECTORS</t>
  </si>
  <si>
    <t>DETAILS OF ENCAPSULATION BRACKET –3 FOR 48” MECH. CONNECTORS</t>
  </si>
  <si>
    <t>OFO-P2171-SK-082</t>
  </si>
  <si>
    <t>OFO-P2171-SK-083</t>
  </si>
  <si>
    <t>OFO-P2171-SK-084</t>
  </si>
  <si>
    <t>OFO-P2171-SK-085</t>
  </si>
  <si>
    <t>sent to fabrication T-040 
30/10/2023 resent on 06/11</t>
  </si>
  <si>
    <t xml:space="preserve">sent to fabrication T-041 
07/11/2023 </t>
  </si>
  <si>
    <t>OFO-P2171-SK-086</t>
  </si>
  <si>
    <t>SHUJAA 2000 SAT &amp; FLUSHING EQUIPMENT LAYOUT</t>
  </si>
  <si>
    <t>DETAILS OF 48'' MECHANICAL CONNECTOR BLIND FLANGE &amp; 48'' HOT TAP CLAMP BLIND FLANGE</t>
  </si>
  <si>
    <t>OFO-P2171-SK-087</t>
  </si>
  <si>
    <t xml:space="preserve">sent to fabrication T-042
17/11/2023 </t>
  </si>
  <si>
    <t>OFO-P2171-SK-088</t>
  </si>
  <si>
    <t>LIFTING &amp; RECOVERY OF BISEP ASSEMBLY (SHUJAA-2000)</t>
  </si>
  <si>
    <t>OFO-P2171-SK-089</t>
  </si>
  <si>
    <t>LIFTING &amp; RECOVERY OF HOT FRAME ASSEMBLY (SHUJAA-2000)</t>
  </si>
  <si>
    <t>RECOVERY OF 48" BYPASS SPOOL AT CFL34E (PLEM34 / SPM34) JOP SIDE PIPELINE-4</t>
  </si>
  <si>
    <t>2171-2172-NN-0068</t>
  </si>
  <si>
    <t>2171-2172-NN-0069</t>
  </si>
  <si>
    <t>LIFTING AND INSTALLATION OF 48" BYPASS SPOOL AT CFL34E (PLEM34 / SPM34) PIPELINE-4</t>
  </si>
  <si>
    <t>2171-2172-NN-0070</t>
  </si>
  <si>
    <t>CSE-2171-72-PMT-T-071</t>
  </si>
  <si>
    <t>CSE-2171-72-PMT-T-072</t>
  </si>
  <si>
    <t>OFO-P2171-SK-090</t>
  </si>
  <si>
    <t>OFO-P2171-SK-091</t>
  </si>
  <si>
    <t>CCC MARITIME-II DECK LAYOUT FOR STATS EQUIPMENTS DURING CFL 34 REMEDIAL WORK</t>
  </si>
  <si>
    <t>2171-2172-NN-RP-026</t>
  </si>
  <si>
    <t>SEAFASTENING DESIGN REPORT FOR  TRANSPORTATION OF SSVS AND SPOOLS ON EOS 283</t>
  </si>
  <si>
    <t>2171-2172-NN-0071</t>
  </si>
  <si>
    <t>STABILITY ANALYSIS FOR CARGO BARGE EOS-283 LOADED WITH VALVE SKIDS, SPOOLS AND SHROUDS</t>
  </si>
  <si>
    <t>2171-2172-ZZ-CL-024</t>
  </si>
  <si>
    <t>CSE-2171-72-PMT-T-073</t>
  </si>
  <si>
    <t>LIFTING AND OFFLOADING 500MT CABLE TANK BY DLB-1000 AT NPCC JETTY</t>
  </si>
  <si>
    <t>OFO-P2171-SK-092</t>
  </si>
  <si>
    <t>LIFTING AND OFFLOADING OF SSVS BY SAFEEN-3000 AT NPCC JETTY</t>
  </si>
  <si>
    <t>OFO-P2171-SK-093</t>
  </si>
  <si>
    <t>LIFTING AND OFFLOADING 500MT CABLE TANK BY SAFEEN-3000 AT NPCC JETTY</t>
  </si>
  <si>
    <t>OFO-P2171-SK-094</t>
  </si>
  <si>
    <t>OFO-P2171-SK-095</t>
  </si>
  <si>
    <t>CSE-2171-72-PMT-T-074</t>
  </si>
  <si>
    <t>A-FRAMES REMOVAL ARRANGEMENT BY CCC MARITIME-II</t>
  </si>
  <si>
    <t>OFO-P2171-SK-096</t>
  </si>
  <si>
    <t>SEAFASTENING DESIGN REPORT FOR  TRANSPORTATION OF SPOOLS AND SLEEPERS ON GAC -81</t>
  </si>
  <si>
    <t>2171-2172-NN-RP-027</t>
  </si>
  <si>
    <t>STABILITY ANALYSIS FOR CARGO BARGE GAC-81 LOADED WITH SLEEPERS AND SPOOLS</t>
  </si>
  <si>
    <t>2171-2172-ZZ-CL-025</t>
  </si>
  <si>
    <t>LOADING ARRANGEMENT &amp; SEAFASTENING DETAILS OF VALVE SKID, SPOOLS &amp; SHROUDS FOR CFL-31, CFL-33, CFL-34, CFL-35, AND CFL-36</t>
  </si>
  <si>
    <t>2171-2172-NN-0072</t>
  </si>
  <si>
    <t>LOADING ARRANGEMENT &amp; SEAFASTENING DETAILS OF SPOOLS &amp; SLEEPERS @ GAC-81</t>
  </si>
  <si>
    <t>CSE-2171-72-PMT-T-075</t>
  </si>
  <si>
    <t>2171-2172-NPCC-T-1971</t>
  </si>
  <si>
    <t>2171-2172-NPCC-MWS-T-0034</t>
  </si>
  <si>
    <t>LIFTING AND OFFLOADING SPOOLS &amp; SSVS BY DLB-1000 AT NPCC JETTY</t>
  </si>
  <si>
    <t>BAS1178-TRN 035</t>
  </si>
  <si>
    <t>BAS1178-TRN 036</t>
  </si>
  <si>
    <t>LAYDOWN HEAD RECOVERY ARRANGEMENT BY CCC MARITIME-II</t>
  </si>
  <si>
    <t>LIFTING AND INSTALLATION OF 48" BYPASS PIPELINE SPOOL GA FOR BYPASS P/L-2 AT MIDLINE TIE-IN-2</t>
  </si>
  <si>
    <t>LIFTING AND INSTALLATION OF 48" BYPASS PIPELINE FOR BYPASS PIPELINE-2 FOR CROSSING CFL 32 PIPELINE</t>
  </si>
  <si>
    <t>LIFTING AND INSTALLATION OF 48" BYPASS PIPELINE SPOOL G.A.-2 FOR BYPASS P/L-2 NEAR CFL 33W(PLEM33/SPM33)</t>
  </si>
  <si>
    <t>LIFTING AND INSTALLATION OF 48" BYPASS PIPELINE SPOOL G.A.-3 FOR BYPASS P/L-2 NEAR CFL33W(PLEM33/SPM33)</t>
  </si>
  <si>
    <t>2171-2172-NN-0073</t>
  </si>
  <si>
    <t>2171-2172-NN-0074</t>
  </si>
  <si>
    <t>2171-2172-NN-0075</t>
  </si>
  <si>
    <t>2171-2172-NN-0076</t>
  </si>
  <si>
    <t>RECOVERY OF 48" BYPASS SPOOL AT CFL34E (PLEM34 / SPM34) SPM34 SIDE PIPELINE-4</t>
  </si>
  <si>
    <t>CSE-2171-72-PMT-T-076</t>
  </si>
  <si>
    <t>OFO-P2171-SK-097</t>
  </si>
  <si>
    <t>LIFTING AND INSTALLATION OF 48" BYPASS PIPELINE SPOOL G.A.-2 FOR BYPASS P/L-2 NEAR CFL 33W(PLEM33/SPM33) BY SHUJAA-2000</t>
  </si>
  <si>
    <t>LIFTING AND INSTALLATION OF 48" BYPASS PIPELINE SPOOL-2 GA AT CFL31W (PLEM31 / SPM31) BY SHUJAA-2000</t>
  </si>
  <si>
    <t>LIFTING AND INSTALLATION OF 48" BYPASS PIPELINE FOR BYPASS PIPELINE-4 FOR CROSSING CFL36 PIPELINE (SPOOL-1) BY SHUJAA-2000</t>
  </si>
  <si>
    <t>LIFTING AND INSTALLATION OF 48" BYPASS PIPELINE AT CFL 35E (PLEM 35 / SPM 35) BY SHUJAA-2000</t>
  </si>
  <si>
    <t>2171-2172-NN-0077</t>
  </si>
  <si>
    <t>2171-2172-NN-0078</t>
  </si>
  <si>
    <t>2171-2172-NN-0079</t>
  </si>
  <si>
    <t>2171-2172-NN-0080</t>
  </si>
  <si>
    <t>2171-2172-NN-0081</t>
  </si>
  <si>
    <t>2171-2172-NN-0082</t>
  </si>
  <si>
    <t>2171-2172-NN-0083</t>
  </si>
  <si>
    <t>LIFTING AND INSTALLATION OF 48" BYPASS PIPELINE-2 TIE-IN SPOOL GA AT CFL 33W(PLEM33/SPM33) BY SHUJAA-2000</t>
  </si>
  <si>
    <t>LIFTING AND INSTALLATION OF 48" BYPASS PIPELINE-2 AT CFL 33W (PLEM 33 / SPM 33) BY SHUJAA-2000</t>
  </si>
  <si>
    <t>LIFTING AND INSTALLATION OF 48" BYPASS PIPELINE-2 SPOOL-1 GA AT CFL31W (PLEM31 / SPM31) BY SHUJAA-2000</t>
  </si>
  <si>
    <t>LIFTING &amp; RECOVERY OF HOT TAP FRAME ASSEMBLY (SHUJAA-2000) (OPTION-1)</t>
  </si>
  <si>
    <t>CSE-2171-72-PMT-T-077</t>
  </si>
  <si>
    <t>LIFTING &amp; RECOVERY OF HOT TAP FRAME-1 ASSEMBLY NY (SHUJAA-2000)</t>
  </si>
  <si>
    <t>OFO-P2171-SK-098</t>
  </si>
  <si>
    <t>LOADING ARRANGEMENT &amp; SEAFASTENING DETAILS OF SPOOLS (TRANSIT) @ GAC-81</t>
  </si>
  <si>
    <t>2171-2172-NN-0084</t>
  </si>
  <si>
    <t>CSE-2171-72-PMT-T-078</t>
  </si>
  <si>
    <t>2171-2172-NN-0085</t>
  </si>
  <si>
    <t>2171-2172-NPCC-MWS-T-0036</t>
  </si>
  <si>
    <t>2171-2172-NPCC-T-2017</t>
  </si>
  <si>
    <t>BAS1178-TRN 037</t>
  </si>
  <si>
    <t>BAS1178-TRN 038</t>
  </si>
  <si>
    <t>TYPICAL CONCRETE SLEEPER LIFTING FOR BYPASS P/L-1 &amp; 4 BY SHUJAA 2000</t>
  </si>
  <si>
    <t>CSE-2171-72-PMT-T-079</t>
  </si>
  <si>
    <t>LIFTING AND INSTALLATION OF 48" CORRDIOR SPOOLS FOR BYPASS PIPELINE-2</t>
  </si>
  <si>
    <t>2171-2172-NN-0086</t>
  </si>
  <si>
    <t>2171-2172-NPCC-MWS-T-0037</t>
  </si>
  <si>
    <t>2171-2172-NPCC-T-2019</t>
  </si>
  <si>
    <t>CSE-2171-72-PMT-T-080</t>
  </si>
  <si>
    <t>LIFTING AND INSTALLATION OF 48" CORRDIOR SPOOLS FOR BYPASS PIPELINE-4</t>
  </si>
  <si>
    <t>2171-2172-NN-0087</t>
  </si>
  <si>
    <t>CSE-2171-72-PMT-T-081</t>
  </si>
  <si>
    <t>2171-2172-NPCC-MWS-T-0038</t>
  </si>
  <si>
    <t>OFO-P2171-SK-099</t>
  </si>
  <si>
    <t>TYPICAL START-UP HEAD RECOVERY ARRANGEMENT BY CCC MARITIME-II</t>
  </si>
  <si>
    <t>2171-2172-NPCC-T-2026</t>
  </si>
  <si>
    <t>TYPICAL LIFTING ARRANGEMENT FOR B-CON MISALIGNMENT FLANGE 48 IN CLASS 300</t>
  </si>
  <si>
    <t>OFO-P2171-SK-100</t>
  </si>
  <si>
    <t>CSE-2171-72-PMT-T-082</t>
  </si>
  <si>
    <t>TYPICAL LAYDOWN HEAD RECOVERY ARRANGEMENT BY SHUJAA-2000</t>
  </si>
  <si>
    <t>OFO-P2171-SK-101</t>
  </si>
  <si>
    <t>OFO-P2171-SK-102</t>
  </si>
  <si>
    <t>OFO-P2171-SK-103</t>
  </si>
  <si>
    <t>TYPICAL STEPS FOR SPOOLS LIFTING</t>
  </si>
  <si>
    <t>ROTATION OF 48" CORRDIOR SPOOLS FOR BYPASS PIPELINE-2 AT CROSSING CFL33</t>
  </si>
  <si>
    <t>OFO-P2171-SK-104</t>
  </si>
  <si>
    <t>OFO-P2171-SK-105</t>
  </si>
  <si>
    <t>LIFTING OF 48" CORRDIOR SPOOLS FOR BYPASS PIPELINE-2 AT CROSSING CFL32</t>
  </si>
  <si>
    <t>ROTATION OF 48" CORRDIOR SPOOLS FOR BYPASS PIPELINE-2 AT CROSSING CFL32</t>
  </si>
  <si>
    <t>ROTATION OF 48" CORRIDOR SPOOLS FOR BYPASS PIPELINE-4 AT CROSSING CFL35</t>
  </si>
  <si>
    <t>ROTATION OF 48" CORRIDOR SPOOLS FOR BYPASS PIPELINE-4 AT CROSSING CFL36 PART-1</t>
  </si>
  <si>
    <t>OFO-P2171-SK-106</t>
  </si>
  <si>
    <t>OFO-P2171-SK-107</t>
  </si>
  <si>
    <t>OFO-P2171-SK-108</t>
  </si>
  <si>
    <t>AIR BAG ARRANGEMENT FOR 48" SPOOL</t>
  </si>
  <si>
    <t>LIFTING AND INSTALLATION OF FLOODED 48" CORRIDOR SPOOL FOR BYPASS PIPELINE-2 (FOR CROSSING CFL32)</t>
  </si>
  <si>
    <t>2171-2172-NN-0088</t>
  </si>
  <si>
    <t>OFO-P2171-SK-109</t>
  </si>
  <si>
    <t>ROTATION OF FLOODED 48" CORRDIOR SPOOL FOR BYPASS PIPELINE-2 AT CROSSING CFL32</t>
  </si>
  <si>
    <t>OFO-P2171-SK-110</t>
  </si>
  <si>
    <t>PROJECT MATERIAL TRANSFER LAYOUT FROM EOS-283/LB-II TO B-42 USING DLB-1000 MAIN CRANE</t>
  </si>
  <si>
    <t>LIFTING AND INSTALLATION OF 48" CORRDIOR SPOOLS PART-2 FOR BYPASS PIPELINE-4 AT CROSSING CFL35</t>
  </si>
  <si>
    <t>LIFTING AND INSTALLATION OF 48" CORRDIOR SPOOLS PART-1 FOR BYPASS PIPELINE-4 AT CROSSING CFL36</t>
  </si>
  <si>
    <t>2171-2172-NN-0089</t>
  </si>
  <si>
    <t>2171-2172-NN-0090</t>
  </si>
  <si>
    <t>OFO-P2171-SK-111</t>
  </si>
  <si>
    <t>OFO-P2171-SK-112</t>
  </si>
  <si>
    <t>ROTATION 48" CORRDIOR SPOOL PART-2 FOR BYPASS PIPELINE-4 AT CROSSING CFL35</t>
  </si>
  <si>
    <t>ROTATION 48" CORRDIOR SPOOL PART-1 FOR BYPASS PIPELINE-4 AT CROSSING CFL36</t>
  </si>
  <si>
    <t>OFO-P2171-SK-113</t>
  </si>
  <si>
    <t>HORIZONTAL LIFTING OF 48" CORRDIOR SPOOL PART-2 FOR BYPASS PIPELINE-4 AT CROSSING CFL35</t>
  </si>
  <si>
    <t>LOADING ARRANGEMENT &amp; SEAFASTENING DETAILS OF HOT TAP FRAMES &amp; LAYDOWN HEADS @ GAC-81</t>
  </si>
  <si>
    <t>2171-2172-NN-0091</t>
  </si>
  <si>
    <t>CSE-2171-72-PMT-T-083</t>
  </si>
  <si>
    <t>STABILITY ANALYSIS FOR CARGO BARGE GAC-81 WITH HOT TAP FRAMES &amp; LAY DOWN HEADS ONBOARD</t>
  </si>
  <si>
    <t>SEAFASTENING DESIGN REPORT FOR GAC-81 WITH HOT TAP FRAMES &amp; LAY DOWN HEADS ONBOARD</t>
  </si>
  <si>
    <t>2171-2172-ZZ-CL-026</t>
  </si>
  <si>
    <t>2171-2172-NN-RP-028</t>
  </si>
  <si>
    <t>CSE-2171-72-PMT-T-084</t>
  </si>
  <si>
    <t>CSE-2171-72-PMT-T-085</t>
  </si>
  <si>
    <t>OFO-P2171-SK-114</t>
  </si>
  <si>
    <t>PROJECT MATERIAL LAYOUT ARRANGEMENT ON  B-42 AT NMDC JETTY</t>
  </si>
  <si>
    <t>CSE-2171-72-PMT-T-086</t>
  </si>
  <si>
    <t>2171-2172-NPCC-MWS-T-0039</t>
  </si>
  <si>
    <t>CSE-2171-72-PMT-T-087</t>
  </si>
  <si>
    <t>2171-2172-NPCC-T-1873</t>
  </si>
  <si>
    <t>2171-2172-NPCC-T-2021</t>
  </si>
  <si>
    <t>2171-2172-NPCC-T-2022</t>
  </si>
  <si>
    <t>2171-2172-NPCC-T-2027</t>
  </si>
  <si>
    <t>BAS1178-TRN 040</t>
  </si>
  <si>
    <t>BAS1178-TRN 039</t>
  </si>
  <si>
    <t>CSE-2171-72-PMT-T-088</t>
  </si>
  <si>
    <t>CSE-2171-72-PMT-T-089</t>
  </si>
  <si>
    <t>OFO-P2171-SK-115</t>
  </si>
  <si>
    <t>PROPOSE SPOOLS (80M) LAYOUT AT CFL-34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</si>
</sst>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\-mmm\-yyyy;@"/>
    <numFmt numFmtId="167" formatCode="[$-409]d/mmm/yy;@"/>
    <numFmt numFmtId="168" formatCode="[$-F400]h:mm:ss\ AM/PM"/>
  </numFmts>
  <fonts count="31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b/>
      <sz val="10"/>
      <color indexed="8"/>
      <name val="Tahoma"/>
      <family val="2"/>
    </font>
    <font>
      <sz val="11"/>
      <color rgb="FF000000"/>
      <name val="Calibri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u/>
      <sz val="11"/>
      <color theme="10"/>
      <name val="Calibri"/>
      <family val="2"/>
      <scheme val="minor"/>
    </font>
    <font>
      <b/>
      <u/>
      <sz val="8"/>
      <name val="Tahoma"/>
      <family val="2"/>
    </font>
    <font>
      <u/>
      <sz val="9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9"/>
      <color theme="1"/>
      <name val="Times New Roman"/>
      <family val="1"/>
    </font>
    <font>
      <u/>
      <sz val="8"/>
      <color theme="10"/>
      <name val="Calibri"/>
      <family val="2"/>
      <scheme val="minor"/>
    </font>
    <font>
      <b/>
      <sz val="10"/>
      <color rgb="FFFF0000"/>
      <name val="Times New Roman"/>
      <family val="1"/>
    </font>
    <font>
      <b/>
      <sz val="8"/>
      <name val="Calibri"/>
      <family val="2"/>
      <scheme val="minor"/>
    </font>
    <font>
      <sz val="8"/>
      <name val="Times New Roman"/>
      <family val="1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Tms Rmn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</borders>
  <cellStyleXfs count="5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0" fontId="14" fillId="0" borderId="0" applyNumberFormat="0" applyFill="0" applyBorder="0" applyAlignment="0" applyProtection="0"/>
  </cellStyleXfs>
  <cellXfs count="273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2" fillId="0" borderId="0" xfId="2" applyFont="1" applyAlignment="1">
      <alignment wrapText="1"/>
    </xf>
    <xf numFmtId="0" fontId="6" fillId="2" borderId="14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24" xfId="2" applyFont="1" applyFill="1" applyBorder="1" applyAlignment="1">
      <alignment horizontal="center" vertical="center"/>
    </xf>
    <xf numFmtId="0" fontId="3" fillId="2" borderId="25" xfId="2" applyFont="1" applyFill="1" applyBorder="1" applyAlignment="1">
      <alignment vertical="center"/>
    </xf>
    <xf numFmtId="0" fontId="3" fillId="2" borderId="26" xfId="2" applyFont="1" applyFill="1" applyBorder="1" applyAlignment="1">
      <alignment vertical="center"/>
    </xf>
    <xf numFmtId="0" fontId="3" fillId="2" borderId="27" xfId="2" applyFont="1" applyFill="1" applyBorder="1" applyAlignment="1">
      <alignment vertical="center"/>
    </xf>
    <xf numFmtId="0" fontId="7" fillId="2" borderId="19" xfId="1" applyNumberFormat="1" applyFont="1" applyFill="1" applyBorder="1" applyAlignment="1">
      <alignment vertical="center"/>
    </xf>
    <xf numFmtId="0" fontId="7" fillId="2" borderId="23" xfId="1" applyNumberFormat="1" applyFont="1" applyFill="1" applyBorder="1" applyAlignment="1">
      <alignment vertical="center"/>
    </xf>
    <xf numFmtId="0" fontId="7" fillId="2" borderId="21" xfId="1" applyNumberFormat="1" applyFont="1" applyFill="1" applyBorder="1" applyAlignment="1">
      <alignment vertical="center"/>
    </xf>
    <xf numFmtId="0" fontId="3" fillId="2" borderId="19" xfId="1" applyNumberFormat="1" applyFont="1" applyFill="1" applyBorder="1" applyAlignment="1">
      <alignment vertical="center"/>
    </xf>
    <xf numFmtId="0" fontId="3" fillId="2" borderId="23" xfId="1" applyNumberFormat="1" applyFont="1" applyFill="1" applyBorder="1" applyAlignment="1">
      <alignment vertical="center"/>
    </xf>
    <xf numFmtId="0" fontId="3" fillId="2" borderId="21" xfId="1" applyNumberFormat="1" applyFont="1" applyFill="1" applyBorder="1" applyAlignment="1">
      <alignment vertical="center"/>
    </xf>
    <xf numFmtId="0" fontId="3" fillId="2" borderId="24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31" xfId="1" applyNumberFormat="1" applyFont="1" applyFill="1" applyBorder="1" applyAlignment="1">
      <alignment vertical="center"/>
    </xf>
    <xf numFmtId="0" fontId="5" fillId="0" borderId="5" xfId="2" applyFont="1" applyBorder="1" applyAlignment="1">
      <alignment horizontal="center" vertical="center" wrapText="1"/>
    </xf>
    <xf numFmtId="164" fontId="12" fillId="5" borderId="18" xfId="0" applyFont="1" applyFill="1" applyBorder="1" applyAlignment="1">
      <alignment horizontal="center" vertical="center" wrapText="1"/>
    </xf>
    <xf numFmtId="164" fontId="11" fillId="5" borderId="18" xfId="0" applyFont="1" applyFill="1" applyBorder="1" applyAlignment="1">
      <alignment horizontal="center" vertical="center"/>
    </xf>
    <xf numFmtId="165" fontId="11" fillId="5" borderId="18" xfId="0" applyNumberFormat="1" applyFont="1" applyFill="1" applyBorder="1" applyAlignment="1">
      <alignment horizontal="center" vertical="center"/>
    </xf>
    <xf numFmtId="164" fontId="13" fillId="0" borderId="18" xfId="0" applyFont="1" applyBorder="1" applyAlignment="1">
      <alignment horizont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164" fontId="4" fillId="3" borderId="12" xfId="0" applyFont="1" applyFill="1" applyBorder="1"/>
    <xf numFmtId="0" fontId="5" fillId="3" borderId="12" xfId="2" applyFont="1" applyFill="1" applyBorder="1" applyAlignment="1">
      <alignment horizontal="center" vertical="center"/>
    </xf>
    <xf numFmtId="0" fontId="5" fillId="3" borderId="22" xfId="2" applyFont="1" applyFill="1" applyBorder="1" applyAlignment="1">
      <alignment horizontal="center" vertical="center"/>
    </xf>
    <xf numFmtId="0" fontId="5" fillId="3" borderId="34" xfId="2" applyFont="1" applyFill="1" applyBorder="1" applyAlignment="1">
      <alignment horizontal="centerContinuous" vertical="center"/>
    </xf>
    <xf numFmtId="165" fontId="5" fillId="3" borderId="34" xfId="2" applyNumberFormat="1" applyFont="1" applyFill="1" applyBorder="1" applyAlignment="1">
      <alignment horizontal="centerContinuous" vertical="center"/>
    </xf>
    <xf numFmtId="0" fontId="5" fillId="3" borderId="35" xfId="2" applyFont="1" applyFill="1" applyBorder="1" applyAlignment="1">
      <alignment horizontal="center" vertical="center"/>
    </xf>
    <xf numFmtId="0" fontId="16" fillId="0" borderId="10" xfId="2" applyFont="1" applyBorder="1" applyAlignment="1">
      <alignment horizontal="center" vertical="center"/>
    </xf>
    <xf numFmtId="0" fontId="16" fillId="0" borderId="10" xfId="2" applyFont="1" applyBorder="1" applyAlignment="1">
      <alignment horizontal="center" vertical="center" wrapText="1"/>
    </xf>
    <xf numFmtId="164" fontId="16" fillId="0" borderId="10" xfId="0" applyFont="1" applyBorder="1" applyAlignment="1">
      <alignment horizontal="center" vertical="center"/>
    </xf>
    <xf numFmtId="0" fontId="16" fillId="0" borderId="18" xfId="2" applyFont="1" applyBorder="1" applyAlignment="1">
      <alignment horizontal="center" vertical="center" wrapText="1"/>
    </xf>
    <xf numFmtId="165" fontId="17" fillId="0" borderId="18" xfId="2" applyNumberFormat="1" applyFont="1" applyBorder="1" applyAlignment="1">
      <alignment horizontal="centerContinuous" vertical="center"/>
    </xf>
    <xf numFmtId="165" fontId="17" fillId="0" borderId="34" xfId="2" applyNumberFormat="1" applyFont="1" applyBorder="1" applyAlignment="1">
      <alignment horizontal="centerContinuous" vertical="center"/>
    </xf>
    <xf numFmtId="164" fontId="16" fillId="0" borderId="18" xfId="0" applyFont="1" applyBorder="1"/>
    <xf numFmtId="0" fontId="17" fillId="0" borderId="18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 wrapText="1"/>
    </xf>
    <xf numFmtId="0" fontId="17" fillId="0" borderId="34" xfId="2" applyFont="1" applyBorder="1" applyAlignment="1">
      <alignment horizontal="centerContinuous" vertical="center"/>
    </xf>
    <xf numFmtId="0" fontId="16" fillId="0" borderId="18" xfId="2" applyFont="1" applyBorder="1" applyAlignment="1">
      <alignment horizontal="center" vertical="center"/>
    </xf>
    <xf numFmtId="15" fontId="16" fillId="0" borderId="18" xfId="2" applyNumberFormat="1" applyFont="1" applyBorder="1" applyAlignment="1">
      <alignment horizontal="center" vertical="center" wrapText="1"/>
    </xf>
    <xf numFmtId="0" fontId="17" fillId="0" borderId="35" xfId="2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 wrapText="1"/>
    </xf>
    <xf numFmtId="0" fontId="17" fillId="0" borderId="18" xfId="2" applyFont="1" applyBorder="1" applyAlignment="1">
      <alignment horizontal="centerContinuous" vertical="center"/>
    </xf>
    <xf numFmtId="0" fontId="17" fillId="0" borderId="19" xfId="2" applyFont="1" applyBorder="1" applyAlignment="1">
      <alignment horizontal="center" vertical="center"/>
    </xf>
    <xf numFmtId="0" fontId="17" fillId="0" borderId="36" xfId="2" applyFont="1" applyBorder="1" applyAlignment="1">
      <alignment horizontal="center" vertical="center" wrapText="1"/>
    </xf>
    <xf numFmtId="0" fontId="17" fillId="0" borderId="12" xfId="2" applyFont="1" applyBorder="1" applyAlignment="1">
      <alignment horizontal="centerContinuous" vertical="center"/>
    </xf>
    <xf numFmtId="164" fontId="11" fillId="5" borderId="18" xfId="0" applyFont="1" applyFill="1" applyBorder="1" applyAlignment="1">
      <alignment horizontal="center" vertical="center" wrapText="1"/>
    </xf>
    <xf numFmtId="164" fontId="13" fillId="0" borderId="18" xfId="0" applyFont="1" applyBorder="1" applyAlignment="1">
      <alignment horizontal="center" vertical="center"/>
    </xf>
    <xf numFmtId="164" fontId="13" fillId="0" borderId="18" xfId="0" applyFont="1" applyBorder="1" applyAlignment="1">
      <alignment horizontal="center" vertical="center" wrapText="1"/>
    </xf>
    <xf numFmtId="14" fontId="13" fillId="0" borderId="18" xfId="0" applyNumberFormat="1" applyFont="1" applyBorder="1" applyAlignment="1">
      <alignment horizontal="center" vertical="center" wrapText="1"/>
    </xf>
    <xf numFmtId="164" fontId="12" fillId="0" borderId="18" xfId="0" applyFont="1" applyBorder="1" applyAlignment="1">
      <alignment horizontal="center" wrapText="1"/>
    </xf>
    <xf numFmtId="164" fontId="12" fillId="0" borderId="18" xfId="0" applyFont="1" applyBorder="1" applyAlignment="1">
      <alignment horizontal="center" vertical="center" wrapText="1"/>
    </xf>
    <xf numFmtId="14" fontId="12" fillId="0" borderId="18" xfId="0" applyNumberFormat="1" applyFont="1" applyBorder="1" applyAlignment="1">
      <alignment horizontal="center" vertical="center" wrapText="1"/>
    </xf>
    <xf numFmtId="164" fontId="12" fillId="0" borderId="18" xfId="0" applyFont="1" applyBorder="1" applyAlignment="1">
      <alignment horizontal="center" vertical="center"/>
    </xf>
    <xf numFmtId="164" fontId="12" fillId="0" borderId="18" xfId="0" applyFont="1" applyBorder="1" applyAlignment="1">
      <alignment vertical="center"/>
    </xf>
    <xf numFmtId="164" fontId="14" fillId="0" borderId="18" xfId="4" applyNumberFormat="1" applyBorder="1" applyAlignment="1">
      <alignment horizontal="center" vertical="center"/>
    </xf>
    <xf numFmtId="0" fontId="17" fillId="0" borderId="34" xfId="2" applyFont="1" applyBorder="1" applyAlignment="1">
      <alignment horizontal="center" vertical="center" wrapText="1"/>
    </xf>
    <xf numFmtId="0" fontId="17" fillId="0" borderId="34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64" fontId="16" fillId="0" borderId="4" xfId="0" applyFont="1" applyBorder="1"/>
    <xf numFmtId="0" fontId="17" fillId="0" borderId="4" xfId="2" applyFont="1" applyBorder="1" applyAlignment="1">
      <alignment horizontal="center" vertical="center" wrapText="1"/>
    </xf>
    <xf numFmtId="0" fontId="17" fillId="0" borderId="4" xfId="2" applyFont="1" applyBorder="1" applyAlignment="1">
      <alignment horizontal="center" vertical="center"/>
    </xf>
    <xf numFmtId="0" fontId="17" fillId="0" borderId="4" xfId="2" applyFont="1" applyBorder="1" applyAlignment="1">
      <alignment horizontal="centerContinuous" vertical="center"/>
    </xf>
    <xf numFmtId="165" fontId="17" fillId="0" borderId="4" xfId="2" applyNumberFormat="1" applyFont="1" applyBorder="1" applyAlignment="1">
      <alignment horizontal="centerContinuous" vertical="center"/>
    </xf>
    <xf numFmtId="0" fontId="17" fillId="0" borderId="24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 wrapText="1"/>
    </xf>
    <xf numFmtId="164" fontId="18" fillId="0" borderId="18" xfId="0" applyFont="1" applyBorder="1" applyAlignment="1">
      <alignment horizontal="left" vertical="center" wrapText="1"/>
    </xf>
    <xf numFmtId="164" fontId="18" fillId="0" borderId="18" xfId="0" applyFont="1" applyBorder="1" applyAlignment="1">
      <alignment horizontal="left" vertical="top" wrapText="1"/>
    </xf>
    <xf numFmtId="14" fontId="16" fillId="0" borderId="34" xfId="2" applyNumberFormat="1" applyFont="1" applyBorder="1" applyAlignment="1">
      <alignment horizontal="center" vertical="center"/>
    </xf>
    <xf numFmtId="165" fontId="16" fillId="0" borderId="34" xfId="2" applyNumberFormat="1" applyFont="1" applyBorder="1" applyAlignment="1">
      <alignment horizontal="center" vertical="center"/>
    </xf>
    <xf numFmtId="0" fontId="14" fillId="0" borderId="18" xfId="4" applyFill="1" applyBorder="1" applyAlignment="1">
      <alignment horizontal="center" vertical="center"/>
    </xf>
    <xf numFmtId="165" fontId="16" fillId="0" borderId="18" xfId="2" applyNumberFormat="1" applyFont="1" applyBorder="1" applyAlignment="1">
      <alignment horizontal="center" vertical="center" wrapText="1"/>
    </xf>
    <xf numFmtId="167" fontId="16" fillId="0" borderId="10" xfId="0" applyNumberFormat="1" applyFont="1" applyBorder="1" applyAlignment="1">
      <alignment horizontal="center" vertical="center"/>
    </xf>
    <xf numFmtId="164" fontId="16" fillId="0" borderId="18" xfId="0" applyFont="1" applyBorder="1" applyAlignment="1">
      <alignment wrapText="1"/>
    </xf>
    <xf numFmtId="0" fontId="14" fillId="0" borderId="10" xfId="4" applyFill="1" applyBorder="1" applyAlignment="1">
      <alignment horizontal="center" vertical="center"/>
    </xf>
    <xf numFmtId="49" fontId="14" fillId="0" borderId="18" xfId="4" applyNumberFormat="1" applyFill="1" applyBorder="1" applyAlignment="1">
      <alignment horizontal="center" vertical="center"/>
    </xf>
    <xf numFmtId="49" fontId="16" fillId="0" borderId="18" xfId="2" applyNumberFormat="1" applyFont="1" applyBorder="1" applyAlignment="1">
      <alignment horizontal="center" vertical="center"/>
    </xf>
    <xf numFmtId="164" fontId="18" fillId="0" borderId="40" xfId="0" applyFont="1" applyBorder="1" applyAlignment="1">
      <alignment horizontal="left" vertical="center" wrapText="1"/>
    </xf>
    <xf numFmtId="164" fontId="19" fillId="0" borderId="18" xfId="4" applyNumberFormat="1" applyFont="1" applyBorder="1" applyAlignment="1">
      <alignment horizontal="center" vertical="center"/>
    </xf>
    <xf numFmtId="168" fontId="12" fillId="0" borderId="18" xfId="0" applyNumberFormat="1" applyFont="1" applyBorder="1" applyAlignment="1">
      <alignment vertical="center" wrapText="1"/>
    </xf>
    <xf numFmtId="164" fontId="16" fillId="0" borderId="0" xfId="0" applyFont="1" applyAlignment="1">
      <alignment horizontal="center" vertical="center"/>
    </xf>
    <xf numFmtId="165" fontId="20" fillId="3" borderId="17" xfId="2" applyNumberFormat="1" applyFont="1" applyFill="1" applyBorder="1" applyAlignment="1">
      <alignment horizontal="centerContinuous" vertical="center"/>
    </xf>
    <xf numFmtId="165" fontId="21" fillId="0" borderId="34" xfId="4" applyNumberFormat="1" applyFont="1" applyFill="1" applyBorder="1" applyAlignment="1">
      <alignment horizontal="centerContinuous" vertical="center"/>
    </xf>
    <xf numFmtId="164" fontId="22" fillId="0" borderId="17" xfId="4" applyNumberFormat="1" applyFont="1" applyBorder="1" applyAlignment="1">
      <alignment horizontal="center" vertical="center"/>
    </xf>
    <xf numFmtId="164" fontId="14" fillId="0" borderId="0" xfId="4" applyNumberFormat="1" applyAlignment="1">
      <alignment horizontal="center" vertical="center"/>
    </xf>
    <xf numFmtId="164" fontId="16" fillId="0" borderId="18" xfId="0" applyFont="1" applyBorder="1" applyAlignment="1">
      <alignment horizontal="center" vertical="center"/>
    </xf>
    <xf numFmtId="165" fontId="17" fillId="0" borderId="34" xfId="2" applyNumberFormat="1" applyFont="1" applyBorder="1" applyAlignment="1">
      <alignment horizontal="center" vertical="center"/>
    </xf>
    <xf numFmtId="14" fontId="17" fillId="2" borderId="34" xfId="2" applyNumberFormat="1" applyFont="1" applyFill="1" applyBorder="1" applyAlignment="1">
      <alignment horizontal="center" vertical="center"/>
    </xf>
    <xf numFmtId="165" fontId="17" fillId="2" borderId="34" xfId="2" applyNumberFormat="1" applyFont="1" applyFill="1" applyBorder="1" applyAlignment="1">
      <alignment horizontal="center" vertical="center"/>
    </xf>
    <xf numFmtId="167" fontId="16" fillId="0" borderId="10" xfId="0" applyNumberFormat="1" applyFont="1" applyBorder="1" applyAlignment="1">
      <alignment horizontal="center" vertical="center" wrapText="1"/>
    </xf>
    <xf numFmtId="164" fontId="23" fillId="0" borderId="41" xfId="0" applyFont="1" applyBorder="1" applyAlignment="1">
      <alignment vertical="center" wrapText="1"/>
    </xf>
    <xf numFmtId="0" fontId="17" fillId="6" borderId="18" xfId="2" applyFont="1" applyFill="1" applyBorder="1" applyAlignment="1">
      <alignment horizontal="centerContinuous" vertical="center"/>
    </xf>
    <xf numFmtId="165" fontId="17" fillId="6" borderId="18" xfId="2" applyNumberFormat="1" applyFont="1" applyFill="1" applyBorder="1" applyAlignment="1">
      <alignment horizontal="centerContinuous" vertical="center"/>
    </xf>
    <xf numFmtId="15" fontId="17" fillId="0" borderId="18" xfId="2" applyNumberFormat="1" applyFont="1" applyBorder="1" applyAlignment="1">
      <alignment horizontal="center" vertical="center" wrapText="1"/>
    </xf>
    <xf numFmtId="164" fontId="17" fillId="0" borderId="18" xfId="0" applyFont="1" applyBorder="1" applyAlignment="1">
      <alignment horizontal="center" vertical="center"/>
    </xf>
    <xf numFmtId="165" fontId="21" fillId="0" borderId="34" xfId="4" applyNumberFormat="1" applyFont="1" applyFill="1" applyBorder="1" applyAlignment="1">
      <alignment horizontal="center" vertical="center"/>
    </xf>
    <xf numFmtId="165" fontId="17" fillId="0" borderId="18" xfId="2" applyNumberFormat="1" applyFont="1" applyBorder="1" applyAlignment="1">
      <alignment horizontal="center" vertical="center"/>
    </xf>
    <xf numFmtId="165" fontId="21" fillId="0" borderId="12" xfId="4" applyNumberFormat="1" applyFont="1" applyFill="1" applyBorder="1" applyAlignment="1">
      <alignment horizontal="center" vertical="center"/>
    </xf>
    <xf numFmtId="164" fontId="16" fillId="0" borderId="18" xfId="0" applyFont="1" applyBorder="1" applyAlignment="1">
      <alignment vertical="center" wrapText="1"/>
    </xf>
    <xf numFmtId="164" fontId="16" fillId="0" borderId="18" xfId="0" applyFont="1" applyBorder="1" applyAlignment="1">
      <alignment vertical="center"/>
    </xf>
    <xf numFmtId="165" fontId="21" fillId="0" borderId="18" xfId="4" applyNumberFormat="1" applyFont="1" applyFill="1" applyBorder="1" applyAlignment="1">
      <alignment horizontal="center" vertical="center"/>
    </xf>
    <xf numFmtId="14" fontId="17" fillId="0" borderId="35" xfId="2" applyNumberFormat="1" applyFont="1" applyBorder="1" applyAlignment="1">
      <alignment horizontal="center" vertical="center"/>
    </xf>
    <xf numFmtId="165" fontId="24" fillId="0" borderId="34" xfId="4" applyNumberFormat="1" applyFont="1" applyFill="1" applyBorder="1" applyAlignment="1">
      <alignment horizontal="center" vertical="center"/>
    </xf>
    <xf numFmtId="14" fontId="17" fillId="0" borderId="18" xfId="2" applyNumberFormat="1" applyFont="1" applyBorder="1" applyAlignment="1">
      <alignment horizontal="center" vertical="center"/>
    </xf>
    <xf numFmtId="164" fontId="24" fillId="0" borderId="18" xfId="4" applyNumberFormat="1" applyFont="1" applyBorder="1" applyAlignment="1">
      <alignment horizontal="center" vertical="center"/>
    </xf>
    <xf numFmtId="164" fontId="24" fillId="0" borderId="0" xfId="4" applyNumberFormat="1" applyFont="1" applyAlignment="1">
      <alignment horizontal="center" vertical="center"/>
    </xf>
    <xf numFmtId="15" fontId="16" fillId="0" borderId="34" xfId="2" applyNumberFormat="1" applyFont="1" applyBorder="1" applyAlignment="1">
      <alignment horizontal="center" vertical="center" wrapText="1"/>
    </xf>
    <xf numFmtId="164" fontId="23" fillId="0" borderId="18" xfId="0" applyFont="1" applyBorder="1" applyAlignment="1">
      <alignment horizontal="left" wrapText="1"/>
    </xf>
    <xf numFmtId="164" fontId="12" fillId="0" borderId="19" xfId="0" applyFont="1" applyBorder="1" applyAlignment="1">
      <alignment horizontal="center" vertical="center"/>
    </xf>
    <xf numFmtId="164" fontId="13" fillId="0" borderId="21" xfId="0" applyFont="1" applyBorder="1" applyAlignment="1">
      <alignment horizontal="center" wrapText="1"/>
    </xf>
    <xf numFmtId="164" fontId="12" fillId="0" borderId="21" xfId="0" applyFont="1" applyBorder="1" applyAlignment="1">
      <alignment horizontal="center" wrapText="1"/>
    </xf>
    <xf numFmtId="164" fontId="18" fillId="0" borderId="34" xfId="0" applyFont="1" applyBorder="1" applyAlignment="1">
      <alignment horizontal="left" vertical="center" wrapText="1"/>
    </xf>
    <xf numFmtId="164" fontId="13" fillId="0" borderId="34" xfId="0" applyFont="1" applyBorder="1" applyAlignment="1">
      <alignment horizontal="center" vertical="center"/>
    </xf>
    <xf numFmtId="164" fontId="13" fillId="0" borderId="34" xfId="0" applyFont="1" applyBorder="1" applyAlignment="1">
      <alignment horizontal="center" vertical="center" wrapText="1"/>
    </xf>
    <xf numFmtId="164" fontId="12" fillId="0" borderId="34" xfId="0" applyFont="1" applyBorder="1" applyAlignment="1">
      <alignment horizontal="center" vertical="center" wrapText="1"/>
    </xf>
    <xf numFmtId="14" fontId="13" fillId="0" borderId="34" xfId="0" applyNumberFormat="1" applyFont="1" applyBorder="1" applyAlignment="1">
      <alignment horizontal="center" vertical="center" wrapText="1"/>
    </xf>
    <xf numFmtId="164" fontId="18" fillId="0" borderId="10" xfId="0" applyFont="1" applyBorder="1" applyAlignment="1">
      <alignment horizontal="left" vertical="top" wrapText="1"/>
    </xf>
    <xf numFmtId="164" fontId="12" fillId="0" borderId="10" xfId="0" applyFont="1" applyBorder="1" applyAlignment="1">
      <alignment horizontal="center" vertical="center" wrapText="1"/>
    </xf>
    <xf numFmtId="164" fontId="23" fillId="0" borderId="18" xfId="0" applyFont="1" applyBorder="1" applyAlignment="1">
      <alignment horizontal="left" vertical="center" wrapText="1"/>
    </xf>
    <xf numFmtId="164" fontId="23" fillId="0" borderId="42" xfId="0" applyFont="1" applyBorder="1" applyAlignment="1">
      <alignment horizontal="left" vertical="center" wrapText="1"/>
    </xf>
    <xf numFmtId="14" fontId="16" fillId="0" borderId="34" xfId="2" applyNumberFormat="1" applyFont="1" applyBorder="1" applyAlignment="1">
      <alignment horizontal="center" vertical="center" wrapText="1"/>
    </xf>
    <xf numFmtId="0" fontId="17" fillId="0" borderId="18" xfId="2" applyFont="1" applyBorder="1" applyAlignment="1">
      <alignment horizontal="centerContinuous" vertical="center" wrapText="1"/>
    </xf>
    <xf numFmtId="165" fontId="24" fillId="0" borderId="18" xfId="4" applyNumberFormat="1" applyFont="1" applyFill="1" applyBorder="1" applyAlignment="1">
      <alignment horizontal="center" vertical="center"/>
    </xf>
    <xf numFmtId="14" fontId="17" fillId="0" borderId="19" xfId="2" applyNumberFormat="1" applyFont="1" applyBorder="1" applyAlignment="1">
      <alignment horizontal="center" vertical="center"/>
    </xf>
    <xf numFmtId="15" fontId="16" fillId="6" borderId="18" xfId="2" applyNumberFormat="1" applyFont="1" applyFill="1" applyBorder="1" applyAlignment="1">
      <alignment horizontal="center" vertical="center" wrapText="1"/>
    </xf>
    <xf numFmtId="165" fontId="17" fillId="6" borderId="18" xfId="2" applyNumberFormat="1" applyFont="1" applyFill="1" applyBorder="1" applyAlignment="1">
      <alignment horizontal="center" vertical="center"/>
    </xf>
    <xf numFmtId="164" fontId="13" fillId="0" borderId="18" xfId="0" applyFont="1" applyBorder="1" applyAlignment="1">
      <alignment horizontal="left" vertical="center" wrapText="1"/>
    </xf>
    <xf numFmtId="164" fontId="18" fillId="0" borderId="18" xfId="0" applyFont="1" applyBorder="1" applyAlignment="1">
      <alignment horizontal="center" vertical="center"/>
    </xf>
    <xf numFmtId="14" fontId="16" fillId="0" borderId="18" xfId="2" applyNumberFormat="1" applyFont="1" applyBorder="1" applyAlignment="1">
      <alignment horizontal="center" vertical="center"/>
    </xf>
    <xf numFmtId="165" fontId="16" fillId="0" borderId="18" xfId="2" applyNumberFormat="1" applyFont="1" applyBorder="1" applyAlignment="1">
      <alignment horizontal="center" vertical="center"/>
    </xf>
    <xf numFmtId="165" fontId="16" fillId="0" borderId="34" xfId="2" applyNumberFormat="1" applyFont="1" applyBorder="1" applyAlignment="1">
      <alignment horizontal="centerContinuous" vertical="center"/>
    </xf>
    <xf numFmtId="0" fontId="16" fillId="0" borderId="18" xfId="2" applyFont="1" applyBorder="1" applyAlignment="1">
      <alignment horizontal="centerContinuous" vertical="center"/>
    </xf>
    <xf numFmtId="165" fontId="16" fillId="0" borderId="18" xfId="2" applyNumberFormat="1" applyFont="1" applyBorder="1" applyAlignment="1">
      <alignment horizontal="centerContinuous" vertical="center"/>
    </xf>
    <xf numFmtId="15" fontId="16" fillId="0" borderId="19" xfId="2" applyNumberFormat="1" applyFont="1" applyBorder="1" applyAlignment="1">
      <alignment horizontal="center" vertical="center" wrapText="1"/>
    </xf>
    <xf numFmtId="0" fontId="17" fillId="0" borderId="19" xfId="2" quotePrefix="1" applyFont="1" applyBorder="1" applyAlignment="1">
      <alignment horizontal="center" vertical="center"/>
    </xf>
    <xf numFmtId="165" fontId="17" fillId="0" borderId="18" xfId="2" quotePrefix="1" applyNumberFormat="1" applyFont="1" applyBorder="1" applyAlignment="1">
      <alignment horizontal="centerContinuous" vertical="center"/>
    </xf>
    <xf numFmtId="165" fontId="24" fillId="0" borderId="18" xfId="4" applyNumberFormat="1" applyFont="1" applyFill="1" applyBorder="1" applyAlignment="1">
      <alignment horizontal="centerContinuous" vertical="center"/>
    </xf>
    <xf numFmtId="0" fontId="17" fillId="0" borderId="35" xfId="2" quotePrefix="1" applyFont="1" applyBorder="1" applyAlignment="1">
      <alignment horizontal="center" vertical="center"/>
    </xf>
    <xf numFmtId="165" fontId="17" fillId="0" borderId="34" xfId="2" quotePrefix="1" applyNumberFormat="1" applyFont="1" applyBorder="1" applyAlignment="1">
      <alignment horizontal="centerContinuous" vertical="center"/>
    </xf>
    <xf numFmtId="165" fontId="24" fillId="0" borderId="34" xfId="4" applyNumberFormat="1" applyFont="1" applyFill="1" applyBorder="1" applyAlignment="1">
      <alignment horizontal="centerContinuous" vertical="center"/>
    </xf>
    <xf numFmtId="164" fontId="25" fillId="0" borderId="18" xfId="0" applyFont="1" applyBorder="1" applyAlignment="1">
      <alignment vertical="center"/>
    </xf>
    <xf numFmtId="0" fontId="26" fillId="0" borderId="18" xfId="2" applyFont="1" applyBorder="1" applyAlignment="1">
      <alignment horizontal="centerContinuous" vertical="center" wrapText="1"/>
    </xf>
    <xf numFmtId="0" fontId="26" fillId="0" borderId="18" xfId="2" applyFont="1" applyBorder="1" applyAlignment="1">
      <alignment horizontal="centerContinuous" vertical="center"/>
    </xf>
    <xf numFmtId="0" fontId="26" fillId="0" borderId="34" xfId="2" applyFont="1" applyBorder="1" applyAlignment="1">
      <alignment horizontal="centerContinuous" vertical="center"/>
    </xf>
    <xf numFmtId="0" fontId="26" fillId="0" borderId="34" xfId="2" applyFont="1" applyBorder="1" applyAlignment="1">
      <alignment horizontal="centerContinuous" vertical="center" wrapText="1"/>
    </xf>
    <xf numFmtId="164" fontId="16" fillId="0" borderId="12" xfId="0" applyFont="1" applyBorder="1" applyAlignment="1">
      <alignment horizontal="left" vertical="center"/>
    </xf>
    <xf numFmtId="164" fontId="16" fillId="0" borderId="18" xfId="0" applyFont="1" applyBorder="1" applyAlignment="1">
      <alignment vertical="top" wrapText="1"/>
    </xf>
    <xf numFmtId="164" fontId="14" fillId="0" borderId="18" xfId="4" applyNumberFormat="1" applyFill="1" applyBorder="1" applyAlignment="1">
      <alignment horizontal="center" vertical="center"/>
    </xf>
    <xf numFmtId="165" fontId="17" fillId="0" borderId="34" xfId="2" quotePrefix="1" applyNumberFormat="1" applyFont="1" applyBorder="1" applyAlignment="1">
      <alignment horizontal="center" vertical="center"/>
    </xf>
    <xf numFmtId="164" fontId="16" fillId="0" borderId="10" xfId="0" applyFont="1" applyBorder="1" applyAlignment="1">
      <alignment horizontal="left" vertical="center"/>
    </xf>
    <xf numFmtId="0" fontId="17" fillId="6" borderId="34" xfId="2" applyFont="1" applyFill="1" applyBorder="1" applyAlignment="1">
      <alignment horizontal="centerContinuous" vertical="center"/>
    </xf>
    <xf numFmtId="165" fontId="17" fillId="6" borderId="34" xfId="2" applyNumberFormat="1" applyFont="1" applyFill="1" applyBorder="1" applyAlignment="1">
      <alignment horizontal="centerContinuous" vertical="center"/>
    </xf>
    <xf numFmtId="165" fontId="16" fillId="6" borderId="34" xfId="2" applyNumberFormat="1" applyFont="1" applyFill="1" applyBorder="1" applyAlignment="1">
      <alignment horizontal="center" vertical="center"/>
    </xf>
    <xf numFmtId="165" fontId="26" fillId="0" borderId="18" xfId="2" applyNumberFormat="1" applyFont="1" applyBorder="1" applyAlignment="1">
      <alignment horizontal="centerContinuous" vertical="center"/>
    </xf>
    <xf numFmtId="164" fontId="17" fillId="0" borderId="34" xfId="0" applyFont="1" applyBorder="1" applyAlignment="1">
      <alignment horizontal="center" vertical="center"/>
    </xf>
    <xf numFmtId="15" fontId="16" fillId="2" borderId="18" xfId="2" applyNumberFormat="1" applyFont="1" applyFill="1" applyBorder="1" applyAlignment="1">
      <alignment horizontal="center" vertical="center" wrapText="1"/>
    </xf>
    <xf numFmtId="165" fontId="17" fillId="2" borderId="18" xfId="2" applyNumberFormat="1" applyFont="1" applyFill="1" applyBorder="1" applyAlignment="1">
      <alignment horizontal="center" vertical="center"/>
    </xf>
    <xf numFmtId="0" fontId="17" fillId="2" borderId="18" xfId="2" applyFont="1" applyFill="1" applyBorder="1" applyAlignment="1">
      <alignment horizontal="centerContinuous" vertical="center"/>
    </xf>
    <xf numFmtId="15" fontId="16" fillId="0" borderId="35" xfId="2" applyNumberFormat="1" applyFont="1" applyBorder="1" applyAlignment="1">
      <alignment horizontal="center" vertical="center" wrapText="1"/>
    </xf>
    <xf numFmtId="15" fontId="16" fillId="6" borderId="34" xfId="2" applyNumberFormat="1" applyFont="1" applyFill="1" applyBorder="1" applyAlignment="1">
      <alignment horizontal="center" vertical="center" wrapText="1"/>
    </xf>
    <xf numFmtId="165" fontId="16" fillId="6" borderId="18" xfId="2" applyNumberFormat="1" applyFont="1" applyFill="1" applyBorder="1" applyAlignment="1">
      <alignment horizontal="center" vertical="center"/>
    </xf>
    <xf numFmtId="0" fontId="14" fillId="0" borderId="18" xfId="4" applyBorder="1" applyAlignment="1">
      <alignment horizontal="center" vertical="center"/>
    </xf>
    <xf numFmtId="15" fontId="16" fillId="0" borderId="18" xfId="2" quotePrefix="1" applyNumberFormat="1" applyFont="1" applyBorder="1" applyAlignment="1">
      <alignment horizontal="center" vertical="center" wrapText="1"/>
    </xf>
    <xf numFmtId="165" fontId="24" fillId="0" borderId="34" xfId="4" applyNumberFormat="1" applyFont="1" applyBorder="1" applyAlignment="1">
      <alignment horizontal="centerContinuous" vertical="center"/>
    </xf>
    <xf numFmtId="164" fontId="14" fillId="0" borderId="34" xfId="4" applyNumberFormat="1" applyBorder="1" applyAlignment="1">
      <alignment horizontal="center" vertical="center"/>
    </xf>
    <xf numFmtId="0" fontId="16" fillId="0" borderId="18" xfId="2" applyFont="1" applyBorder="1" applyAlignment="1">
      <alignment vertical="center"/>
    </xf>
    <xf numFmtId="0" fontId="16" fillId="0" borderId="34" xfId="2" applyFont="1" applyBorder="1" applyAlignment="1">
      <alignment horizontal="center" vertical="center"/>
    </xf>
    <xf numFmtId="164" fontId="27" fillId="0" borderId="18" xfId="0" applyFont="1" applyBorder="1" applyAlignment="1">
      <alignment vertical="center" wrapText="1"/>
    </xf>
    <xf numFmtId="165" fontId="17" fillId="0" borderId="18" xfId="2" quotePrefix="1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 wrapText="1"/>
    </xf>
    <xf numFmtId="164" fontId="0" fillId="0" borderId="18" xfId="0" applyBorder="1" applyAlignment="1">
      <alignment horizontal="center" vertical="center" wrapText="1"/>
    </xf>
    <xf numFmtId="0" fontId="16" fillId="2" borderId="34" xfId="2" applyFont="1" applyFill="1" applyBorder="1" applyAlignment="1">
      <alignment horizontal="center" vertical="center"/>
    </xf>
    <xf numFmtId="164" fontId="14" fillId="2" borderId="34" xfId="4" applyNumberFormat="1" applyFill="1" applyBorder="1" applyAlignment="1">
      <alignment horizontal="center" vertical="center"/>
    </xf>
    <xf numFmtId="0" fontId="17" fillId="2" borderId="34" xfId="2" applyFont="1" applyFill="1" applyBorder="1" applyAlignment="1">
      <alignment horizontal="center" vertical="center" wrapText="1"/>
    </xf>
    <xf numFmtId="15" fontId="16" fillId="2" borderId="34" xfId="2" applyNumberFormat="1" applyFont="1" applyFill="1" applyBorder="1" applyAlignment="1">
      <alignment horizontal="center" vertical="center" wrapText="1"/>
    </xf>
    <xf numFmtId="0" fontId="17" fillId="2" borderId="34" xfId="2" applyFont="1" applyFill="1" applyBorder="1" applyAlignment="1">
      <alignment horizontal="centerContinuous" vertical="center"/>
    </xf>
    <xf numFmtId="165" fontId="17" fillId="2" borderId="34" xfId="2" applyNumberFormat="1" applyFont="1" applyFill="1" applyBorder="1" applyAlignment="1">
      <alignment horizontal="centerContinuous" vertical="center"/>
    </xf>
    <xf numFmtId="0" fontId="5" fillId="2" borderId="5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vertical="center"/>
    </xf>
    <xf numFmtId="0" fontId="16" fillId="0" borderId="18" xfId="2" applyFont="1" applyBorder="1" applyAlignment="1">
      <alignment wrapText="1"/>
    </xf>
    <xf numFmtId="165" fontId="24" fillId="0" borderId="18" xfId="4" applyNumberFormat="1" applyFont="1" applyBorder="1" applyAlignment="1">
      <alignment horizontal="centerContinuous" vertical="center"/>
    </xf>
    <xf numFmtId="164" fontId="28" fillId="0" borderId="18" xfId="0" applyFont="1" applyBorder="1" applyAlignment="1">
      <alignment horizontal="left" vertical="center" wrapText="1"/>
    </xf>
    <xf numFmtId="164" fontId="29" fillId="0" borderId="18" xfId="0" applyFont="1" applyBorder="1" applyAlignment="1">
      <alignment horizontal="left" vertical="center" wrapText="1"/>
    </xf>
    <xf numFmtId="164" fontId="23" fillId="0" borderId="43" xfId="0" applyFont="1" applyBorder="1" applyAlignment="1">
      <alignment horizontal="left" vertical="center" wrapText="1"/>
    </xf>
    <xf numFmtId="164" fontId="23" fillId="0" borderId="42" xfId="0" applyFont="1" applyBorder="1" applyAlignment="1">
      <alignment horizontal="left" wrapText="1"/>
    </xf>
    <xf numFmtId="164" fontId="14" fillId="0" borderId="0" xfId="4" applyNumberFormat="1" applyFill="1" applyAlignment="1">
      <alignment horizontal="center" vertical="center"/>
    </xf>
    <xf numFmtId="0" fontId="18" fillId="0" borderId="0" xfId="2" applyFont="1" applyAlignment="1">
      <alignment vertical="center" wrapText="1"/>
    </xf>
    <xf numFmtId="164" fontId="14" fillId="0" borderId="18" xfId="4" quotePrefix="1" applyNumberFormat="1" applyBorder="1" applyAlignment="1">
      <alignment horizontal="center" vertical="center"/>
    </xf>
    <xf numFmtId="0" fontId="16" fillId="0" borderId="34" xfId="2" applyFont="1" applyBorder="1" applyAlignment="1">
      <alignment horizontal="center" vertical="center" wrapText="1"/>
    </xf>
    <xf numFmtId="164" fontId="16" fillId="0" borderId="34" xfId="0" applyFont="1" applyBorder="1" applyAlignment="1">
      <alignment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16" fillId="0" borderId="34" xfId="2" applyFont="1" applyBorder="1" applyAlignment="1">
      <alignment horizontal="center" vertical="center"/>
    </xf>
    <xf numFmtId="0" fontId="16" fillId="0" borderId="10" xfId="2" applyFont="1" applyBorder="1" applyAlignment="1">
      <alignment horizontal="center" vertical="center"/>
    </xf>
    <xf numFmtId="164" fontId="16" fillId="0" borderId="34" xfId="0" applyFont="1" applyBorder="1" applyAlignment="1">
      <alignment horizontal="left" vertical="center"/>
    </xf>
    <xf numFmtId="164" fontId="16" fillId="0" borderId="10" xfId="0" applyFont="1" applyBorder="1" applyAlignment="1">
      <alignment horizontal="left" vertical="center"/>
    </xf>
    <xf numFmtId="0" fontId="16" fillId="0" borderId="34" xfId="2" applyFont="1" applyBorder="1" applyAlignment="1">
      <alignment horizontal="center" vertical="center" wrapText="1"/>
    </xf>
    <xf numFmtId="0" fontId="16" fillId="0" borderId="10" xfId="2" applyFont="1" applyBorder="1" applyAlignment="1">
      <alignment horizontal="center" vertical="center" wrapText="1"/>
    </xf>
    <xf numFmtId="0" fontId="16" fillId="0" borderId="12" xfId="2" applyFont="1" applyBorder="1" applyAlignment="1">
      <alignment horizontal="center" vertical="center"/>
    </xf>
    <xf numFmtId="164" fontId="16" fillId="0" borderId="12" xfId="0" applyFont="1" applyBorder="1" applyAlignment="1">
      <alignment horizontal="left" vertical="center"/>
    </xf>
    <xf numFmtId="0" fontId="16" fillId="0" borderId="12" xfId="2" applyFont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16" xfId="2" applyFont="1" applyFill="1" applyBorder="1" applyAlignment="1">
      <alignment horizontal="center" vertical="center"/>
    </xf>
    <xf numFmtId="164" fontId="4" fillId="3" borderId="12" xfId="0" applyFont="1" applyFill="1" applyBorder="1"/>
    <xf numFmtId="0" fontId="5" fillId="3" borderId="16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  <xf numFmtId="0" fontId="5" fillId="3" borderId="17" xfId="2" applyFont="1" applyFill="1" applyBorder="1" applyAlignment="1">
      <alignment horizontal="center" vertical="center" wrapText="1"/>
    </xf>
    <xf numFmtId="0" fontId="5" fillId="3" borderId="23" xfId="2" applyFont="1" applyFill="1" applyBorder="1" applyAlignment="1">
      <alignment horizontal="center" vertical="center" wrapText="1"/>
    </xf>
    <xf numFmtId="0" fontId="5" fillId="3" borderId="21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/>
    </xf>
    <xf numFmtId="0" fontId="5" fillId="3" borderId="12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6" fillId="2" borderId="29" xfId="2" applyFont="1" applyFill="1" applyBorder="1" applyAlignment="1">
      <alignment horizontal="center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22" xfId="2" applyFont="1" applyFill="1" applyBorder="1" applyAlignment="1">
      <alignment horizontal="center" vertical="center"/>
    </xf>
    <xf numFmtId="0" fontId="3" fillId="2" borderId="25" xfId="2" applyFont="1" applyFill="1" applyBorder="1" applyAlignment="1">
      <alignment horizontal="left" vertical="center"/>
    </xf>
    <xf numFmtId="0" fontId="3" fillId="2" borderId="33" xfId="2" applyFont="1" applyFill="1" applyBorder="1" applyAlignment="1">
      <alignment horizontal="left" vertical="center"/>
    </xf>
    <xf numFmtId="0" fontId="3" fillId="2" borderId="19" xfId="2" applyFont="1" applyFill="1" applyBorder="1" applyAlignment="1">
      <alignment horizontal="left" vertical="center"/>
    </xf>
    <xf numFmtId="0" fontId="3" fillId="2" borderId="20" xfId="2" applyFont="1" applyFill="1" applyBorder="1" applyAlignment="1">
      <alignment horizontal="left" vertical="center"/>
    </xf>
    <xf numFmtId="0" fontId="15" fillId="2" borderId="13" xfId="2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15" fillId="2" borderId="22" xfId="2" applyFont="1" applyFill="1" applyBorder="1" applyAlignment="1">
      <alignment horizontal="center" vertical="center"/>
    </xf>
    <xf numFmtId="0" fontId="6" fillId="2" borderId="1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28" xfId="2" applyFont="1" applyFill="1" applyBorder="1" applyAlignment="1">
      <alignment horizontal="center" vertical="center"/>
    </xf>
    <xf numFmtId="166" fontId="3" fillId="2" borderId="24" xfId="2" applyNumberFormat="1" applyFont="1" applyFill="1" applyBorder="1" applyAlignment="1">
      <alignment horizontal="left" vertical="center"/>
    </xf>
    <xf numFmtId="166" fontId="3" fillId="2" borderId="32" xfId="2" applyNumberFormat="1" applyFont="1" applyFill="1" applyBorder="1" applyAlignment="1">
      <alignment horizontal="left" vertical="center"/>
    </xf>
    <xf numFmtId="0" fontId="5" fillId="3" borderId="9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/>
    </xf>
    <xf numFmtId="0" fontId="5" fillId="3" borderId="23" xfId="2" applyFont="1" applyFill="1" applyBorder="1" applyAlignment="1">
      <alignment horizontal="center" vertical="center"/>
    </xf>
    <xf numFmtId="0" fontId="5" fillId="3" borderId="21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16" fillId="2" borderId="34" xfId="2" applyFont="1" applyFill="1" applyBorder="1" applyAlignment="1">
      <alignment horizontal="center" vertical="center"/>
    </xf>
    <xf numFmtId="0" fontId="16" fillId="2" borderId="10" xfId="2" applyFont="1" applyFill="1" applyBorder="1" applyAlignment="1">
      <alignment horizontal="center" vertical="center"/>
    </xf>
    <xf numFmtId="164" fontId="16" fillId="0" borderId="34" xfId="0" applyFont="1" applyBorder="1" applyAlignment="1">
      <alignment horizontal="left" vertical="center" wrapText="1"/>
    </xf>
    <xf numFmtId="164" fontId="16" fillId="0" borderId="10" xfId="0" applyFont="1" applyBorder="1" applyAlignment="1">
      <alignment horizontal="left" vertical="center" wrapText="1"/>
    </xf>
    <xf numFmtId="0" fontId="16" fillId="0" borderId="34" xfId="2" applyFont="1" applyBorder="1" applyAlignment="1">
      <alignment horizontal="left" vertical="center"/>
    </xf>
    <xf numFmtId="0" fontId="16" fillId="0" borderId="10" xfId="2" applyFont="1" applyBorder="1" applyAlignment="1">
      <alignment horizontal="left" vertical="center"/>
    </xf>
    <xf numFmtId="0" fontId="15" fillId="2" borderId="11" xfId="2" applyFont="1" applyFill="1" applyBorder="1" applyAlignment="1">
      <alignment horizontal="center" vertical="center"/>
    </xf>
    <xf numFmtId="0" fontId="15" fillId="2" borderId="2" xfId="2" applyFont="1" applyFill="1" applyBorder="1" applyAlignment="1">
      <alignment horizontal="center" vertical="center"/>
    </xf>
    <xf numFmtId="0" fontId="15" fillId="2" borderId="28" xfId="2" applyFont="1" applyFill="1" applyBorder="1" applyAlignment="1">
      <alignment horizontal="center" vertical="center"/>
    </xf>
    <xf numFmtId="0" fontId="5" fillId="3" borderId="38" xfId="2" applyFont="1" applyFill="1" applyBorder="1" applyAlignment="1">
      <alignment horizontal="center" vertical="center" wrapText="1"/>
    </xf>
    <xf numFmtId="0" fontId="5" fillId="3" borderId="38" xfId="2" applyFont="1" applyFill="1" applyBorder="1" applyAlignment="1">
      <alignment horizontal="center" vertical="center"/>
    </xf>
    <xf numFmtId="0" fontId="5" fillId="3" borderId="37" xfId="2" applyFont="1" applyFill="1" applyBorder="1" applyAlignment="1">
      <alignment horizontal="center" vertical="center"/>
    </xf>
    <xf numFmtId="164" fontId="4" fillId="3" borderId="38" xfId="0" applyFont="1" applyFill="1" applyBorder="1"/>
    <xf numFmtId="164" fontId="16" fillId="0" borderId="12" xfId="0" applyFont="1" applyBorder="1" applyAlignment="1">
      <alignment horizontal="left" vertical="center" wrapText="1"/>
    </xf>
    <xf numFmtId="164" fontId="23" fillId="0" borderId="34" xfId="0" applyFont="1" applyBorder="1" applyAlignment="1">
      <alignment horizontal="left" vertical="center" wrapText="1"/>
    </xf>
    <xf numFmtId="164" fontId="23" fillId="0" borderId="10" xfId="0" applyFont="1" applyBorder="1" applyAlignment="1">
      <alignment horizontal="left" vertical="center" wrapText="1"/>
    </xf>
    <xf numFmtId="164" fontId="18" fillId="0" borderId="34" xfId="0" applyFont="1" applyBorder="1" applyAlignment="1">
      <alignment horizontal="left" vertical="center" wrapText="1"/>
    </xf>
    <xf numFmtId="164" fontId="18" fillId="0" borderId="10" xfId="0" applyFont="1" applyBorder="1" applyAlignment="1">
      <alignment horizontal="left" vertical="center" wrapText="1"/>
    </xf>
    <xf numFmtId="164" fontId="9" fillId="4" borderId="18" xfId="0" applyFont="1" applyFill="1" applyBorder="1" applyAlignment="1">
      <alignment horizontal="center" vertical="center"/>
    </xf>
    <xf numFmtId="164" fontId="10" fillId="4" borderId="18" xfId="0" applyFont="1" applyFill="1" applyBorder="1" applyAlignment="1">
      <alignment horizontal="center" vertical="center"/>
    </xf>
    <xf numFmtId="164" fontId="11" fillId="5" borderId="18" xfId="0" applyFont="1" applyFill="1" applyBorder="1" applyAlignment="1">
      <alignment vertical="center"/>
    </xf>
    <xf numFmtId="164" fontId="11" fillId="5" borderId="18" xfId="0" applyFont="1" applyFill="1" applyBorder="1" applyAlignment="1">
      <alignment horizontal="center" vertical="center" wrapText="1"/>
    </xf>
  </cellXfs>
  <cellStyles count="5">
    <cellStyle name="Comma" xfId="1" builtinId="3"/>
    <cellStyle name="Hyperlink" xfId="4" builtinId="8"/>
    <cellStyle name="Normal" xfId="0" builtinId="0"/>
    <cellStyle name="Normal 2" xfId="3" xr:uid="{00000000-0005-0000-0000-000003000000}"/>
    <cellStyle name="Normal_1116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1</xdr:col>
      <xdr:colOff>762000</xdr:colOff>
      <xdr:row>3</xdr:row>
      <xdr:rowOff>19050</xdr:rowOff>
    </xdr:to>
    <xdr:pic>
      <xdr:nvPicPr>
        <xdr:cNvPr id="2" name="Picture 1" descr="D:\NPCC LOGO Material etc\NPCC logo- full color identity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1066800" cy="514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971550</xdr:colOff>
      <xdr:row>0</xdr:row>
      <xdr:rowOff>152400</xdr:rowOff>
    </xdr:from>
    <xdr:to>
      <xdr:col>1</xdr:col>
      <xdr:colOff>1941786</xdr:colOff>
      <xdr:row>3</xdr:row>
      <xdr:rowOff>117913</xdr:rowOff>
    </xdr:to>
    <xdr:pic>
      <xdr:nvPicPr>
        <xdr:cNvPr id="3" name="Picture 4" descr="Aramco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52400"/>
          <a:ext cx="970236" cy="708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1</xdr:col>
      <xdr:colOff>762000</xdr:colOff>
      <xdr:row>3</xdr:row>
      <xdr:rowOff>19050</xdr:rowOff>
    </xdr:to>
    <xdr:pic>
      <xdr:nvPicPr>
        <xdr:cNvPr id="9" name="Picture 8" descr="D:\NPCC LOGO Material etc\NPCC logo- full color identity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1066800" cy="514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971550</xdr:colOff>
      <xdr:row>0</xdr:row>
      <xdr:rowOff>152400</xdr:rowOff>
    </xdr:from>
    <xdr:to>
      <xdr:col>1</xdr:col>
      <xdr:colOff>1941786</xdr:colOff>
      <xdr:row>3</xdr:row>
      <xdr:rowOff>117913</xdr:rowOff>
    </xdr:to>
    <xdr:pic>
      <xdr:nvPicPr>
        <xdr:cNvPr id="4" name="Picture 4" descr="Aramco log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52400"/>
          <a:ext cx="970236" cy="708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1</xdr:col>
      <xdr:colOff>762000</xdr:colOff>
      <xdr:row>3</xdr:row>
      <xdr:rowOff>19050</xdr:rowOff>
    </xdr:to>
    <xdr:pic>
      <xdr:nvPicPr>
        <xdr:cNvPr id="2" name="Picture 1" descr="D:\NPCC LOGO Material etc\NPCC logo- full color identity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1066800" cy="514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971550</xdr:colOff>
      <xdr:row>0</xdr:row>
      <xdr:rowOff>152400</xdr:rowOff>
    </xdr:from>
    <xdr:to>
      <xdr:col>1</xdr:col>
      <xdr:colOff>1941786</xdr:colOff>
      <xdr:row>3</xdr:row>
      <xdr:rowOff>117913</xdr:rowOff>
    </xdr:to>
    <xdr:pic>
      <xdr:nvPicPr>
        <xdr:cNvPr id="3" name="Picture 4" descr="Aramco log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52400"/>
          <a:ext cx="970236" cy="708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9526</xdr:colOff>
      <xdr:row>0</xdr:row>
      <xdr:rowOff>76200</xdr:rowOff>
    </xdr:from>
    <xdr:ext cx="1238250" cy="485775"/>
    <xdr:pic>
      <xdr:nvPicPr>
        <xdr:cNvPr id="2" name="Picture 1" descr="D:\NPCC LOGO Material etc\NPCC logo- full color identity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6" y="76200"/>
          <a:ext cx="1238250" cy="4857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DOCUMENTS\Seafastening\Crest-287\CNC%20SLRPS\REV-A\comments\mws" TargetMode="External"/><Relationship Id="rId18" Type="http://schemas.openxmlformats.org/officeDocument/2006/relationships/hyperlink" Target="..\DOCUMENTS\Seafastening\PFC-02" TargetMode="External"/><Relationship Id="rId26" Type="http://schemas.openxmlformats.org/officeDocument/2006/relationships/hyperlink" Target="..\DOCUMENTS\Seafastening\Crest-287\HTF-SSVS-SPLS\RevA\comments\mws" TargetMode="External"/><Relationship Id="rId39" Type="http://schemas.openxmlformats.org/officeDocument/2006/relationships/hyperlink" Target="..\DOCUMENTS\PIPELINE\SPOOL%20LIFTING\REPORT\Lifting%20By%20Treford-25\Report" TargetMode="External"/><Relationship Id="rId21" Type="http://schemas.openxmlformats.org/officeDocument/2006/relationships/hyperlink" Target="..\DOCUMENTS\Seafastening\PFC-02\CC%20Pipes\comments" TargetMode="External"/><Relationship Id="rId34" Type="http://schemas.openxmlformats.org/officeDocument/2006/relationships/hyperlink" Target="..\DOCUMENTS\Seafastening\Gogas-250\SPLS\HAF" TargetMode="External"/><Relationship Id="rId42" Type="http://schemas.openxmlformats.org/officeDocument/2006/relationships/hyperlink" Target="..\DOCUMENTS\Seafastening\Miclyn-258\HTF-MISC\Rev-B\comments\mws" TargetMode="External"/><Relationship Id="rId47" Type="http://schemas.openxmlformats.org/officeDocument/2006/relationships/hyperlink" Target="..\DOCUMENTS\Structural\Seafastening\EOS-283\SSVS,Shrouds\comments\mws" TargetMode="External"/><Relationship Id="rId50" Type="http://schemas.openxmlformats.org/officeDocument/2006/relationships/hyperlink" Target="..\DOCUMENTS\Structural\Seafastening\GAC-81%20WITH%20HTF%20AND%20LDH\comments\mws" TargetMode="External"/><Relationship Id="rId7" Type="http://schemas.openxmlformats.org/officeDocument/2006/relationships/hyperlink" Target="..\DOCUMENTS\PIPELINE\STACKING%20REPORT\Rev%20B\comments" TargetMode="External"/><Relationship Id="rId2" Type="http://schemas.openxmlformats.org/officeDocument/2006/relationships/hyperlink" Target="..\DOCUMENTS\PIPELINE\STACKING%20REPORT\Rev%20A\comments\client" TargetMode="External"/><Relationship Id="rId16" Type="http://schemas.openxmlformats.org/officeDocument/2006/relationships/hyperlink" Target="..\DOCUMENTS\PIPELINE\PIPELAY%20REPORT" TargetMode="External"/><Relationship Id="rId29" Type="http://schemas.openxmlformats.org/officeDocument/2006/relationships/hyperlink" Target="..\DOCUMENTS\Seafastening\Miclyn-258\Flush-Misc" TargetMode="External"/><Relationship Id="rId11" Type="http://schemas.openxmlformats.org/officeDocument/2006/relationships/hyperlink" Target="..\DOCUMENTS\PIPELINE\PIPELAY%20REPORT" TargetMode="External"/><Relationship Id="rId24" Type="http://schemas.openxmlformats.org/officeDocument/2006/relationships/hyperlink" Target="..\DOCUMENTS\Seafastening\Miclyn-258" TargetMode="External"/><Relationship Id="rId32" Type="http://schemas.openxmlformats.org/officeDocument/2006/relationships/hyperlink" Target="..\DOCUMENTS\Seafastening\GAC-81\Tank-SSVS\comments\mws" TargetMode="External"/><Relationship Id="rId37" Type="http://schemas.openxmlformats.org/officeDocument/2006/relationships/hyperlink" Target="..\DOCUMENTS\Seafastening\Gogas-250\SPLS\HAF\Report\comments\mws" TargetMode="External"/><Relationship Id="rId40" Type="http://schemas.openxmlformats.org/officeDocument/2006/relationships/hyperlink" Target="..\DOCUMENTS\Seafastening\LB-II" TargetMode="External"/><Relationship Id="rId45" Type="http://schemas.openxmlformats.org/officeDocument/2006/relationships/hyperlink" Target="..\DOCUMENTS\Structural\Seafastening\EOS-283\SSVS,Shrouds" TargetMode="External"/><Relationship Id="rId5" Type="http://schemas.openxmlformats.org/officeDocument/2006/relationships/hyperlink" Target="..\DOCUMENTS\Seafastening\Crest-287\CC%20Pipes" TargetMode="External"/><Relationship Id="rId15" Type="http://schemas.openxmlformats.org/officeDocument/2006/relationships/hyperlink" Target="..\DOCUMENTS\PIPELINE\PIPELAY%20REPORT\Rev%20B\Comments" TargetMode="External"/><Relationship Id="rId23" Type="http://schemas.openxmlformats.org/officeDocument/2006/relationships/hyperlink" Target="..\DOCUMENTS\Seafastening\MICLYN-259\HTF-SSVS-SPLS\Rev-A" TargetMode="External"/><Relationship Id="rId28" Type="http://schemas.openxmlformats.org/officeDocument/2006/relationships/hyperlink" Target="..\DOCUMENTS\Seafastening\MICLYN-259\HTF-SSVS-SPLS" TargetMode="External"/><Relationship Id="rId36" Type="http://schemas.openxmlformats.org/officeDocument/2006/relationships/hyperlink" Target="..\DOCUMENTS\PIPELINE\SPOOL%20LIFTING\REPORT\PL-1" TargetMode="External"/><Relationship Id="rId49" Type="http://schemas.openxmlformats.org/officeDocument/2006/relationships/hyperlink" Target="..\DOCUMENTS\Structural\Seafastening\GAC-81%20WITH%20HTF%20AND%20LDH\REPORT" TargetMode="External"/><Relationship Id="rId10" Type="http://schemas.openxmlformats.org/officeDocument/2006/relationships/hyperlink" Target="..\DOCUMENTS\PIPELINE\PIPELAY%20REPORT\Rev%20A\comments" TargetMode="External"/><Relationship Id="rId19" Type="http://schemas.openxmlformats.org/officeDocument/2006/relationships/hyperlink" Target="..\DOCUMENTS\Seafastening\MICLYN-259\CC%20Pipes\Rev-A\comments\mws" TargetMode="External"/><Relationship Id="rId31" Type="http://schemas.openxmlformats.org/officeDocument/2006/relationships/hyperlink" Target="..\DOCUMENTS\Seafastening\GAC-81\Tank-SSVS" TargetMode="External"/><Relationship Id="rId44" Type="http://schemas.openxmlformats.org/officeDocument/2006/relationships/hyperlink" Target="..\DOCUMENTS\Seafastening\CB-6\Report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..\DOCUMENTS\PIPELINE\PIPELAY%20REPORT" TargetMode="External"/><Relationship Id="rId9" Type="http://schemas.openxmlformats.org/officeDocument/2006/relationships/hyperlink" Target="..\DOCUMENTS\Seafastening\Allianz-250\Stinger" TargetMode="External"/><Relationship Id="rId14" Type="http://schemas.openxmlformats.org/officeDocument/2006/relationships/hyperlink" Target="..\DOCUMENTS\Seafastening\Allianz-250\Stinger\comments\mws" TargetMode="External"/><Relationship Id="rId22" Type="http://schemas.openxmlformats.org/officeDocument/2006/relationships/hyperlink" Target="..\DOCUMENTS\Seafastening\Crest-287\HTF-SSVS-SPLS\RevA" TargetMode="External"/><Relationship Id="rId27" Type="http://schemas.openxmlformats.org/officeDocument/2006/relationships/hyperlink" Target="..\DOCUMENTS\Seafastening\MICLYN-259\HTF-SSVS-SPLS\Rev-A\comments\mws" TargetMode="External"/><Relationship Id="rId30" Type="http://schemas.openxmlformats.org/officeDocument/2006/relationships/hyperlink" Target="..\DOCUMENTS\Seafastening\MICLYN-259\HTF-SSVS-SPLS\Rev-B\comments\mws" TargetMode="External"/><Relationship Id="rId35" Type="http://schemas.openxmlformats.org/officeDocument/2006/relationships/hyperlink" Target="..\DOCUMENTS\Seafastening\EOS-283" TargetMode="External"/><Relationship Id="rId43" Type="http://schemas.openxmlformats.org/officeDocument/2006/relationships/hyperlink" Target="..\DOCUMENTS\Seafastening\LB-II\comments\mws" TargetMode="External"/><Relationship Id="rId48" Type="http://schemas.openxmlformats.org/officeDocument/2006/relationships/hyperlink" Target="..\DOCUMENTS\Structural\Seafastening\GAC-81\SPLS-SLRPS\comments\mws" TargetMode="External"/><Relationship Id="rId8" Type="http://schemas.openxmlformats.org/officeDocument/2006/relationships/hyperlink" Target="..\DOCUMENTS\Seafastening\MICLYN-259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..\DOCUMENTS\PIPELINE\STACKING%20REPORT" TargetMode="External"/><Relationship Id="rId12" Type="http://schemas.openxmlformats.org/officeDocument/2006/relationships/hyperlink" Target="..\DOCUMENTS\Seafastening\Crest-287\CC%20Pipes\REV-A\comments\mws" TargetMode="External"/><Relationship Id="rId17" Type="http://schemas.openxmlformats.org/officeDocument/2006/relationships/hyperlink" Target="..\DOCUMENTS\Seafastening\Gogas-252" TargetMode="External"/><Relationship Id="rId25" Type="http://schemas.openxmlformats.org/officeDocument/2006/relationships/hyperlink" Target="..\DOCUMENTS\Seafastening\Miclyn-258\HTF-MISC\REV-A\comments\mws" TargetMode="External"/><Relationship Id="rId33" Type="http://schemas.openxmlformats.org/officeDocument/2006/relationships/hyperlink" Target="..\DOCUMENTS\Seafastening\Crest-287\SPLS\2171-2172-NN-RP-021" TargetMode="External"/><Relationship Id="rId38" Type="http://schemas.openxmlformats.org/officeDocument/2006/relationships/hyperlink" Target="..\DOCUMENTS\Seafastening\EOS-283\Rev%20A\comments\mws" TargetMode="External"/><Relationship Id="rId46" Type="http://schemas.openxmlformats.org/officeDocument/2006/relationships/hyperlink" Target="..\DOCUMENTS\Structural\Seafastening\GAC-81\SPLS-SLRPS" TargetMode="External"/><Relationship Id="rId20" Type="http://schemas.openxmlformats.org/officeDocument/2006/relationships/hyperlink" Target="..\DOCUMENTS\Seafastening\Gogas-252\REV-A\comments\mws" TargetMode="External"/><Relationship Id="rId41" Type="http://schemas.openxmlformats.org/officeDocument/2006/relationships/hyperlink" Target="..\DOCUMENTS\Seafastening\Miclyn-258\HTF-MISC\Rev-B" TargetMode="External"/><Relationship Id="rId1" Type="http://schemas.openxmlformats.org/officeDocument/2006/relationships/hyperlink" Target="..\DOCUMENTS\PIPELINE\STACKING%20REPORT" TargetMode="External"/><Relationship Id="rId6" Type="http://schemas.openxmlformats.org/officeDocument/2006/relationships/hyperlink" Target="..\DOCUMENTS\Seafastening\Crest-287\CNC%20SLRPS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..\DOCUMENTS\NAVAL%20DOCUMENTS\STABILITY%20ANALYSIS\CC%20PIPES\TRIP%201\REPORT\comments\mws" TargetMode="External"/><Relationship Id="rId18" Type="http://schemas.openxmlformats.org/officeDocument/2006/relationships/hyperlink" Target="..\DOCUMENTS\NAVAL%20DOCUMENTS\STABILITY%20ANALYSIS\CC%20PIPES\48INCH%20PIPES%20FOR%20SPOOL-PFC-02" TargetMode="External"/><Relationship Id="rId26" Type="http://schemas.openxmlformats.org/officeDocument/2006/relationships/hyperlink" Target="..\DOCUMENTS\NAVAL%20DOCUMENTS\STABILITY%20ANALYSIS\MISC\MICLYN%20259%20%20FOR%20CLS-22%20VALVE%20SKID%20AND%20HOT%20TAP%20FRAME\REV%20A\comments\mws" TargetMode="External"/><Relationship Id="rId39" Type="http://schemas.openxmlformats.org/officeDocument/2006/relationships/hyperlink" Target="..\DOCUMENTS\NAVAL%20DOCUMENTS\STABILITY%20ANALYSIS\MISC\GOGAS%20250%20SPOOLS%20&amp;%20SHROUDS\REPORT\comments\mws" TargetMode="External"/><Relationship Id="rId21" Type="http://schemas.openxmlformats.org/officeDocument/2006/relationships/hyperlink" Target="..\DOCUMENTS\NAVAL%20DOCUMENTS\STABILITY%20ANALYSIS\CC%20PIPES\48INCH%20PIPES%20FOR%20SPOOL-PFC-02\REV-A\comments" TargetMode="External"/><Relationship Id="rId34" Type="http://schemas.openxmlformats.org/officeDocument/2006/relationships/hyperlink" Target="..\DOCUMENTS\NAVAL%20DOCUMENTS\MOORING%20ANALYSIS\SVSS%20INSTALLATION%20AT%20CLS-21" TargetMode="External"/><Relationship Id="rId42" Type="http://schemas.openxmlformats.org/officeDocument/2006/relationships/hyperlink" Target="..\DOCUMENTS\NAVAL%20DOCUMENTS\STABILITY%20ANALYSIS\MISC\LB%20II%20SSVS%20&amp;%20SPOOLS\REPORT" TargetMode="External"/><Relationship Id="rId47" Type="http://schemas.openxmlformats.org/officeDocument/2006/relationships/hyperlink" Target="..\DOCUMENTS\NAVAL%20DOCUMENTS\MOORING%20ANALYSIS\RECTIFICATION%20AT%20CFL-34\comments\mws" TargetMode="External"/><Relationship Id="rId50" Type="http://schemas.openxmlformats.org/officeDocument/2006/relationships/hyperlink" Target="..\DOCUMENTS\NAVAL%20DOCUMENTS\MOORING%20ANALYSIS\RECTIFICATION%20AT%20CFL-34\REV-B\comments\mws" TargetMode="External"/><Relationship Id="rId55" Type="http://schemas.openxmlformats.org/officeDocument/2006/relationships/hyperlink" Target="..\DOCUMENTS\NAVAL%20DOCUMENTS\STABILITY%20ANALYSIS\MISC\GAC-81-%20HTF%20AND%20LDH\REPORT" TargetMode="External"/><Relationship Id="rId7" Type="http://schemas.openxmlformats.org/officeDocument/2006/relationships/hyperlink" Target="..\DOCUMENTS\NAVAL%20DOCUMENTS\MOORING%20ANALYSIS\PIPE%20LAYING\STANDBY%20PIPE%20LINE%203%20&amp;%204" TargetMode="External"/><Relationship Id="rId2" Type="http://schemas.openxmlformats.org/officeDocument/2006/relationships/hyperlink" Target="..\DOCUMENTS\NAVAL%20DOCUMENTS\STABILITY%20ANALYSIS" TargetMode="External"/><Relationship Id="rId16" Type="http://schemas.openxmlformats.org/officeDocument/2006/relationships/hyperlink" Target="..\DOCUMENTS\NAVAL%20DOCUMENTS\STABILITY%20ANALYSIS\MISC\STINGER%20X%20A\REPORT\comments\mws" TargetMode="External"/><Relationship Id="rId29" Type="http://schemas.openxmlformats.org/officeDocument/2006/relationships/hyperlink" Target="..\DOCUMENTS\NAVAL%20DOCUMENTS\STABILITY%20ANALYSIS\MISC\MICLYN%20258" TargetMode="External"/><Relationship Id="rId11" Type="http://schemas.openxmlformats.org/officeDocument/2006/relationships/hyperlink" Target="..\DOCUMENTS\NAVAL%20DOCUMENTS\MOORING%20ANALYSIS\PIPE%20LAYING\PIPE%20LINE%201%20&amp;%202\REV-A\REPORT\comments\mws" TargetMode="External"/><Relationship Id="rId24" Type="http://schemas.openxmlformats.org/officeDocument/2006/relationships/hyperlink" Target="..\DOCUMENTS\NAVAL%20DOCUMENTS\STABILITY%20ANALYSIS\MISC\MICLYN%20258" TargetMode="External"/><Relationship Id="rId32" Type="http://schemas.openxmlformats.org/officeDocument/2006/relationships/hyperlink" Target="..\DOCUMENTS\NAVAL%20DOCUMENTS\STABILITY%20ANALYSIS\MISC\GAC-81%20VALVE%20SKID%20AND%20CABLE%20TANK%20FOR%20CLS%2021\REPORT\comments\mws" TargetMode="External"/><Relationship Id="rId37" Type="http://schemas.openxmlformats.org/officeDocument/2006/relationships/hyperlink" Target="..\DOCUMENTS\NAVAL%20DOCUMENTS\STABILITY%20ANALYSIS\MISC\GOGAS%20250%20SPOOLS%20&amp;%20SHROUDS\REPORT" TargetMode="External"/><Relationship Id="rId40" Type="http://schemas.openxmlformats.org/officeDocument/2006/relationships/hyperlink" Target="..\DOCUMENTS\NAVAL%20DOCUMENTS\STABILITY%20ANALYSIS\MISC\MICLYN%20259%20%20FOR%20CLS-22%20VALVE%20SKID%20AND%20HOT%20TAP%20FRAME" TargetMode="External"/><Relationship Id="rId45" Type="http://schemas.openxmlformats.org/officeDocument/2006/relationships/hyperlink" Target="..\DOCUMENTS\NAVAL%20DOCUMENTS\STABILITY%20ANALYSIS\MISC\LB%20II%20SSVS%20&amp;%20SPOOLS\comments\mws" TargetMode="External"/><Relationship Id="rId53" Type="http://schemas.openxmlformats.org/officeDocument/2006/relationships/hyperlink" Target="..\DOCUMENTS\NAVAL%20DOCUMENTS\STABILITY%20ANALYSIS\MISC\EOS-283-%20VALVE%20SKIDS%20SPOOL%20AND%20SHROUDS\REPORT\comments\mws" TargetMode="External"/><Relationship Id="rId58" Type="http://schemas.openxmlformats.org/officeDocument/2006/relationships/printerSettings" Target="../printerSettings/printerSettings2.bin"/><Relationship Id="rId5" Type="http://schemas.openxmlformats.org/officeDocument/2006/relationships/hyperlink" Target="..\DOCUMENTS\NAVAL%20DOCUMENTS\STABILITY%20ANALYSIS\CC%20PIPES\TRIP%202" TargetMode="External"/><Relationship Id="rId19" Type="http://schemas.openxmlformats.org/officeDocument/2006/relationships/hyperlink" Target="..\DOCUMENTS\NAVAL%20DOCUMENTS\STABILITY%20ANALYSIS\CC%20PIPES\TRIP%202\REV-A\comments\mws" TargetMode="External"/><Relationship Id="rId4" Type="http://schemas.openxmlformats.org/officeDocument/2006/relationships/hyperlink" Target="..\DOCUMENTS\NAVAL%20DOCUMENTS\STABILITY%20ANALYSIS\SLEEPERS\REPORT" TargetMode="External"/><Relationship Id="rId9" Type="http://schemas.openxmlformats.org/officeDocument/2006/relationships/hyperlink" Target="..\DOCUMENTS\NAVAL%20DOCUMENTS\MOORING%20ANALYSIS\PIPE%20LAYING\PIPE%20LINE%203%20&amp;%204\REV-A\comments" TargetMode="External"/><Relationship Id="rId14" Type="http://schemas.openxmlformats.org/officeDocument/2006/relationships/hyperlink" Target="..\DOCUMENTS\NAVAL%20DOCUMENTS\MOORING%20ANALYSIS\PIPE%20LAYING\STANDBY%20PIPE%20LINE%201%20&amp;%202\REV-A\comments\comments\mws" TargetMode="External"/><Relationship Id="rId22" Type="http://schemas.openxmlformats.org/officeDocument/2006/relationships/hyperlink" Target="..\DOCUMENTS\NAVAL%20DOCUMENTS\STABILITY%20ANALYSIS\MISC\CREST%20287%20%20FOR%20CFL-32%20VALVE%20SKID%20AND%20HOT%20TAP%20FRAME\REV-A\REPORT" TargetMode="External"/><Relationship Id="rId27" Type="http://schemas.openxmlformats.org/officeDocument/2006/relationships/hyperlink" Target="..\DOCUMENTS\NAVAL%20DOCUMENTS\STABILITY%20ANALYSIS\MISC\CREST%20287%20%20FOR%20CFL-32%20VALVE%20SKID%20AND%20HOT%20TAP%20FRAME\REV-A\comments\mws" TargetMode="External"/><Relationship Id="rId30" Type="http://schemas.openxmlformats.org/officeDocument/2006/relationships/hyperlink" Target="..\DOCUMENTS\NAVAL%20DOCUMENTS\STABILITY%20ANALYSIS\MISC\MICLYN%20259%20%20FOR%20CLS-22%20VALVE%20SKID%20AND%20HOT%20TAP%20FRAME\REV%20B\comments\mws" TargetMode="External"/><Relationship Id="rId35" Type="http://schemas.openxmlformats.org/officeDocument/2006/relationships/hyperlink" Target="..\DOCUMENTS\NAVAL%20DOCUMENTS\STABILITY%20ANALYSIS\MISC\STINGER%20X%20A\REPORT" TargetMode="External"/><Relationship Id="rId43" Type="http://schemas.openxmlformats.org/officeDocument/2006/relationships/hyperlink" Target="..\DOCUMENTS\NAVAL%20DOCUMENTS\STABILITY%20ANALYSIS\MISC\MICLYN%20258" TargetMode="External"/><Relationship Id="rId48" Type="http://schemas.openxmlformats.org/officeDocument/2006/relationships/hyperlink" Target="..\DOCUMENTS\NAVAL%20DOCUMENTS\MOORING%20ANALYSIS\RECTIFICATION%20AT%20CFL-34" TargetMode="External"/><Relationship Id="rId56" Type="http://schemas.openxmlformats.org/officeDocument/2006/relationships/hyperlink" Target="..\DOCUMENTS\Structural\Seafastening\GAC-81%20WITH%20HTF%20AND%20LDH\comments\mws" TargetMode="External"/><Relationship Id="rId8" Type="http://schemas.openxmlformats.org/officeDocument/2006/relationships/hyperlink" Target="..\DOCUMENTS\NAVAL%20DOCUMENTS\MOORING%20ANALYSIS\PIPE%20LAYING\PIPE%20LINE%203%20&amp;%204\REV-A\REPORT" TargetMode="External"/><Relationship Id="rId51" Type="http://schemas.openxmlformats.org/officeDocument/2006/relationships/hyperlink" Target="..\DOCUMENTS\NAVAL%20DOCUMENTS\STABILITY%20ANALYSIS\MISC\EOS-283-%20VALVE%20SKIDS%20SPOOL%20AND%20SHROUDS\REPORT" TargetMode="External"/><Relationship Id="rId3" Type="http://schemas.openxmlformats.org/officeDocument/2006/relationships/hyperlink" Target="..\DOCUMENTS\NAVAL%20DOCUMENTS\MOORING%20ANALYSIS\PIPE%20LAYING\STANDBY%20PIPE%20LINE%201%20&amp;%202" TargetMode="External"/><Relationship Id="rId12" Type="http://schemas.openxmlformats.org/officeDocument/2006/relationships/hyperlink" Target="..\DOCUMENTS\NAVAL%20DOCUMENTS\MOORING%20ANALYSIS\PIPE%20LAYING\PIPE%20LINE%203%20&amp;%204\REV-A\REPORT\comments\mws" TargetMode="External"/><Relationship Id="rId17" Type="http://schemas.openxmlformats.org/officeDocument/2006/relationships/hyperlink" Target="..\DOCUMENTS\NAVAL%20DOCUMENTS\STABILITY%20ANALYSIS\CC%20PIPES\TRIP%203" TargetMode="External"/><Relationship Id="rId25" Type="http://schemas.openxmlformats.org/officeDocument/2006/relationships/hyperlink" Target="..\DOCUMENTS\NAVAL%20DOCUMENTS\STABILITY%20ANALYSIS\MISC\MICLYN%20258\REV-A\comments\mws" TargetMode="External"/><Relationship Id="rId33" Type="http://schemas.openxmlformats.org/officeDocument/2006/relationships/hyperlink" Target="..\DOCUMENTS\NAVAL%20DOCUMENTS\MOORING%20ANALYSIS\SVSS%20INSTALLATION%20AT%20CLS-24" TargetMode="External"/><Relationship Id="rId38" Type="http://schemas.openxmlformats.org/officeDocument/2006/relationships/hyperlink" Target="..\DOCUMENTS\NAVAL%20DOCUMENTS\STABILITY%20ANALYSIS\MISC\EOS-283%20VALVE%20SKID%20SPOOLS%20&amp;%20SLEEPERS\REPORT\comments\mws" TargetMode="External"/><Relationship Id="rId46" Type="http://schemas.openxmlformats.org/officeDocument/2006/relationships/hyperlink" Target="..\DOCUMENTS\NAVAL%20DOCUMENTS\STABILITY%20ANALYSIS\MISC\CB-6%20WITH%20HOT%20TAP%20FRAMES\REPORT-PDF" TargetMode="External"/><Relationship Id="rId59" Type="http://schemas.openxmlformats.org/officeDocument/2006/relationships/drawing" Target="../drawings/drawing2.xml"/><Relationship Id="rId20" Type="http://schemas.openxmlformats.org/officeDocument/2006/relationships/hyperlink" Target="..\DOCUMENTS\NAVAL%20DOCUMENTS\STABILITY%20ANALYSIS\CC%20PIPES\TRIP%203\REV-A\comments\mws" TargetMode="External"/><Relationship Id="rId41" Type="http://schemas.openxmlformats.org/officeDocument/2006/relationships/hyperlink" Target="..\DOCUMENTS\NAVAL%20DOCUMENTS\STABILITY%20ANALYSIS\MISC\MICLYN%20259%20%20FOR%20CLS-22%20VALVE%20SKID%20AND%20HOT%20TAP%20FRAME\REV%20C\comments\mws" TargetMode="External"/><Relationship Id="rId54" Type="http://schemas.openxmlformats.org/officeDocument/2006/relationships/hyperlink" Target="..\DOCUMENTS\NAVAL%20DOCUMENTS\STABILITY%20ANALYSIS\MISC\GAC-81-SPOOL%20&amp;%20SLEEPERS\comments\mws" TargetMode="External"/><Relationship Id="rId1" Type="http://schemas.openxmlformats.org/officeDocument/2006/relationships/hyperlink" Target="..\DOCUMENTS\NAVAL%20DOCUMENTS\MOORING%20ANALYSIS\PIPE%20LAYING\PIPE%20LINE%201%20&amp;%202" TargetMode="External"/><Relationship Id="rId6" Type="http://schemas.openxmlformats.org/officeDocument/2006/relationships/hyperlink" Target="..\DOCUMENTS\NAVAL%20DOCUMENTS\MOORING%20ANALYSIS\PIPE%20LAYING\PIPE%20LINE%201%20&amp;%202\REV-A\REPORT\comments" TargetMode="External"/><Relationship Id="rId15" Type="http://schemas.openxmlformats.org/officeDocument/2006/relationships/hyperlink" Target="..\DOCUMENTS\NAVAL%20DOCUMENTS\STABILITY%20ANALYSIS\SLEEPERS\REPORT\comments\mws" TargetMode="External"/><Relationship Id="rId23" Type="http://schemas.openxmlformats.org/officeDocument/2006/relationships/hyperlink" Target="..\DOCUMENTS\NAVAL%20DOCUMENTS\STABILITY%20ANALYSIS\MISC\MICLYN%20259%20%20FOR%20CLS-22%20VALVE%20SKID%20AND%20HOT%20TAP%20FRAME" TargetMode="External"/><Relationship Id="rId28" Type="http://schemas.openxmlformats.org/officeDocument/2006/relationships/hyperlink" Target="..\DOCUMENTS\NAVAL%20DOCUMENTS\STABILITY%20ANALYSIS\MISC\MICLYN%20259%20%20FOR%20CLS-22%20VALVE%20SKID%20AND%20HOT%20TAP%20FRAME" TargetMode="External"/><Relationship Id="rId36" Type="http://schemas.openxmlformats.org/officeDocument/2006/relationships/hyperlink" Target="..\DOCUMENTS\NAVAL%20DOCUMENTS\STABILITY%20ANALYSIS\MISC\EOS-283%20VALVE%20SKID%20SPOOLS%20&amp;%20SLEEPERS\REPORT" TargetMode="External"/><Relationship Id="rId49" Type="http://schemas.openxmlformats.org/officeDocument/2006/relationships/hyperlink" Target="..\DOCUMENTS\NAVAL%20DOCUMENTS\MOORING%20ANALYSIS\RECTIFICATION%20AT%20CFL-34" TargetMode="External"/><Relationship Id="rId57" Type="http://schemas.openxmlformats.org/officeDocument/2006/relationships/hyperlink" Target="..\DOCUMENTS\NAVAL%20DOCUMENTS\STABILITY%20ANALYSIS\MISC\GAC-81-%20HTF%20AND%20LDH\REV-B\REPORT-RB" TargetMode="External"/><Relationship Id="rId10" Type="http://schemas.openxmlformats.org/officeDocument/2006/relationships/hyperlink" Target="..\DOCUMENTS\NAVAL%20DOCUMENTS\MOORING%20ANALYSIS\PIPE%20LAYING\STANDBY%20PIPE%20LINE%201%20&amp;%202\REV-A\comments" TargetMode="External"/><Relationship Id="rId31" Type="http://schemas.openxmlformats.org/officeDocument/2006/relationships/hyperlink" Target="..\DOCUMENTS\NAVAL%20DOCUMENTS\STABILITY%20ANALYSIS\MISC\GAC-81%20VALVE%20SKID%20AND%20CABLE%20TANK%20FOR%20CLS%2021\REPORT" TargetMode="External"/><Relationship Id="rId44" Type="http://schemas.openxmlformats.org/officeDocument/2006/relationships/hyperlink" Target="..\DOCUMENTS\NAVAL%20DOCUMENTS\STABILITY%20ANALYSIS\MISC\MICLYN%20258\REV-C\comments\mws" TargetMode="External"/><Relationship Id="rId52" Type="http://schemas.openxmlformats.org/officeDocument/2006/relationships/hyperlink" Target="..\DOCUMENTS\NAVAL%20DOCUMENTS\STABILITY%20ANALYSIS\MISC\GAC-81-SPOOL%20&amp;%20SLEEPERS\REPORT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..\DRAWINGS\2171-2172-NN-0033" TargetMode="External"/><Relationship Id="rId21" Type="http://schemas.openxmlformats.org/officeDocument/2006/relationships/hyperlink" Target="..\DRAWINGS\2171-2172-NN-0002" TargetMode="External"/><Relationship Id="rId42" Type="http://schemas.openxmlformats.org/officeDocument/2006/relationships/hyperlink" Target="..\DRAWINGS\2171-2172-NN-0048" TargetMode="External"/><Relationship Id="rId47" Type="http://schemas.openxmlformats.org/officeDocument/2006/relationships/hyperlink" Target="..\DRAWINGS\2171-2172-NN-0040" TargetMode="External"/><Relationship Id="rId63" Type="http://schemas.openxmlformats.org/officeDocument/2006/relationships/hyperlink" Target="..\DRAWINGS\2171-2172-NN-0059\REV-A" TargetMode="External"/><Relationship Id="rId68" Type="http://schemas.openxmlformats.org/officeDocument/2006/relationships/hyperlink" Target="..\DRAWINGS\2171-2172-NN-0062" TargetMode="External"/><Relationship Id="rId84" Type="http://schemas.openxmlformats.org/officeDocument/2006/relationships/hyperlink" Target="..\DRAWINGS\2171-2172-NN-0071" TargetMode="External"/><Relationship Id="rId89" Type="http://schemas.openxmlformats.org/officeDocument/2006/relationships/hyperlink" Target="..\DRAWINGS\2171-2172-NN-0074" TargetMode="External"/><Relationship Id="rId16" Type="http://schemas.openxmlformats.org/officeDocument/2006/relationships/hyperlink" Target="..\DRAWINGS\2171-2172-NN-0004" TargetMode="External"/><Relationship Id="rId107" Type="http://schemas.openxmlformats.org/officeDocument/2006/relationships/hyperlink" Target="..\DRAWINGS\2171-2172-NN-0091" TargetMode="External"/><Relationship Id="rId11" Type="http://schemas.openxmlformats.org/officeDocument/2006/relationships/hyperlink" Target="..\DRAWINGS\2171-2172-NN-0012" TargetMode="External"/><Relationship Id="rId32" Type="http://schemas.openxmlformats.org/officeDocument/2006/relationships/hyperlink" Target="..\DRAWINGS\2171-2172-NN-0042" TargetMode="External"/><Relationship Id="rId37" Type="http://schemas.openxmlformats.org/officeDocument/2006/relationships/hyperlink" Target="..\DRAWINGS\2171-2172-NN-0046" TargetMode="External"/><Relationship Id="rId53" Type="http://schemas.openxmlformats.org/officeDocument/2006/relationships/hyperlink" Target="..\DRAWINGS\2171-2172-NN-0013" TargetMode="External"/><Relationship Id="rId58" Type="http://schemas.openxmlformats.org/officeDocument/2006/relationships/hyperlink" Target="..\DRAWINGS\2171-2172-NN-0018" TargetMode="External"/><Relationship Id="rId74" Type="http://schemas.openxmlformats.org/officeDocument/2006/relationships/hyperlink" Target="..\DRAWINGS\2171-2172-NN-0013" TargetMode="External"/><Relationship Id="rId79" Type="http://schemas.openxmlformats.org/officeDocument/2006/relationships/hyperlink" Target="..\DRAWINGS\2171-2172-NN-0069" TargetMode="External"/><Relationship Id="rId102" Type="http://schemas.openxmlformats.org/officeDocument/2006/relationships/hyperlink" Target="..\DRAWINGS\2171-2172-NN-0063" TargetMode="External"/><Relationship Id="rId5" Type="http://schemas.openxmlformats.org/officeDocument/2006/relationships/hyperlink" Target="..\DRAWINGS\2171-2172-NN-0005" TargetMode="External"/><Relationship Id="rId90" Type="http://schemas.openxmlformats.org/officeDocument/2006/relationships/hyperlink" Target="..\DRAWINGS\2171-2172-NN-0075" TargetMode="External"/><Relationship Id="rId95" Type="http://schemas.openxmlformats.org/officeDocument/2006/relationships/hyperlink" Target="..\DRAWINGS\2171-2172-NN-0080" TargetMode="External"/><Relationship Id="rId22" Type="http://schemas.openxmlformats.org/officeDocument/2006/relationships/hyperlink" Target="..\DRAWINGS\2171-2172-NN-0003" TargetMode="External"/><Relationship Id="rId27" Type="http://schemas.openxmlformats.org/officeDocument/2006/relationships/hyperlink" Target="..\DRAWINGS\2171-2172-NN-0039" TargetMode="External"/><Relationship Id="rId43" Type="http://schemas.openxmlformats.org/officeDocument/2006/relationships/hyperlink" Target="..\DRAWINGS\2171-2172-NN-0049" TargetMode="External"/><Relationship Id="rId48" Type="http://schemas.openxmlformats.org/officeDocument/2006/relationships/hyperlink" Target="..\DRAWINGS\2171-2172-NN-0013" TargetMode="External"/><Relationship Id="rId64" Type="http://schemas.openxmlformats.org/officeDocument/2006/relationships/hyperlink" Target="..\DRAWINGS\2171-2172-NN-0054" TargetMode="External"/><Relationship Id="rId69" Type="http://schemas.openxmlformats.org/officeDocument/2006/relationships/hyperlink" Target="..\DRAWINGS\2171-2172-NN-0015" TargetMode="External"/><Relationship Id="rId80" Type="http://schemas.openxmlformats.org/officeDocument/2006/relationships/hyperlink" Target="..\DRAWINGS\2171-2172-NN-0070" TargetMode="External"/><Relationship Id="rId85" Type="http://schemas.openxmlformats.org/officeDocument/2006/relationships/hyperlink" Target="..\DRAWINGS\2171-2172-NN-0072" TargetMode="External"/><Relationship Id="rId12" Type="http://schemas.openxmlformats.org/officeDocument/2006/relationships/hyperlink" Target="..\DRAWINGS\2171-2172-NN-0032" TargetMode="External"/><Relationship Id="rId17" Type="http://schemas.openxmlformats.org/officeDocument/2006/relationships/hyperlink" Target="..\DRAWINGS\2171-2172-NN-0031\REV-A\comments\mws" TargetMode="External"/><Relationship Id="rId33" Type="http://schemas.openxmlformats.org/officeDocument/2006/relationships/hyperlink" Target="..\DRAWINGS\2171-2172-NN-0043" TargetMode="External"/><Relationship Id="rId38" Type="http://schemas.openxmlformats.org/officeDocument/2006/relationships/hyperlink" Target="..\DRAWINGS\2171-2172-NN-0045" TargetMode="External"/><Relationship Id="rId59" Type="http://schemas.openxmlformats.org/officeDocument/2006/relationships/hyperlink" Target="..\DRAWINGS\2171-2172-NN-0019" TargetMode="External"/><Relationship Id="rId103" Type="http://schemas.openxmlformats.org/officeDocument/2006/relationships/hyperlink" Target="..\DRAWINGS\2171-2172-NN-0070" TargetMode="External"/><Relationship Id="rId108" Type="http://schemas.openxmlformats.org/officeDocument/2006/relationships/printerSettings" Target="../printerSettings/printerSettings3.bin"/><Relationship Id="rId54" Type="http://schemas.openxmlformats.org/officeDocument/2006/relationships/hyperlink" Target="..\DRAWINGS\2171-2172-NN-0020" TargetMode="External"/><Relationship Id="rId70" Type="http://schemas.openxmlformats.org/officeDocument/2006/relationships/hyperlink" Target="..\DRAWINGS\2171-2172-NN-0017" TargetMode="External"/><Relationship Id="rId75" Type="http://schemas.openxmlformats.org/officeDocument/2006/relationships/hyperlink" Target="..\DRAWINGS\2171-2172-NN-0065" TargetMode="External"/><Relationship Id="rId91" Type="http://schemas.openxmlformats.org/officeDocument/2006/relationships/hyperlink" Target="..\DRAWINGS\2171-2172-NN-0076" TargetMode="External"/><Relationship Id="rId96" Type="http://schemas.openxmlformats.org/officeDocument/2006/relationships/hyperlink" Target="..\DRAWINGS\2171-2172-NN-0081" TargetMode="External"/><Relationship Id="rId1" Type="http://schemas.openxmlformats.org/officeDocument/2006/relationships/hyperlink" Target="..\DRAWINGS\2171-2172-NN-0001" TargetMode="External"/><Relationship Id="rId6" Type="http://schemas.openxmlformats.org/officeDocument/2006/relationships/hyperlink" Target="..\DRAWINGS\2171-2172-NN-0030" TargetMode="External"/><Relationship Id="rId15" Type="http://schemas.openxmlformats.org/officeDocument/2006/relationships/hyperlink" Target="..\DRAWINGS\2171-2172-NN-0003" TargetMode="External"/><Relationship Id="rId23" Type="http://schemas.openxmlformats.org/officeDocument/2006/relationships/hyperlink" Target="..\DRAWINGS\2171-2172-NN-0004" TargetMode="External"/><Relationship Id="rId28" Type="http://schemas.openxmlformats.org/officeDocument/2006/relationships/hyperlink" Target="..\DRAWINGS\2171-2172-NN-0032\REV-A\comments" TargetMode="External"/><Relationship Id="rId36" Type="http://schemas.openxmlformats.org/officeDocument/2006/relationships/hyperlink" Target="..\DRAWINGS\2171-2172-NN-0044" TargetMode="External"/><Relationship Id="rId49" Type="http://schemas.openxmlformats.org/officeDocument/2006/relationships/hyperlink" Target="..\DRAWINGS\2171-2172-NN-0053" TargetMode="External"/><Relationship Id="rId57" Type="http://schemas.openxmlformats.org/officeDocument/2006/relationships/hyperlink" Target="..\DRAWINGS\2171-2172-NN-0048" TargetMode="External"/><Relationship Id="rId106" Type="http://schemas.openxmlformats.org/officeDocument/2006/relationships/hyperlink" Target="..\DRAWINGS\2171-2172-NN-0087" TargetMode="External"/><Relationship Id="rId10" Type="http://schemas.openxmlformats.org/officeDocument/2006/relationships/hyperlink" Target="..\DRAWINGS\2171-2172-NN-0034" TargetMode="External"/><Relationship Id="rId31" Type="http://schemas.openxmlformats.org/officeDocument/2006/relationships/hyperlink" Target="..\DRAWINGS\2171-2172-NN-0041" TargetMode="External"/><Relationship Id="rId44" Type="http://schemas.openxmlformats.org/officeDocument/2006/relationships/hyperlink" Target="..\DRAWINGS\2171-2172-NN-0045" TargetMode="External"/><Relationship Id="rId52" Type="http://schemas.openxmlformats.org/officeDocument/2006/relationships/hyperlink" Target="..\DRAWINGS\2171-2172-NN-0053" TargetMode="External"/><Relationship Id="rId60" Type="http://schemas.openxmlformats.org/officeDocument/2006/relationships/hyperlink" Target="..\DRAWINGS\2171-2172-NN-0056" TargetMode="External"/><Relationship Id="rId65" Type="http://schemas.openxmlformats.org/officeDocument/2006/relationships/hyperlink" Target="..\DRAWINGS\2171-2172-NN-0014" TargetMode="External"/><Relationship Id="rId73" Type="http://schemas.openxmlformats.org/officeDocument/2006/relationships/hyperlink" Target="..\DRAWINGS\2171-2172-NN-0063" TargetMode="External"/><Relationship Id="rId78" Type="http://schemas.openxmlformats.org/officeDocument/2006/relationships/hyperlink" Target="..\DRAWINGS\2171-2172-NN-0068" TargetMode="External"/><Relationship Id="rId81" Type="http://schemas.openxmlformats.org/officeDocument/2006/relationships/hyperlink" Target="..\DRAWINGS\2171-2172-NN-0068" TargetMode="External"/><Relationship Id="rId86" Type="http://schemas.openxmlformats.org/officeDocument/2006/relationships/hyperlink" Target="..\DRAWINGS\2171-2172-NN-0068" TargetMode="External"/><Relationship Id="rId94" Type="http://schemas.openxmlformats.org/officeDocument/2006/relationships/hyperlink" Target="..\DRAWINGS\2171-2172-NN-0079" TargetMode="External"/><Relationship Id="rId99" Type="http://schemas.openxmlformats.org/officeDocument/2006/relationships/hyperlink" Target="..\DRAWINGS\2171-2172-NN-0085" TargetMode="External"/><Relationship Id="rId101" Type="http://schemas.openxmlformats.org/officeDocument/2006/relationships/hyperlink" Target="..\DRAWINGS\2171-2172-NN-0086" TargetMode="External"/><Relationship Id="rId4" Type="http://schemas.openxmlformats.org/officeDocument/2006/relationships/hyperlink" Target="..\DRAWINGS\2171-2172-NN-0004" TargetMode="External"/><Relationship Id="rId9" Type="http://schemas.openxmlformats.org/officeDocument/2006/relationships/hyperlink" Target="..\DRAWINGS\2171-2172-NN-0031" TargetMode="External"/><Relationship Id="rId13" Type="http://schemas.openxmlformats.org/officeDocument/2006/relationships/hyperlink" Target="..\DRAWINGS\2171-2172-NN-0038" TargetMode="External"/><Relationship Id="rId18" Type="http://schemas.openxmlformats.org/officeDocument/2006/relationships/hyperlink" Target="..\DRAWINGS\2171-2172-NN-0038\REV-A\comments\mws" TargetMode="External"/><Relationship Id="rId39" Type="http://schemas.openxmlformats.org/officeDocument/2006/relationships/hyperlink" Target="..\DRAWINGS\2171-2172-NN-0047" TargetMode="External"/><Relationship Id="rId109" Type="http://schemas.openxmlformats.org/officeDocument/2006/relationships/drawing" Target="../drawings/drawing3.xml"/><Relationship Id="rId34" Type="http://schemas.openxmlformats.org/officeDocument/2006/relationships/hyperlink" Target="..\DRAWINGS\2171-2172-NN-0040" TargetMode="External"/><Relationship Id="rId50" Type="http://schemas.openxmlformats.org/officeDocument/2006/relationships/hyperlink" Target="..\DRAWINGS\2171-2172-NN-0054" TargetMode="External"/><Relationship Id="rId55" Type="http://schemas.openxmlformats.org/officeDocument/2006/relationships/hyperlink" Target="..\DRAWINGS\2171-2172-NN-0021" TargetMode="External"/><Relationship Id="rId76" Type="http://schemas.openxmlformats.org/officeDocument/2006/relationships/hyperlink" Target="..\DRAWINGS\2171-2172-NN-0065" TargetMode="External"/><Relationship Id="rId97" Type="http://schemas.openxmlformats.org/officeDocument/2006/relationships/hyperlink" Target="..\DRAWINGS\2171-2172-NN-0072" TargetMode="External"/><Relationship Id="rId104" Type="http://schemas.openxmlformats.org/officeDocument/2006/relationships/hyperlink" Target="..\DRAWINGS\2171-2172-NN-0091" TargetMode="External"/><Relationship Id="rId7" Type="http://schemas.openxmlformats.org/officeDocument/2006/relationships/hyperlink" Target="..\DRAWINGS\2171-2172-NN-0006" TargetMode="External"/><Relationship Id="rId71" Type="http://schemas.openxmlformats.org/officeDocument/2006/relationships/hyperlink" Target="..\DRAWINGS\2171-2172-NN-0016" TargetMode="External"/><Relationship Id="rId92" Type="http://schemas.openxmlformats.org/officeDocument/2006/relationships/hyperlink" Target="..\DRAWINGS\2171-2172-NN-0077" TargetMode="External"/><Relationship Id="rId2" Type="http://schemas.openxmlformats.org/officeDocument/2006/relationships/hyperlink" Target="..\DRAWINGS\2171-2172-NN-0002" TargetMode="External"/><Relationship Id="rId29" Type="http://schemas.openxmlformats.org/officeDocument/2006/relationships/hyperlink" Target="..\DRAWINGS\2171-2172-NN-0033\REV-A\comments" TargetMode="External"/><Relationship Id="rId24" Type="http://schemas.openxmlformats.org/officeDocument/2006/relationships/hyperlink" Target="..\DRAWINGS\2171-2172-NN-0005" TargetMode="External"/><Relationship Id="rId40" Type="http://schemas.openxmlformats.org/officeDocument/2006/relationships/hyperlink" Target="..\DRAWINGS\2171-2172-NN-0046" TargetMode="External"/><Relationship Id="rId45" Type="http://schemas.openxmlformats.org/officeDocument/2006/relationships/hyperlink" Target="..\DRAWINGS\2171-2172-NN-0051" TargetMode="External"/><Relationship Id="rId66" Type="http://schemas.openxmlformats.org/officeDocument/2006/relationships/hyperlink" Target="..\DRAWINGS\2171-2172-NN-0060" TargetMode="External"/><Relationship Id="rId87" Type="http://schemas.openxmlformats.org/officeDocument/2006/relationships/hyperlink" Target="..\DRAWINGS\2171-2172-NN-0069" TargetMode="External"/><Relationship Id="rId61" Type="http://schemas.openxmlformats.org/officeDocument/2006/relationships/hyperlink" Target="..\DRAWINGS\2171-2172-NN-0057" TargetMode="External"/><Relationship Id="rId82" Type="http://schemas.openxmlformats.org/officeDocument/2006/relationships/hyperlink" Target="..\DRAWINGS\2171-2172-NN-0069" TargetMode="External"/><Relationship Id="rId19" Type="http://schemas.openxmlformats.org/officeDocument/2006/relationships/hyperlink" Target="..\DRAWINGS\2171-2172-NN-0012\REV-A\comments\mws" TargetMode="External"/><Relationship Id="rId14" Type="http://schemas.openxmlformats.org/officeDocument/2006/relationships/hyperlink" Target="..\DRAWINGS\2171-2172-NN-0001" TargetMode="External"/><Relationship Id="rId30" Type="http://schemas.openxmlformats.org/officeDocument/2006/relationships/hyperlink" Target="..\DRAWINGS\2171-2172-NN-0039\REV-A\comments" TargetMode="External"/><Relationship Id="rId35" Type="http://schemas.openxmlformats.org/officeDocument/2006/relationships/hyperlink" Target="..\DRAWINGS\2171-2172-NN-0043" TargetMode="External"/><Relationship Id="rId56" Type="http://schemas.openxmlformats.org/officeDocument/2006/relationships/hyperlink" Target="..\DRAWINGS\2171-2172-NN-0055" TargetMode="External"/><Relationship Id="rId77" Type="http://schemas.openxmlformats.org/officeDocument/2006/relationships/hyperlink" Target="..\DRAWINGS\2171-2172-NN-0051" TargetMode="External"/><Relationship Id="rId100" Type="http://schemas.openxmlformats.org/officeDocument/2006/relationships/hyperlink" Target="..\DRAWINGS\2171-2172-NN-0084" TargetMode="External"/><Relationship Id="rId105" Type="http://schemas.openxmlformats.org/officeDocument/2006/relationships/hyperlink" Target="..\DRAWINGS\2171-2172-NN-0087" TargetMode="External"/><Relationship Id="rId8" Type="http://schemas.openxmlformats.org/officeDocument/2006/relationships/hyperlink" Target="..\DRAWINGS\2171-2172-NN-0022" TargetMode="External"/><Relationship Id="rId51" Type="http://schemas.openxmlformats.org/officeDocument/2006/relationships/hyperlink" Target="..\DRAWINGS\2171-2172-NN-0054" TargetMode="External"/><Relationship Id="rId72" Type="http://schemas.openxmlformats.org/officeDocument/2006/relationships/hyperlink" Target="..\DRAWINGS\2171-2172-NN-0052" TargetMode="External"/><Relationship Id="rId93" Type="http://schemas.openxmlformats.org/officeDocument/2006/relationships/hyperlink" Target="..\DRAWINGS\2171-2172-NN-0078" TargetMode="External"/><Relationship Id="rId98" Type="http://schemas.openxmlformats.org/officeDocument/2006/relationships/hyperlink" Target="..\DRAWINGS\2171-2172-NN-0084" TargetMode="External"/><Relationship Id="rId3" Type="http://schemas.openxmlformats.org/officeDocument/2006/relationships/hyperlink" Target="..\DRAWINGS\2171-2172-NN-0003" TargetMode="External"/><Relationship Id="rId25" Type="http://schemas.openxmlformats.org/officeDocument/2006/relationships/hyperlink" Target="..\DRAWINGS\2171-2172-NN-0006" TargetMode="External"/><Relationship Id="rId46" Type="http://schemas.openxmlformats.org/officeDocument/2006/relationships/hyperlink" Target="..\DRAWINGS\2171-2172-NN-0052" TargetMode="External"/><Relationship Id="rId67" Type="http://schemas.openxmlformats.org/officeDocument/2006/relationships/hyperlink" Target="..\DRAWINGS\2171-2172-NN-0061" TargetMode="External"/><Relationship Id="rId20" Type="http://schemas.openxmlformats.org/officeDocument/2006/relationships/hyperlink" Target="..\DRAWINGS\2171-2172-NN-0001" TargetMode="External"/><Relationship Id="rId41" Type="http://schemas.openxmlformats.org/officeDocument/2006/relationships/hyperlink" Target="..\DRAWINGS\2171-2172-NN-0050" TargetMode="External"/><Relationship Id="rId62" Type="http://schemas.openxmlformats.org/officeDocument/2006/relationships/hyperlink" Target="..\DRAWINGS\2171-2172-NN-0058" TargetMode="External"/><Relationship Id="rId83" Type="http://schemas.openxmlformats.org/officeDocument/2006/relationships/hyperlink" Target="..\DRAWINGS\2171-2172-NN-0070" TargetMode="External"/><Relationship Id="rId88" Type="http://schemas.openxmlformats.org/officeDocument/2006/relationships/hyperlink" Target="..\DRAWINGS\2171-2172-NN-0073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..\SKETCHES\OFO-P2171-SK-043" TargetMode="External"/><Relationship Id="rId21" Type="http://schemas.openxmlformats.org/officeDocument/2006/relationships/hyperlink" Target="..\SKETCHES\OFO-P2171-SK-046" TargetMode="External"/><Relationship Id="rId42" Type="http://schemas.openxmlformats.org/officeDocument/2006/relationships/hyperlink" Target="..\SKETCHES\OFO-P2171-SK-016" TargetMode="External"/><Relationship Id="rId47" Type="http://schemas.openxmlformats.org/officeDocument/2006/relationships/hyperlink" Target="..\SKETCHES\OFO-P2171-SK-057" TargetMode="External"/><Relationship Id="rId63" Type="http://schemas.openxmlformats.org/officeDocument/2006/relationships/hyperlink" Target="..\SKETCHES\OFO-P2171-SK-074" TargetMode="External"/><Relationship Id="rId68" Type="http://schemas.openxmlformats.org/officeDocument/2006/relationships/hyperlink" Target="..\SKETCHES\OFO-P2171-SK-056" TargetMode="External"/><Relationship Id="rId84" Type="http://schemas.openxmlformats.org/officeDocument/2006/relationships/hyperlink" Target="..\SKETCHES\OFO-P2171-SK-093" TargetMode="External"/><Relationship Id="rId89" Type="http://schemas.openxmlformats.org/officeDocument/2006/relationships/hyperlink" Target="..\SKETCHES\OFO-P2171-SK-099" TargetMode="External"/><Relationship Id="rId16" Type="http://schemas.openxmlformats.org/officeDocument/2006/relationships/hyperlink" Target="..\SKETCHES\OFO-P2171-SK-007" TargetMode="External"/><Relationship Id="rId107" Type="http://schemas.openxmlformats.org/officeDocument/2006/relationships/drawing" Target="../drawings/drawing4.xml"/><Relationship Id="rId11" Type="http://schemas.openxmlformats.org/officeDocument/2006/relationships/hyperlink" Target="..\SKETCHES\OFO-P2171-SK-027" TargetMode="External"/><Relationship Id="rId32" Type="http://schemas.openxmlformats.org/officeDocument/2006/relationships/hyperlink" Target="..\SKETCHES\OFO-P2171-SK-036" TargetMode="External"/><Relationship Id="rId37" Type="http://schemas.openxmlformats.org/officeDocument/2006/relationships/hyperlink" Target="..\SKETCHES\OFO-P2171-SK-011" TargetMode="External"/><Relationship Id="rId53" Type="http://schemas.openxmlformats.org/officeDocument/2006/relationships/hyperlink" Target="..\SKETCHES\OFO-P2171-SK-052" TargetMode="External"/><Relationship Id="rId58" Type="http://schemas.openxmlformats.org/officeDocument/2006/relationships/hyperlink" Target="..\SKETCHES\OFO-P2171-SK-068" TargetMode="External"/><Relationship Id="rId74" Type="http://schemas.openxmlformats.org/officeDocument/2006/relationships/hyperlink" Target="..\SKETCHES\OFO-P2171-SK-083" TargetMode="External"/><Relationship Id="rId79" Type="http://schemas.openxmlformats.org/officeDocument/2006/relationships/hyperlink" Target="..\SKETCHES\OFO-P2171-SK-089" TargetMode="External"/><Relationship Id="rId102" Type="http://schemas.openxmlformats.org/officeDocument/2006/relationships/hyperlink" Target="..\SKETCHES\OFO-P2171-SK-113" TargetMode="External"/><Relationship Id="rId5" Type="http://schemas.openxmlformats.org/officeDocument/2006/relationships/hyperlink" Target="..\SKETCHES\OFO-P2171-SK-017\REV-A" TargetMode="External"/><Relationship Id="rId90" Type="http://schemas.openxmlformats.org/officeDocument/2006/relationships/hyperlink" Target="..\SKETCHES\OFO-P2171-SK-100" TargetMode="External"/><Relationship Id="rId95" Type="http://schemas.openxmlformats.org/officeDocument/2006/relationships/hyperlink" Target="..\SKETCHES\OFO-P2171-SK-105" TargetMode="External"/><Relationship Id="rId22" Type="http://schemas.openxmlformats.org/officeDocument/2006/relationships/hyperlink" Target="..\SKETCHES\OFO-P2171-SK-038" TargetMode="External"/><Relationship Id="rId27" Type="http://schemas.openxmlformats.org/officeDocument/2006/relationships/hyperlink" Target="..\SKETCHES\OFO-P2171-SK-044" TargetMode="External"/><Relationship Id="rId43" Type="http://schemas.openxmlformats.org/officeDocument/2006/relationships/hyperlink" Target="..\SKETCHES\OFO-P2171-SK-049" TargetMode="External"/><Relationship Id="rId48" Type="http://schemas.openxmlformats.org/officeDocument/2006/relationships/hyperlink" Target="..\SKETCHES\OFO-P2171-SK-062" TargetMode="External"/><Relationship Id="rId64" Type="http://schemas.openxmlformats.org/officeDocument/2006/relationships/hyperlink" Target="..\SKETCHES\OFO-P2171-SK-075" TargetMode="External"/><Relationship Id="rId69" Type="http://schemas.openxmlformats.org/officeDocument/2006/relationships/hyperlink" Target="..\SKETCHES\OFO-P2171-SK-078" TargetMode="External"/><Relationship Id="rId80" Type="http://schemas.openxmlformats.org/officeDocument/2006/relationships/hyperlink" Target="..\SKETCHES\OFO-P2171-SK-091" TargetMode="External"/><Relationship Id="rId85" Type="http://schemas.openxmlformats.org/officeDocument/2006/relationships/hyperlink" Target="..\SKETCHES\OFO-P2171-SK-094" TargetMode="External"/><Relationship Id="rId12" Type="http://schemas.openxmlformats.org/officeDocument/2006/relationships/hyperlink" Target="..\SKETCHES\OFO-P2171-SK-001" TargetMode="External"/><Relationship Id="rId17" Type="http://schemas.openxmlformats.org/officeDocument/2006/relationships/hyperlink" Target="..\SKETCHES\OFO-P2171-SK-031" TargetMode="External"/><Relationship Id="rId33" Type="http://schemas.openxmlformats.org/officeDocument/2006/relationships/hyperlink" Target="..\SKETCHES\OFO-P2171-SK-034" TargetMode="External"/><Relationship Id="rId38" Type="http://schemas.openxmlformats.org/officeDocument/2006/relationships/hyperlink" Target="..\SKETCHES\OFO-P2171-SK-012" TargetMode="External"/><Relationship Id="rId59" Type="http://schemas.openxmlformats.org/officeDocument/2006/relationships/hyperlink" Target="..\SKETCHES\OFO-P2171-SK-069" TargetMode="External"/><Relationship Id="rId103" Type="http://schemas.openxmlformats.org/officeDocument/2006/relationships/hyperlink" Target="..\SKETCHES\OFO-P2171-SK-110" TargetMode="External"/><Relationship Id="rId20" Type="http://schemas.openxmlformats.org/officeDocument/2006/relationships/hyperlink" Target="..\SKETCHES\OFO-P2171-SK-037" TargetMode="External"/><Relationship Id="rId41" Type="http://schemas.openxmlformats.org/officeDocument/2006/relationships/hyperlink" Target="..\SKETCHES\OFO-P2171-SK-015" TargetMode="External"/><Relationship Id="rId54" Type="http://schemas.openxmlformats.org/officeDocument/2006/relationships/hyperlink" Target="..\SKETCHES\OFO-P2171-SK-060" TargetMode="External"/><Relationship Id="rId62" Type="http://schemas.openxmlformats.org/officeDocument/2006/relationships/hyperlink" Target="..\SKETCHES\OFO-P2171-SK-073" TargetMode="External"/><Relationship Id="rId70" Type="http://schemas.openxmlformats.org/officeDocument/2006/relationships/hyperlink" Target="..\SKETCHES\OFO-P2171-SK-079" TargetMode="External"/><Relationship Id="rId75" Type="http://schemas.openxmlformats.org/officeDocument/2006/relationships/hyperlink" Target="..\SKETCHES\OFO-P2171-SK-084" TargetMode="External"/><Relationship Id="rId83" Type="http://schemas.openxmlformats.org/officeDocument/2006/relationships/hyperlink" Target="..\SKETCHES\OFO-P2171-SK-090" TargetMode="External"/><Relationship Id="rId88" Type="http://schemas.openxmlformats.org/officeDocument/2006/relationships/hyperlink" Target="..\SKETCHES\OFO-P2171-SK-098" TargetMode="External"/><Relationship Id="rId91" Type="http://schemas.openxmlformats.org/officeDocument/2006/relationships/hyperlink" Target="..\SKETCHES\OFO-P2171-SK-092" TargetMode="External"/><Relationship Id="rId96" Type="http://schemas.openxmlformats.org/officeDocument/2006/relationships/hyperlink" Target="..\SKETCHES\OFO-P2171-SK-102" TargetMode="External"/><Relationship Id="rId1" Type="http://schemas.openxmlformats.org/officeDocument/2006/relationships/hyperlink" Target="..\SKETCHES\OFO-P2171-SK-003" TargetMode="External"/><Relationship Id="rId6" Type="http://schemas.openxmlformats.org/officeDocument/2006/relationships/hyperlink" Target="..\SKETCHES\OFO-P2171-SK-008" TargetMode="External"/><Relationship Id="rId15" Type="http://schemas.openxmlformats.org/officeDocument/2006/relationships/hyperlink" Target="..\SKETCHES\OFO-P2171-SK-006" TargetMode="External"/><Relationship Id="rId23" Type="http://schemas.openxmlformats.org/officeDocument/2006/relationships/hyperlink" Target="..\SKETCHES\OFO-P2171-SK-039" TargetMode="External"/><Relationship Id="rId28" Type="http://schemas.openxmlformats.org/officeDocument/2006/relationships/hyperlink" Target="..\SKETCHES\OFO-P2171-SK-045" TargetMode="External"/><Relationship Id="rId36" Type="http://schemas.openxmlformats.org/officeDocument/2006/relationships/hyperlink" Target="..\SKETCHES\OFO-P2171-SK-051" TargetMode="External"/><Relationship Id="rId49" Type="http://schemas.openxmlformats.org/officeDocument/2006/relationships/hyperlink" Target="..\SKETCHES\OFO-P2171-SK-063" TargetMode="External"/><Relationship Id="rId57" Type="http://schemas.openxmlformats.org/officeDocument/2006/relationships/hyperlink" Target="..\SKETCHES\OFO-P2171-SK-067" TargetMode="External"/><Relationship Id="rId106" Type="http://schemas.openxmlformats.org/officeDocument/2006/relationships/printerSettings" Target="../printerSettings/printerSettings4.bin"/><Relationship Id="rId10" Type="http://schemas.openxmlformats.org/officeDocument/2006/relationships/hyperlink" Target="..\SKETCHES\OFO-P2171-SK-023" TargetMode="External"/><Relationship Id="rId31" Type="http://schemas.openxmlformats.org/officeDocument/2006/relationships/hyperlink" Target="..\SKETCHES\OFO-P2171-SK-033" TargetMode="External"/><Relationship Id="rId44" Type="http://schemas.openxmlformats.org/officeDocument/2006/relationships/hyperlink" Target="..\SKETCHES\OFO-P2171-SK-059" TargetMode="External"/><Relationship Id="rId52" Type="http://schemas.openxmlformats.org/officeDocument/2006/relationships/hyperlink" Target="..\SKETCHES\OFO-P2171-SK-058" TargetMode="External"/><Relationship Id="rId60" Type="http://schemas.openxmlformats.org/officeDocument/2006/relationships/hyperlink" Target="..\SKETCHES\OFO-P2171-SK-070" TargetMode="External"/><Relationship Id="rId65" Type="http://schemas.openxmlformats.org/officeDocument/2006/relationships/hyperlink" Target="..\SKETCHES\OFO-P2171-SK-076" TargetMode="External"/><Relationship Id="rId73" Type="http://schemas.openxmlformats.org/officeDocument/2006/relationships/hyperlink" Target="..\SKETCHES\OFO-P2171-SK-082" TargetMode="External"/><Relationship Id="rId78" Type="http://schemas.openxmlformats.org/officeDocument/2006/relationships/hyperlink" Target="..\SKETCHES\OFO-P2171-SK-088" TargetMode="External"/><Relationship Id="rId81" Type="http://schemas.openxmlformats.org/officeDocument/2006/relationships/hyperlink" Target="..\SKETCHES\OFO-P2171-SK-086" TargetMode="External"/><Relationship Id="rId86" Type="http://schemas.openxmlformats.org/officeDocument/2006/relationships/hyperlink" Target="..\SKETCHES\OFO-P2171-SK-095" TargetMode="External"/><Relationship Id="rId94" Type="http://schemas.openxmlformats.org/officeDocument/2006/relationships/hyperlink" Target="..\SKETCHES\OFO-P2171-SK-104" TargetMode="External"/><Relationship Id="rId99" Type="http://schemas.openxmlformats.org/officeDocument/2006/relationships/hyperlink" Target="..\SKETCHES\OFO-P2171-SK-108" TargetMode="External"/><Relationship Id="rId101" Type="http://schemas.openxmlformats.org/officeDocument/2006/relationships/hyperlink" Target="..\SKETCHES\OFO-P2171-SK-111" TargetMode="External"/><Relationship Id="rId4" Type="http://schemas.openxmlformats.org/officeDocument/2006/relationships/hyperlink" Target="..\SKETCHES\OFO-P2171-SK-018" TargetMode="External"/><Relationship Id="rId9" Type="http://schemas.openxmlformats.org/officeDocument/2006/relationships/hyperlink" Target="..\SKETCHES\OFO-P2171-SK-022" TargetMode="External"/><Relationship Id="rId13" Type="http://schemas.openxmlformats.org/officeDocument/2006/relationships/hyperlink" Target="..\SKETCHES\OFO-P2171-SK-004" TargetMode="External"/><Relationship Id="rId18" Type="http://schemas.openxmlformats.org/officeDocument/2006/relationships/hyperlink" Target="..\SKETCHES\OFO-P2171-SK-032" TargetMode="External"/><Relationship Id="rId39" Type="http://schemas.openxmlformats.org/officeDocument/2006/relationships/hyperlink" Target="..\SKETCHES\OFO-P2171-SK-013" TargetMode="External"/><Relationship Id="rId34" Type="http://schemas.openxmlformats.org/officeDocument/2006/relationships/hyperlink" Target="..\SKETCHES\OFO-P2171-SK-048" TargetMode="External"/><Relationship Id="rId50" Type="http://schemas.openxmlformats.org/officeDocument/2006/relationships/hyperlink" Target="..\SKETCHES\OFO-P2171-SK-064" TargetMode="External"/><Relationship Id="rId55" Type="http://schemas.openxmlformats.org/officeDocument/2006/relationships/hyperlink" Target="..\SKETCHES\OFO-P2171-SK-065" TargetMode="External"/><Relationship Id="rId76" Type="http://schemas.openxmlformats.org/officeDocument/2006/relationships/hyperlink" Target="..\SKETCHES\OFO-P2171-SK-085" TargetMode="External"/><Relationship Id="rId97" Type="http://schemas.openxmlformats.org/officeDocument/2006/relationships/hyperlink" Target="..\SKETCHES\OFO-P2171-SK-106" TargetMode="External"/><Relationship Id="rId104" Type="http://schemas.openxmlformats.org/officeDocument/2006/relationships/hyperlink" Target="..\SKETCHES\OFO-P2171-SK-114" TargetMode="External"/><Relationship Id="rId7" Type="http://schemas.openxmlformats.org/officeDocument/2006/relationships/hyperlink" Target="..\SKETCHES\OFO-P2171-SK-009" TargetMode="External"/><Relationship Id="rId71" Type="http://schemas.openxmlformats.org/officeDocument/2006/relationships/hyperlink" Target="..\SKETCHES\OFO-P2171-SK-080" TargetMode="External"/><Relationship Id="rId92" Type="http://schemas.openxmlformats.org/officeDocument/2006/relationships/hyperlink" Target="..\SKETCHES\OFO-P2171-SK-101" TargetMode="External"/><Relationship Id="rId2" Type="http://schemas.openxmlformats.org/officeDocument/2006/relationships/hyperlink" Target="..\SKETCHES\OFO-P2171-SK-002" TargetMode="External"/><Relationship Id="rId29" Type="http://schemas.openxmlformats.org/officeDocument/2006/relationships/hyperlink" Target="..\SKETCHES\OFO-P2171-SK-040" TargetMode="External"/><Relationship Id="rId24" Type="http://schemas.openxmlformats.org/officeDocument/2006/relationships/hyperlink" Target="..\SKETCHES\OFO-P2171-SK-041" TargetMode="External"/><Relationship Id="rId40" Type="http://schemas.openxmlformats.org/officeDocument/2006/relationships/hyperlink" Target="..\SKETCHES\OFO-P2171-SK-014" TargetMode="External"/><Relationship Id="rId45" Type="http://schemas.openxmlformats.org/officeDocument/2006/relationships/hyperlink" Target="..\SKETCHES\OFO-P2171-SK-053" TargetMode="External"/><Relationship Id="rId66" Type="http://schemas.openxmlformats.org/officeDocument/2006/relationships/hyperlink" Target="..\SKETCHES\OFO-P2171-SK-077" TargetMode="External"/><Relationship Id="rId87" Type="http://schemas.openxmlformats.org/officeDocument/2006/relationships/hyperlink" Target="..\SKETCHES\OFO-P2171-SK-097" TargetMode="External"/><Relationship Id="rId61" Type="http://schemas.openxmlformats.org/officeDocument/2006/relationships/hyperlink" Target="..\SKETCHES\OFO-P2171-SK-072" TargetMode="External"/><Relationship Id="rId82" Type="http://schemas.openxmlformats.org/officeDocument/2006/relationships/hyperlink" Target="..\SKETCHES\OFO-P2171-SK-096" TargetMode="External"/><Relationship Id="rId19" Type="http://schemas.openxmlformats.org/officeDocument/2006/relationships/hyperlink" Target="..\SKETCHES\OFO-P2171-SK-035" TargetMode="External"/><Relationship Id="rId14" Type="http://schemas.openxmlformats.org/officeDocument/2006/relationships/hyperlink" Target="..\SKETCHES\OFO-P2171-SK-005" TargetMode="External"/><Relationship Id="rId30" Type="http://schemas.openxmlformats.org/officeDocument/2006/relationships/hyperlink" Target="..\SKETCHES\OFO-P2171-SK-047" TargetMode="External"/><Relationship Id="rId35" Type="http://schemas.openxmlformats.org/officeDocument/2006/relationships/hyperlink" Target="..\SKETCHES\OFO-P2171-SK-050" TargetMode="External"/><Relationship Id="rId56" Type="http://schemas.openxmlformats.org/officeDocument/2006/relationships/hyperlink" Target="..\SKETCHES\OFO-P2171-SK-066" TargetMode="External"/><Relationship Id="rId77" Type="http://schemas.openxmlformats.org/officeDocument/2006/relationships/hyperlink" Target="..\SKETCHES\OFO-P2171-SK-087" TargetMode="External"/><Relationship Id="rId100" Type="http://schemas.openxmlformats.org/officeDocument/2006/relationships/hyperlink" Target="..\SKETCHES\OFO-P2171-SK-109" TargetMode="External"/><Relationship Id="rId105" Type="http://schemas.openxmlformats.org/officeDocument/2006/relationships/hyperlink" Target="..\SKETCHES\OFO-P2171-SK-112" TargetMode="External"/><Relationship Id="rId8" Type="http://schemas.openxmlformats.org/officeDocument/2006/relationships/hyperlink" Target="..\SKETCHES\OFO-P2171-SK-019" TargetMode="External"/><Relationship Id="rId51" Type="http://schemas.openxmlformats.org/officeDocument/2006/relationships/hyperlink" Target="..\SKETCHES\OFO-P2171-SK-061" TargetMode="External"/><Relationship Id="rId72" Type="http://schemas.openxmlformats.org/officeDocument/2006/relationships/hyperlink" Target="..\SKETCHES\OFO-P2171-SK-081" TargetMode="External"/><Relationship Id="rId93" Type="http://schemas.openxmlformats.org/officeDocument/2006/relationships/hyperlink" Target="..\SKETCHES\OFO-P2171-SK-103" TargetMode="External"/><Relationship Id="rId98" Type="http://schemas.openxmlformats.org/officeDocument/2006/relationships/hyperlink" Target="..\SKETCHES\OFO-P2171-SK-107" TargetMode="External"/><Relationship Id="rId3" Type="http://schemas.openxmlformats.org/officeDocument/2006/relationships/hyperlink" Target="..\SKETCHES\OFO-P2171-SK-010" TargetMode="External"/><Relationship Id="rId25" Type="http://schemas.openxmlformats.org/officeDocument/2006/relationships/hyperlink" Target="..\SKETCHES\OFO-P2171-SK-042" TargetMode="External"/><Relationship Id="rId46" Type="http://schemas.openxmlformats.org/officeDocument/2006/relationships/hyperlink" Target="..\SKETCHES\OFO-P2171-SK-055" TargetMode="External"/><Relationship Id="rId67" Type="http://schemas.openxmlformats.org/officeDocument/2006/relationships/hyperlink" Target="..\SKETCHES\OFO-P2171-SK-0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opLeftCell="C24" zoomScaleNormal="100" zoomScaleSheetLayoutView="100" workbookViewId="0">
      <selection activeCell="J33" sqref="J31:O33"/>
    </sheetView>
  </sheetViews>
  <sheetFormatPr defaultColWidth="10.6640625" defaultRowHeight="12.75" x14ac:dyDescent="0.2"/>
  <cols>
    <col min="1" max="1" width="6.83203125" style="2" customWidth="1"/>
    <col min="2" max="2" width="107.33203125" style="2" customWidth="1"/>
    <col min="3" max="3" width="22.6640625" style="1" bestFit="1" customWidth="1"/>
    <col min="4" max="5" width="6.83203125" style="1" customWidth="1"/>
    <col min="6" max="6" width="27.6640625" style="1" bestFit="1" customWidth="1"/>
    <col min="7" max="7" width="12.33203125" style="1" customWidth="1"/>
    <col min="8" max="8" width="21.5" style="1" customWidth="1"/>
    <col min="9" max="9" width="10.1640625" style="2" customWidth="1"/>
    <col min="10" max="10" width="24.5" style="3" customWidth="1"/>
    <col min="11" max="11" width="10.83203125" style="2" customWidth="1"/>
    <col min="12" max="12" width="18.83203125" style="3" customWidth="1"/>
    <col min="13" max="13" width="10.33203125" style="6" customWidth="1"/>
    <col min="14" max="14" width="10" style="2" customWidth="1"/>
    <col min="15" max="15" width="28.83203125" style="2" customWidth="1"/>
    <col min="16" max="16" width="12.5" style="2" customWidth="1"/>
    <col min="17" max="17" width="18.6640625" style="3" customWidth="1"/>
    <col min="18" max="18" width="16.1640625" style="6" customWidth="1"/>
    <col min="19" max="19" width="22.83203125" style="6" customWidth="1"/>
    <col min="20" max="16384" width="10.6640625" style="2"/>
  </cols>
  <sheetData>
    <row r="1" spans="1:19" s="4" customFormat="1" ht="20.100000000000001" customHeight="1" x14ac:dyDescent="0.2">
      <c r="A1" s="7"/>
      <c r="B1" s="8"/>
      <c r="C1" s="225" t="s">
        <v>41</v>
      </c>
      <c r="D1" s="226"/>
      <c r="E1" s="226"/>
      <c r="F1" s="226"/>
      <c r="G1" s="226"/>
      <c r="H1" s="226"/>
      <c r="I1" s="226"/>
      <c r="J1" s="226"/>
      <c r="K1" s="226"/>
      <c r="L1" s="226"/>
      <c r="M1" s="227"/>
      <c r="N1" s="14" t="s">
        <v>7</v>
      </c>
      <c r="O1" s="15"/>
      <c r="P1" s="15"/>
      <c r="Q1" s="16"/>
      <c r="R1" s="231"/>
      <c r="S1" s="232"/>
    </row>
    <row r="2" spans="1:19" s="4" customFormat="1" ht="20.100000000000001" customHeight="1" x14ac:dyDescent="0.2">
      <c r="A2" s="9"/>
      <c r="B2" s="10"/>
      <c r="C2" s="228"/>
      <c r="D2" s="229"/>
      <c r="E2" s="229"/>
      <c r="F2" s="229"/>
      <c r="G2" s="229"/>
      <c r="H2" s="229"/>
      <c r="I2" s="229"/>
      <c r="J2" s="229"/>
      <c r="K2" s="229"/>
      <c r="L2" s="229"/>
      <c r="M2" s="230"/>
      <c r="N2" s="17" t="s">
        <v>22</v>
      </c>
      <c r="O2" s="18"/>
      <c r="P2" s="18"/>
      <c r="Q2" s="19"/>
      <c r="R2" s="233"/>
      <c r="S2" s="234"/>
    </row>
    <row r="3" spans="1:19" s="4" customFormat="1" ht="20.100000000000001" customHeight="1" x14ac:dyDescent="0.2">
      <c r="A3" s="9"/>
      <c r="B3" s="10"/>
      <c r="C3" s="235" t="s">
        <v>42</v>
      </c>
      <c r="D3" s="236"/>
      <c r="E3" s="236"/>
      <c r="F3" s="236"/>
      <c r="G3" s="236"/>
      <c r="H3" s="236"/>
      <c r="I3" s="236"/>
      <c r="J3" s="236"/>
      <c r="K3" s="236"/>
      <c r="L3" s="236"/>
      <c r="M3" s="237"/>
      <c r="N3" s="20" t="s">
        <v>9</v>
      </c>
      <c r="O3" s="21"/>
      <c r="P3" s="21"/>
      <c r="Q3" s="22"/>
      <c r="R3" s="233">
        <v>0</v>
      </c>
      <c r="S3" s="234"/>
    </row>
    <row r="4" spans="1:19" s="4" customFormat="1" ht="20.100000000000001" customHeight="1" thickBot="1" x14ac:dyDescent="0.25">
      <c r="A4" s="9"/>
      <c r="B4" s="10"/>
      <c r="C4" s="238" t="s">
        <v>24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" t="s">
        <v>8</v>
      </c>
      <c r="O4" s="24"/>
      <c r="P4" s="24"/>
      <c r="Q4" s="25"/>
      <c r="R4" s="241">
        <v>44524</v>
      </c>
      <c r="S4" s="242"/>
    </row>
    <row r="5" spans="1:19" s="5" customFormat="1" ht="15" customHeight="1" x14ac:dyDescent="0.2">
      <c r="A5" s="211" t="s">
        <v>0</v>
      </c>
      <c r="B5" s="213" t="s">
        <v>1</v>
      </c>
      <c r="C5" s="215" t="s">
        <v>13</v>
      </c>
      <c r="D5" s="215" t="s">
        <v>12</v>
      </c>
      <c r="E5" s="215" t="s">
        <v>14</v>
      </c>
      <c r="F5" s="215" t="s">
        <v>23</v>
      </c>
      <c r="G5" s="217" t="s">
        <v>11</v>
      </c>
      <c r="H5" s="218"/>
      <c r="I5" s="218"/>
      <c r="J5" s="219"/>
      <c r="K5" s="220" t="s">
        <v>21</v>
      </c>
      <c r="L5" s="220"/>
      <c r="M5" s="220"/>
      <c r="N5" s="220" t="s">
        <v>15</v>
      </c>
      <c r="O5" s="220"/>
      <c r="P5" s="220"/>
      <c r="Q5" s="220"/>
      <c r="R5" s="220"/>
      <c r="S5" s="243" t="s">
        <v>2</v>
      </c>
    </row>
    <row r="6" spans="1:19" s="5" customFormat="1" ht="24.95" customHeight="1" x14ac:dyDescent="0.2">
      <c r="A6" s="212"/>
      <c r="B6" s="214"/>
      <c r="C6" s="216"/>
      <c r="D6" s="224"/>
      <c r="E6" s="216"/>
      <c r="F6" s="216"/>
      <c r="G6" s="246" t="s">
        <v>4</v>
      </c>
      <c r="H6" s="221"/>
      <c r="I6" s="221"/>
      <c r="J6" s="222"/>
      <c r="K6" s="247" t="s">
        <v>5</v>
      </c>
      <c r="L6" s="247"/>
      <c r="M6" s="247"/>
      <c r="N6" s="223" t="s">
        <v>4</v>
      </c>
      <c r="O6" s="223"/>
      <c r="P6" s="248" t="s">
        <v>5</v>
      </c>
      <c r="Q6" s="248"/>
      <c r="R6" s="249"/>
      <c r="S6" s="244"/>
    </row>
    <row r="7" spans="1:19" s="5" customFormat="1" ht="24.95" customHeight="1" x14ac:dyDescent="0.2">
      <c r="A7" s="212"/>
      <c r="B7" s="214"/>
      <c r="C7" s="216"/>
      <c r="D7" s="224"/>
      <c r="E7" s="216"/>
      <c r="F7" s="216"/>
      <c r="G7" s="246" t="s">
        <v>16</v>
      </c>
      <c r="H7" s="222"/>
      <c r="I7" s="221" t="s">
        <v>20</v>
      </c>
      <c r="J7" s="222"/>
      <c r="K7" s="250" t="s">
        <v>17</v>
      </c>
      <c r="L7" s="248"/>
      <c r="M7" s="249"/>
      <c r="N7" s="223" t="s">
        <v>18</v>
      </c>
      <c r="O7" s="223"/>
      <c r="P7" s="223" t="s">
        <v>19</v>
      </c>
      <c r="Q7" s="223"/>
      <c r="R7" s="223"/>
      <c r="S7" s="244"/>
    </row>
    <row r="8" spans="1:19" s="5" customFormat="1" ht="15" customHeight="1" thickBot="1" x14ac:dyDescent="0.25">
      <c r="A8" s="212"/>
      <c r="B8" s="214"/>
      <c r="C8" s="216"/>
      <c r="D8" s="224"/>
      <c r="E8" s="216"/>
      <c r="F8" s="216"/>
      <c r="G8" s="11" t="s">
        <v>3</v>
      </c>
      <c r="H8" s="12" t="s">
        <v>6</v>
      </c>
      <c r="I8" s="11" t="s">
        <v>3</v>
      </c>
      <c r="J8" s="12" t="s">
        <v>6</v>
      </c>
      <c r="K8" s="11" t="s">
        <v>3</v>
      </c>
      <c r="L8" s="12" t="s">
        <v>6</v>
      </c>
      <c r="M8" s="11" t="s">
        <v>10</v>
      </c>
      <c r="N8" s="13" t="s">
        <v>3</v>
      </c>
      <c r="O8" s="12" t="s">
        <v>6</v>
      </c>
      <c r="P8" s="13" t="s">
        <v>3</v>
      </c>
      <c r="Q8" s="12" t="s">
        <v>6</v>
      </c>
      <c r="R8" s="11" t="s">
        <v>10</v>
      </c>
      <c r="S8" s="245"/>
    </row>
    <row r="9" spans="1:19" s="5" customFormat="1" ht="15" customHeight="1" x14ac:dyDescent="0.15">
      <c r="A9" s="35"/>
      <c r="B9" s="33"/>
      <c r="C9" s="32"/>
      <c r="D9" s="34"/>
      <c r="E9" s="32"/>
      <c r="F9" s="32"/>
      <c r="G9" s="36"/>
      <c r="H9" s="37"/>
      <c r="I9" s="36"/>
      <c r="J9" s="92"/>
      <c r="K9" s="36"/>
      <c r="L9" s="37"/>
      <c r="M9" s="36"/>
      <c r="N9" s="38"/>
      <c r="O9" s="37"/>
      <c r="P9" s="38"/>
      <c r="Q9" s="37"/>
      <c r="R9" s="36"/>
      <c r="S9" s="31"/>
    </row>
    <row r="10" spans="1:19" s="5" customFormat="1" ht="16.5" customHeight="1" x14ac:dyDescent="0.2">
      <c r="A10" s="202">
        <v>1</v>
      </c>
      <c r="B10" s="204" t="s">
        <v>44</v>
      </c>
      <c r="C10" s="206" t="s">
        <v>90</v>
      </c>
      <c r="D10" s="86" t="s">
        <v>125</v>
      </c>
      <c r="E10" s="42"/>
      <c r="F10" s="82">
        <v>44563</v>
      </c>
      <c r="G10" s="50">
        <v>44571</v>
      </c>
      <c r="H10" s="80" t="s">
        <v>155</v>
      </c>
      <c r="I10" s="50">
        <v>44575</v>
      </c>
      <c r="J10" s="91" t="s">
        <v>197</v>
      </c>
      <c r="K10" s="50">
        <v>44594</v>
      </c>
      <c r="L10" s="93" t="s">
        <v>198</v>
      </c>
      <c r="M10" s="48">
        <v>2</v>
      </c>
      <c r="N10" s="51"/>
      <c r="O10" s="44"/>
      <c r="P10" s="51"/>
      <c r="Q10" s="44"/>
      <c r="R10" s="48"/>
      <c r="S10" s="52"/>
    </row>
    <row r="11" spans="1:19" s="5" customFormat="1" ht="16.5" customHeight="1" x14ac:dyDescent="0.2">
      <c r="A11" s="203"/>
      <c r="B11" s="205"/>
      <c r="C11" s="207"/>
      <c r="D11" s="86" t="s">
        <v>130</v>
      </c>
      <c r="E11" s="42"/>
      <c r="F11" s="82"/>
      <c r="G11" s="50">
        <v>44615</v>
      </c>
      <c r="H11" s="80" t="s">
        <v>204</v>
      </c>
      <c r="I11" s="50">
        <v>44622</v>
      </c>
      <c r="J11" s="96" t="s">
        <v>219</v>
      </c>
      <c r="K11" s="50">
        <v>44635</v>
      </c>
      <c r="L11" s="106" t="s">
        <v>256</v>
      </c>
      <c r="M11" s="48">
        <v>1</v>
      </c>
      <c r="N11" s="51"/>
      <c r="O11" s="44"/>
      <c r="P11" s="51"/>
      <c r="Q11" s="44"/>
      <c r="R11" s="48"/>
      <c r="S11" s="52"/>
    </row>
    <row r="12" spans="1:19" s="5" customFormat="1" ht="20.25" customHeight="1" x14ac:dyDescent="0.2">
      <c r="A12" s="202">
        <v>2</v>
      </c>
      <c r="B12" s="204" t="s">
        <v>213</v>
      </c>
      <c r="C12" s="206" t="s">
        <v>91</v>
      </c>
      <c r="D12" s="86" t="s">
        <v>125</v>
      </c>
      <c r="E12" s="42"/>
      <c r="F12" s="82">
        <v>44564</v>
      </c>
      <c r="G12" s="50">
        <v>44620</v>
      </c>
      <c r="H12" s="80" t="s">
        <v>214</v>
      </c>
      <c r="I12" s="50">
        <v>44624</v>
      </c>
      <c r="J12" s="96" t="s">
        <v>223</v>
      </c>
      <c r="K12" s="50">
        <v>44654</v>
      </c>
      <c r="L12" s="106" t="s">
        <v>279</v>
      </c>
      <c r="M12" s="48">
        <v>2</v>
      </c>
      <c r="N12" s="51"/>
      <c r="O12" s="44"/>
      <c r="P12" s="51"/>
      <c r="Q12" s="44"/>
      <c r="R12" s="48"/>
      <c r="S12" s="52"/>
    </row>
    <row r="13" spans="1:19" s="5" customFormat="1" ht="20.25" customHeight="1" x14ac:dyDescent="0.2">
      <c r="A13" s="208"/>
      <c r="B13" s="209"/>
      <c r="C13" s="210"/>
      <c r="D13" s="86" t="s">
        <v>130</v>
      </c>
      <c r="E13" s="42"/>
      <c r="F13" s="82"/>
      <c r="G13" s="50">
        <v>44664</v>
      </c>
      <c r="H13" s="80" t="s">
        <v>281</v>
      </c>
      <c r="I13" s="50">
        <v>44665</v>
      </c>
      <c r="J13" s="96" t="s">
        <v>282</v>
      </c>
      <c r="K13" s="50">
        <v>44676</v>
      </c>
      <c r="L13" s="106" t="s">
        <v>310</v>
      </c>
      <c r="M13" s="48">
        <v>1</v>
      </c>
      <c r="N13" s="51"/>
      <c r="O13" s="44"/>
      <c r="P13" s="51"/>
      <c r="Q13" s="44"/>
      <c r="R13" s="48"/>
      <c r="S13" s="52"/>
    </row>
    <row r="14" spans="1:19" s="5" customFormat="1" ht="20.25" customHeight="1" x14ac:dyDescent="0.2">
      <c r="A14" s="203"/>
      <c r="B14" s="205"/>
      <c r="C14" s="207"/>
      <c r="D14" s="86" t="s">
        <v>311</v>
      </c>
      <c r="E14" s="42"/>
      <c r="F14" s="82"/>
      <c r="G14" s="50">
        <v>44680</v>
      </c>
      <c r="H14" s="80" t="s">
        <v>312</v>
      </c>
      <c r="I14" s="50">
        <v>44680</v>
      </c>
      <c r="J14" s="96" t="s">
        <v>326</v>
      </c>
      <c r="K14" s="117"/>
      <c r="L14" s="106"/>
      <c r="M14" s="48"/>
      <c r="N14" s="51"/>
      <c r="O14" s="44"/>
      <c r="P14" s="51"/>
      <c r="Q14" s="44"/>
      <c r="R14" s="48"/>
      <c r="S14" s="52"/>
    </row>
    <row r="15" spans="1:19" s="5" customFormat="1" ht="20.25" customHeight="1" x14ac:dyDescent="0.2">
      <c r="A15" s="49">
        <v>3</v>
      </c>
      <c r="B15" s="45" t="s">
        <v>45</v>
      </c>
      <c r="C15" s="42" t="s">
        <v>92</v>
      </c>
      <c r="D15" s="87"/>
      <c r="E15" s="42"/>
      <c r="F15" s="82">
        <v>44568</v>
      </c>
      <c r="G15" s="48"/>
      <c r="H15" s="44"/>
      <c r="I15" s="48"/>
      <c r="J15" s="44"/>
      <c r="K15" s="48"/>
      <c r="L15" s="44"/>
      <c r="M15" s="48"/>
      <c r="N15" s="51"/>
      <c r="O15" s="44"/>
      <c r="P15" s="51"/>
      <c r="Q15" s="44"/>
      <c r="R15" s="48"/>
      <c r="S15" s="52"/>
    </row>
    <row r="16" spans="1:19" s="5" customFormat="1" ht="20.25" customHeight="1" x14ac:dyDescent="0.2">
      <c r="A16" s="49">
        <v>4</v>
      </c>
      <c r="B16" s="45" t="s">
        <v>46</v>
      </c>
      <c r="C16" s="42" t="s">
        <v>93</v>
      </c>
      <c r="D16" s="87"/>
      <c r="E16" s="42"/>
      <c r="F16" s="82">
        <v>44575</v>
      </c>
      <c r="G16" s="48"/>
      <c r="H16" s="44"/>
      <c r="I16" s="48"/>
      <c r="J16" s="44"/>
      <c r="K16" s="48"/>
      <c r="L16" s="44"/>
      <c r="M16" s="48"/>
      <c r="N16" s="51"/>
      <c r="O16" s="44"/>
      <c r="P16" s="51"/>
      <c r="Q16" s="44"/>
      <c r="R16" s="48"/>
      <c r="S16" s="52"/>
    </row>
    <row r="17" spans="1:19" s="5" customFormat="1" ht="20.25" customHeight="1" x14ac:dyDescent="0.2">
      <c r="A17" s="49">
        <v>5</v>
      </c>
      <c r="B17" s="45" t="s">
        <v>47</v>
      </c>
      <c r="C17" s="42" t="s">
        <v>94</v>
      </c>
      <c r="D17" s="87"/>
      <c r="E17" s="42"/>
      <c r="F17" s="82">
        <v>44582</v>
      </c>
      <c r="G17" s="53"/>
      <c r="H17" s="43"/>
      <c r="I17" s="53"/>
      <c r="J17" s="43"/>
      <c r="K17" s="53"/>
      <c r="L17" s="43"/>
      <c r="M17" s="53"/>
      <c r="N17" s="54"/>
      <c r="O17" s="43"/>
      <c r="P17" s="54"/>
      <c r="Q17" s="43"/>
      <c r="R17" s="53"/>
      <c r="S17" s="55"/>
    </row>
    <row r="18" spans="1:19" ht="20.25" customHeight="1" x14ac:dyDescent="0.2">
      <c r="A18" s="49">
        <v>6</v>
      </c>
      <c r="B18" s="45" t="s">
        <v>552</v>
      </c>
      <c r="C18" s="42" t="s">
        <v>95</v>
      </c>
      <c r="D18" s="86" t="s">
        <v>562</v>
      </c>
      <c r="E18" s="42">
        <v>2</v>
      </c>
      <c r="F18" s="82">
        <v>44616</v>
      </c>
      <c r="G18" s="139">
        <v>44932</v>
      </c>
      <c r="H18" s="80" t="s">
        <v>561</v>
      </c>
      <c r="I18" s="102"/>
      <c r="J18" s="103"/>
      <c r="K18" s="53"/>
      <c r="L18" s="43"/>
      <c r="M18" s="53"/>
      <c r="N18" s="54"/>
      <c r="O18" s="43"/>
      <c r="P18" s="54"/>
      <c r="Q18" s="43"/>
      <c r="R18" s="53"/>
      <c r="S18" s="55" t="s">
        <v>137</v>
      </c>
    </row>
    <row r="19" spans="1:19" ht="20.25" customHeight="1" x14ac:dyDescent="0.2">
      <c r="A19" s="49">
        <v>7</v>
      </c>
      <c r="B19" s="110" t="s">
        <v>595</v>
      </c>
      <c r="C19" s="42" t="s">
        <v>96</v>
      </c>
      <c r="D19" s="87"/>
      <c r="E19" s="42"/>
      <c r="F19" s="82">
        <v>44619</v>
      </c>
      <c r="G19" s="142"/>
      <c r="H19" s="43"/>
      <c r="I19" s="53"/>
      <c r="J19" s="43"/>
      <c r="K19" s="53"/>
      <c r="L19" s="43"/>
      <c r="M19" s="53"/>
      <c r="N19" s="54"/>
      <c r="O19" s="43"/>
      <c r="P19" s="54"/>
      <c r="Q19" s="43"/>
      <c r="R19" s="53"/>
      <c r="S19" s="55"/>
    </row>
    <row r="20" spans="1:19" ht="20.25" customHeight="1" x14ac:dyDescent="0.2">
      <c r="A20" s="49">
        <v>8</v>
      </c>
      <c r="B20" s="110" t="s">
        <v>594</v>
      </c>
      <c r="C20" s="42" t="s">
        <v>97</v>
      </c>
      <c r="D20" s="86" t="s">
        <v>562</v>
      </c>
      <c r="E20" s="42">
        <v>2</v>
      </c>
      <c r="F20" s="82">
        <v>44798</v>
      </c>
      <c r="G20" s="139">
        <v>44951</v>
      </c>
      <c r="H20" s="80" t="s">
        <v>596</v>
      </c>
      <c r="I20" s="102"/>
      <c r="J20" s="103"/>
      <c r="K20" s="53"/>
      <c r="L20" s="43"/>
      <c r="M20" s="53"/>
      <c r="N20" s="54"/>
      <c r="O20" s="43"/>
      <c r="P20" s="54"/>
      <c r="Q20" s="43"/>
      <c r="R20" s="53"/>
      <c r="S20" s="55"/>
    </row>
    <row r="21" spans="1:19" ht="20.25" customHeight="1" x14ac:dyDescent="0.2">
      <c r="A21" s="49">
        <v>9</v>
      </c>
      <c r="B21" s="45" t="s">
        <v>553</v>
      </c>
      <c r="C21" s="42" t="s">
        <v>98</v>
      </c>
      <c r="D21" s="49"/>
      <c r="E21" s="42"/>
      <c r="F21" s="82">
        <v>44850</v>
      </c>
      <c r="G21" s="53"/>
      <c r="H21" s="43"/>
      <c r="I21" s="53"/>
      <c r="J21" s="43"/>
      <c r="K21" s="53"/>
      <c r="L21" s="43"/>
      <c r="M21" s="53"/>
      <c r="N21" s="54"/>
      <c r="O21" s="43"/>
      <c r="P21" s="54"/>
      <c r="Q21" s="43"/>
      <c r="R21" s="53"/>
      <c r="S21" s="55"/>
    </row>
    <row r="22" spans="1:19" ht="20.25" customHeight="1" x14ac:dyDescent="0.2">
      <c r="A22" s="49">
        <v>10</v>
      </c>
      <c r="B22" s="45" t="s">
        <v>425</v>
      </c>
      <c r="C22" s="42" t="s">
        <v>99</v>
      </c>
      <c r="D22" s="81" t="s">
        <v>125</v>
      </c>
      <c r="E22" s="42">
        <v>3</v>
      </c>
      <c r="F22" s="82">
        <v>44646</v>
      </c>
      <c r="G22" s="50">
        <v>44776</v>
      </c>
      <c r="H22" s="80" t="s">
        <v>415</v>
      </c>
      <c r="I22" s="50">
        <v>44791</v>
      </c>
      <c r="J22" s="140" t="s">
        <v>433</v>
      </c>
      <c r="K22" s="53"/>
      <c r="L22" s="43"/>
      <c r="M22" s="53"/>
      <c r="N22" s="50">
        <v>44791</v>
      </c>
      <c r="O22" s="96" t="s">
        <v>434</v>
      </c>
      <c r="P22" s="139">
        <v>44819</v>
      </c>
      <c r="Q22" s="133" t="s">
        <v>455</v>
      </c>
      <c r="R22" s="152" t="s">
        <v>354</v>
      </c>
      <c r="S22" s="47"/>
    </row>
    <row r="23" spans="1:19" ht="20.25" customHeight="1" x14ac:dyDescent="0.2">
      <c r="A23" s="202">
        <v>11</v>
      </c>
      <c r="B23" s="204" t="s">
        <v>409</v>
      </c>
      <c r="C23" s="206" t="s">
        <v>100</v>
      </c>
      <c r="D23" s="66" t="s">
        <v>125</v>
      </c>
      <c r="E23" s="42">
        <v>3</v>
      </c>
      <c r="F23" s="82">
        <v>44654</v>
      </c>
      <c r="G23" s="50">
        <v>44776</v>
      </c>
      <c r="H23" s="80" t="s">
        <v>410</v>
      </c>
      <c r="I23" s="50">
        <v>44791</v>
      </c>
      <c r="J23" s="140" t="s">
        <v>476</v>
      </c>
      <c r="K23" s="53"/>
      <c r="L23" s="43"/>
      <c r="M23" s="53"/>
      <c r="N23" s="50">
        <v>44791</v>
      </c>
      <c r="O23" s="96" t="s">
        <v>432</v>
      </c>
      <c r="P23" s="139">
        <v>44819</v>
      </c>
      <c r="Q23" s="115" t="s">
        <v>456</v>
      </c>
      <c r="R23" s="152" t="s">
        <v>354</v>
      </c>
      <c r="S23" s="47"/>
    </row>
    <row r="24" spans="1:19" ht="20.25" customHeight="1" x14ac:dyDescent="0.2">
      <c r="A24" s="203"/>
      <c r="B24" s="205"/>
      <c r="C24" s="207"/>
      <c r="D24" s="95" t="s">
        <v>130</v>
      </c>
      <c r="E24" s="42">
        <v>3</v>
      </c>
      <c r="F24" s="82"/>
      <c r="G24" s="50">
        <v>44841</v>
      </c>
      <c r="H24" s="80" t="s">
        <v>469</v>
      </c>
      <c r="I24" s="50">
        <v>44846</v>
      </c>
      <c r="J24" s="140" t="s">
        <v>475</v>
      </c>
      <c r="K24" s="53"/>
      <c r="L24" s="43"/>
      <c r="M24" s="53"/>
      <c r="N24" s="50">
        <v>44846</v>
      </c>
      <c r="O24" s="96" t="s">
        <v>477</v>
      </c>
      <c r="P24" s="50">
        <v>44870</v>
      </c>
      <c r="Q24" s="116" t="s">
        <v>481</v>
      </c>
      <c r="R24" s="152" t="s">
        <v>482</v>
      </c>
      <c r="S24" s="47"/>
    </row>
    <row r="25" spans="1:19" ht="20.25" customHeight="1" x14ac:dyDescent="0.2">
      <c r="A25" s="49">
        <v>12</v>
      </c>
      <c r="B25" s="45" t="s">
        <v>263</v>
      </c>
      <c r="C25" s="42" t="s">
        <v>101</v>
      </c>
      <c r="D25" s="81" t="s">
        <v>125</v>
      </c>
      <c r="E25" s="42">
        <v>3</v>
      </c>
      <c r="F25" s="82">
        <v>44564</v>
      </c>
      <c r="G25" s="50">
        <v>44636</v>
      </c>
      <c r="H25" s="80" t="s">
        <v>238</v>
      </c>
      <c r="I25" s="50">
        <v>44638</v>
      </c>
      <c r="J25" s="96" t="s">
        <v>250</v>
      </c>
      <c r="K25" s="53"/>
      <c r="L25" s="43"/>
      <c r="M25" s="53"/>
      <c r="N25" s="50">
        <v>44638</v>
      </c>
      <c r="O25" s="96" t="s">
        <v>251</v>
      </c>
      <c r="P25" s="139">
        <v>44670</v>
      </c>
      <c r="Q25" s="115" t="s">
        <v>295</v>
      </c>
      <c r="R25" s="153" t="s">
        <v>296</v>
      </c>
      <c r="S25" s="47"/>
    </row>
    <row r="26" spans="1:19" ht="20.25" customHeight="1" x14ac:dyDescent="0.2">
      <c r="A26" s="49">
        <v>13</v>
      </c>
      <c r="B26" s="45" t="s">
        <v>262</v>
      </c>
      <c r="C26" s="42" t="s">
        <v>102</v>
      </c>
      <c r="D26" s="81" t="s">
        <v>125</v>
      </c>
      <c r="E26" s="42">
        <v>3</v>
      </c>
      <c r="F26" s="82">
        <v>44595</v>
      </c>
      <c r="G26" s="50">
        <v>44644</v>
      </c>
      <c r="H26" s="80" t="s">
        <v>261</v>
      </c>
      <c r="I26" s="139">
        <v>44671</v>
      </c>
      <c r="J26" s="96" t="s">
        <v>305</v>
      </c>
      <c r="K26" s="142"/>
      <c r="L26" s="143"/>
      <c r="M26" s="142"/>
      <c r="N26" s="139">
        <v>44671</v>
      </c>
      <c r="O26" s="96" t="s">
        <v>306</v>
      </c>
      <c r="P26" s="139">
        <v>44700</v>
      </c>
      <c r="Q26" s="133" t="s">
        <v>355</v>
      </c>
      <c r="R26" s="152" t="s">
        <v>354</v>
      </c>
      <c r="S26" s="47"/>
    </row>
    <row r="27" spans="1:19" ht="20.25" customHeight="1" x14ac:dyDescent="0.2">
      <c r="A27" s="49">
        <v>14</v>
      </c>
      <c r="B27" s="45" t="s">
        <v>252</v>
      </c>
      <c r="C27" s="42" t="s">
        <v>103</v>
      </c>
      <c r="D27" s="81" t="s">
        <v>125</v>
      </c>
      <c r="E27" s="42">
        <v>3</v>
      </c>
      <c r="F27" s="82">
        <v>44564</v>
      </c>
      <c r="G27" s="50">
        <v>44643</v>
      </c>
      <c r="H27" s="80" t="s">
        <v>253</v>
      </c>
      <c r="I27" s="50">
        <v>44648</v>
      </c>
      <c r="J27" s="140" t="s">
        <v>265</v>
      </c>
      <c r="K27" s="142"/>
      <c r="L27" s="143"/>
      <c r="M27" s="142"/>
      <c r="N27" s="50">
        <v>44648</v>
      </c>
      <c r="O27" s="140" t="s">
        <v>266</v>
      </c>
      <c r="P27" s="139">
        <v>44670</v>
      </c>
      <c r="Q27" s="115" t="s">
        <v>300</v>
      </c>
      <c r="R27" s="153" t="s">
        <v>296</v>
      </c>
      <c r="S27" s="47"/>
    </row>
    <row r="28" spans="1:19" ht="20.25" customHeight="1" x14ac:dyDescent="0.2">
      <c r="A28" s="49">
        <v>15</v>
      </c>
      <c r="B28" s="45" t="s">
        <v>269</v>
      </c>
      <c r="C28" s="42" t="s">
        <v>141</v>
      </c>
      <c r="D28" s="81" t="s">
        <v>125</v>
      </c>
      <c r="E28" s="42">
        <v>3</v>
      </c>
      <c r="F28" s="82">
        <f>F12</f>
        <v>44564</v>
      </c>
      <c r="G28" s="50">
        <v>44651</v>
      </c>
      <c r="H28" s="80" t="s">
        <v>272</v>
      </c>
      <c r="I28" s="50">
        <v>44654</v>
      </c>
      <c r="J28" s="140" t="s">
        <v>277</v>
      </c>
      <c r="K28" s="142"/>
      <c r="L28" s="143"/>
      <c r="M28" s="142"/>
      <c r="N28" s="50">
        <v>44654</v>
      </c>
      <c r="O28" s="140" t="s">
        <v>278</v>
      </c>
      <c r="P28" s="139">
        <v>44670</v>
      </c>
      <c r="Q28" s="115" t="s">
        <v>297</v>
      </c>
      <c r="R28" s="153" t="s">
        <v>296</v>
      </c>
      <c r="S28" s="47"/>
    </row>
    <row r="29" spans="1:19" ht="20.25" customHeight="1" x14ac:dyDescent="0.2">
      <c r="A29" s="49">
        <v>16</v>
      </c>
      <c r="B29" s="45" t="s">
        <v>346</v>
      </c>
      <c r="C29" s="42" t="s">
        <v>343</v>
      </c>
      <c r="D29" s="81" t="s">
        <v>125</v>
      </c>
      <c r="E29" s="42">
        <v>3</v>
      </c>
      <c r="F29" s="82"/>
      <c r="G29" s="50">
        <v>44699</v>
      </c>
      <c r="H29" s="80" t="s">
        <v>347</v>
      </c>
      <c r="I29" s="50">
        <v>44700</v>
      </c>
      <c r="J29" s="140" t="s">
        <v>357</v>
      </c>
      <c r="K29" s="142"/>
      <c r="L29" s="143"/>
      <c r="M29" s="142"/>
      <c r="N29" s="139">
        <v>44700</v>
      </c>
      <c r="O29" s="96" t="s">
        <v>353</v>
      </c>
      <c r="P29" s="139">
        <v>44710</v>
      </c>
      <c r="Q29" s="115" t="s">
        <v>361</v>
      </c>
      <c r="R29" s="152" t="s">
        <v>354</v>
      </c>
      <c r="S29" s="47"/>
    </row>
    <row r="30" spans="1:19" ht="20.25" customHeight="1" x14ac:dyDescent="0.2">
      <c r="A30" s="49">
        <v>17</v>
      </c>
      <c r="B30" s="45" t="s">
        <v>351</v>
      </c>
      <c r="C30" s="42" t="s">
        <v>348</v>
      </c>
      <c r="D30" s="81" t="s">
        <v>125</v>
      </c>
      <c r="E30" s="42">
        <v>3</v>
      </c>
      <c r="F30" s="82"/>
      <c r="G30" s="50">
        <v>44699</v>
      </c>
      <c r="H30" s="80" t="s">
        <v>350</v>
      </c>
      <c r="I30" s="50">
        <v>44700</v>
      </c>
      <c r="J30" s="140" t="s">
        <v>358</v>
      </c>
      <c r="K30" s="142"/>
      <c r="L30" s="143"/>
      <c r="M30" s="142"/>
      <c r="N30" s="139">
        <v>44700</v>
      </c>
      <c r="O30" s="96" t="s">
        <v>352</v>
      </c>
      <c r="P30" s="139">
        <v>44710</v>
      </c>
      <c r="Q30" s="133" t="s">
        <v>370</v>
      </c>
      <c r="R30" s="152" t="s">
        <v>354</v>
      </c>
      <c r="S30" s="55"/>
    </row>
    <row r="31" spans="1:19" ht="20.25" customHeight="1" x14ac:dyDescent="0.2">
      <c r="A31" s="49">
        <v>18</v>
      </c>
      <c r="B31" s="45" t="s">
        <v>440</v>
      </c>
      <c r="C31" s="42" t="s">
        <v>441</v>
      </c>
      <c r="D31" s="81" t="s">
        <v>125</v>
      </c>
      <c r="E31" s="42">
        <v>3</v>
      </c>
      <c r="F31" s="50"/>
      <c r="G31" s="50">
        <v>44797</v>
      </c>
      <c r="H31" s="80" t="s">
        <v>446</v>
      </c>
      <c r="I31" s="135"/>
      <c r="J31" s="136"/>
      <c r="K31" s="53"/>
      <c r="L31" s="43"/>
      <c r="M31" s="53"/>
      <c r="N31" s="145" t="s">
        <v>447</v>
      </c>
      <c r="O31" s="146" t="s">
        <v>447</v>
      </c>
      <c r="P31" s="139">
        <v>44799</v>
      </c>
      <c r="Q31" s="147" t="s">
        <v>448</v>
      </c>
      <c r="R31" s="152" t="s">
        <v>482</v>
      </c>
      <c r="S31" s="55"/>
    </row>
    <row r="32" spans="1:19" ht="20.25" customHeight="1" x14ac:dyDescent="0.2">
      <c r="A32" s="202">
        <v>19</v>
      </c>
      <c r="B32" s="204" t="s">
        <v>472</v>
      </c>
      <c r="C32" s="206" t="s">
        <v>473</v>
      </c>
      <c r="D32" s="81" t="s">
        <v>125</v>
      </c>
      <c r="E32" s="42">
        <v>3</v>
      </c>
      <c r="F32" s="50"/>
      <c r="G32" s="50">
        <v>44845</v>
      </c>
      <c r="H32" s="80" t="s">
        <v>474</v>
      </c>
      <c r="I32" s="135"/>
      <c r="J32" s="136"/>
      <c r="K32" s="53"/>
      <c r="L32" s="43"/>
      <c r="M32" s="53"/>
      <c r="N32" s="54"/>
      <c r="O32" s="43"/>
      <c r="P32" s="46"/>
      <c r="Q32" s="164"/>
      <c r="R32" s="53"/>
      <c r="S32" s="55"/>
    </row>
    <row r="33" spans="1:19" ht="20.25" customHeight="1" x14ac:dyDescent="0.2">
      <c r="A33" s="203"/>
      <c r="B33" s="205"/>
      <c r="C33" s="207"/>
      <c r="D33" s="95" t="s">
        <v>130</v>
      </c>
      <c r="E33" s="42">
        <v>3</v>
      </c>
      <c r="F33" s="50"/>
      <c r="G33" s="50">
        <v>45085</v>
      </c>
      <c r="H33" s="80" t="s">
        <v>624</v>
      </c>
      <c r="I33" s="135"/>
      <c r="J33" s="171"/>
      <c r="K33" s="53"/>
      <c r="L33" s="43"/>
      <c r="M33" s="53"/>
      <c r="N33" s="173" t="s">
        <v>447</v>
      </c>
      <c r="O33" s="43" t="s">
        <v>627</v>
      </c>
      <c r="P33" s="114">
        <v>45089</v>
      </c>
      <c r="Q33" s="116" t="s">
        <v>628</v>
      </c>
      <c r="R33" s="132" t="s">
        <v>354</v>
      </c>
      <c r="S33" s="55"/>
    </row>
    <row r="34" spans="1:19" ht="27.75" customHeight="1" x14ac:dyDescent="0.2">
      <c r="A34" s="49">
        <v>20</v>
      </c>
      <c r="B34" s="157" t="s">
        <v>492</v>
      </c>
      <c r="C34" s="42" t="s">
        <v>493</v>
      </c>
      <c r="D34" s="81" t="s">
        <v>125</v>
      </c>
      <c r="E34" s="42">
        <v>3</v>
      </c>
      <c r="F34" s="50"/>
      <c r="G34" s="139">
        <v>44880</v>
      </c>
      <c r="H34" s="80" t="s">
        <v>494</v>
      </c>
      <c r="I34" s="139">
        <v>44883</v>
      </c>
      <c r="J34" s="140" t="s">
        <v>496</v>
      </c>
      <c r="K34" s="53"/>
      <c r="L34" s="43"/>
      <c r="M34" s="53"/>
      <c r="N34" s="139">
        <v>44883</v>
      </c>
      <c r="O34" s="105" t="s">
        <v>497</v>
      </c>
      <c r="P34" s="139">
        <v>44886</v>
      </c>
      <c r="Q34" s="115" t="s">
        <v>498</v>
      </c>
      <c r="R34" s="152" t="s">
        <v>354</v>
      </c>
      <c r="S34" s="55"/>
    </row>
    <row r="35" spans="1:19" ht="27.75" customHeight="1" x14ac:dyDescent="0.2">
      <c r="A35" s="49">
        <v>21</v>
      </c>
      <c r="B35" s="157" t="s">
        <v>523</v>
      </c>
      <c r="C35" s="42" t="s">
        <v>524</v>
      </c>
      <c r="D35" s="81" t="s">
        <v>125</v>
      </c>
      <c r="E35" s="42">
        <v>3</v>
      </c>
      <c r="F35" s="50"/>
      <c r="G35" s="50">
        <v>44916</v>
      </c>
      <c r="H35" s="80" t="s">
        <v>529</v>
      </c>
      <c r="I35" s="50">
        <v>44916</v>
      </c>
      <c r="J35" s="140" t="s">
        <v>530</v>
      </c>
      <c r="K35" s="53"/>
      <c r="L35" s="43"/>
      <c r="M35" s="53"/>
      <c r="N35" s="50">
        <v>44916</v>
      </c>
      <c r="O35" s="105" t="s">
        <v>531</v>
      </c>
      <c r="P35" s="139"/>
      <c r="Q35" s="115"/>
      <c r="R35" s="152"/>
      <c r="S35" s="55"/>
    </row>
    <row r="36" spans="1:19" ht="27.75" customHeight="1" x14ac:dyDescent="0.2">
      <c r="A36" s="49">
        <v>22</v>
      </c>
      <c r="B36" s="157" t="s">
        <v>537</v>
      </c>
      <c r="C36" s="42" t="s">
        <v>538</v>
      </c>
      <c r="D36" s="66" t="s">
        <v>125</v>
      </c>
      <c r="E36" s="42">
        <v>3</v>
      </c>
      <c r="F36" s="50"/>
      <c r="G36" s="50">
        <v>44922</v>
      </c>
      <c r="H36" s="80" t="s">
        <v>542</v>
      </c>
      <c r="I36" s="50">
        <v>44922</v>
      </c>
      <c r="J36" s="140" t="s">
        <v>543</v>
      </c>
      <c r="K36" s="53"/>
      <c r="L36" s="43"/>
      <c r="M36" s="53"/>
      <c r="N36" s="50">
        <v>44922</v>
      </c>
      <c r="O36" s="105" t="s">
        <v>544</v>
      </c>
      <c r="P36" s="114">
        <v>44932</v>
      </c>
      <c r="Q36" s="133" t="s">
        <v>568</v>
      </c>
      <c r="R36" s="152" t="s">
        <v>354</v>
      </c>
      <c r="S36" s="55"/>
    </row>
    <row r="37" spans="1:19" ht="27.75" customHeight="1" x14ac:dyDescent="0.2">
      <c r="A37" s="49">
        <v>23</v>
      </c>
      <c r="B37" s="110" t="s">
        <v>546</v>
      </c>
      <c r="C37" s="42" t="s">
        <v>545</v>
      </c>
      <c r="D37" s="66" t="s">
        <v>125</v>
      </c>
      <c r="E37" s="42">
        <v>3</v>
      </c>
      <c r="F37" s="50"/>
      <c r="G37" s="50">
        <v>44924</v>
      </c>
      <c r="H37" s="80" t="s">
        <v>547</v>
      </c>
      <c r="I37" s="50">
        <v>44924</v>
      </c>
      <c r="J37" s="140" t="s">
        <v>548</v>
      </c>
      <c r="K37" s="53"/>
      <c r="L37" s="43"/>
      <c r="M37" s="53"/>
      <c r="N37" s="50">
        <v>44924</v>
      </c>
      <c r="O37" s="105" t="s">
        <v>549</v>
      </c>
      <c r="P37" s="114">
        <v>44932</v>
      </c>
      <c r="Q37" s="133" t="s">
        <v>569</v>
      </c>
      <c r="R37" s="152" t="s">
        <v>354</v>
      </c>
      <c r="S37" s="55"/>
    </row>
    <row r="38" spans="1:19" ht="27.75" customHeight="1" x14ac:dyDescent="0.2">
      <c r="A38" s="49">
        <v>24</v>
      </c>
      <c r="B38" s="110" t="s">
        <v>618</v>
      </c>
      <c r="C38" s="42" t="s">
        <v>619</v>
      </c>
      <c r="D38" s="66" t="s">
        <v>125</v>
      </c>
      <c r="E38" s="42">
        <v>3</v>
      </c>
      <c r="F38" s="50"/>
      <c r="G38" s="50">
        <v>45071</v>
      </c>
      <c r="H38" s="80" t="s">
        <v>620</v>
      </c>
      <c r="I38" s="50">
        <v>45075</v>
      </c>
      <c r="J38" s="140" t="s">
        <v>653</v>
      </c>
      <c r="K38" s="53"/>
      <c r="L38" s="43"/>
      <c r="M38" s="53"/>
      <c r="N38" s="50">
        <v>45075</v>
      </c>
      <c r="O38" s="105" t="s">
        <v>622</v>
      </c>
      <c r="P38" s="134">
        <v>45091</v>
      </c>
      <c r="Q38" s="133" t="s">
        <v>630</v>
      </c>
      <c r="R38" s="152" t="s">
        <v>354</v>
      </c>
      <c r="S38" s="55"/>
    </row>
    <row r="39" spans="1:19" ht="27.75" customHeight="1" x14ac:dyDescent="0.2">
      <c r="A39" s="49">
        <v>25</v>
      </c>
      <c r="B39" s="110" t="s">
        <v>640</v>
      </c>
      <c r="C39" s="42" t="s">
        <v>639</v>
      </c>
      <c r="D39" s="66" t="s">
        <v>125</v>
      </c>
      <c r="E39" s="42">
        <v>3</v>
      </c>
      <c r="F39" s="50"/>
      <c r="G39" s="50">
        <v>45120</v>
      </c>
      <c r="H39" s="80" t="s">
        <v>644</v>
      </c>
      <c r="I39" s="135"/>
      <c r="J39" s="136"/>
      <c r="K39" s="53"/>
      <c r="L39" s="43"/>
      <c r="M39" s="53"/>
      <c r="N39" s="144"/>
      <c r="O39" s="105"/>
      <c r="P39" s="134"/>
      <c r="Q39" s="133"/>
      <c r="R39" s="152"/>
      <c r="S39" s="55"/>
    </row>
    <row r="40" spans="1:19" ht="36" customHeight="1" x14ac:dyDescent="0.2">
      <c r="A40" s="49">
        <v>26</v>
      </c>
      <c r="B40" s="110" t="s">
        <v>700</v>
      </c>
      <c r="C40" s="42" t="s">
        <v>699</v>
      </c>
      <c r="D40" s="66" t="s">
        <v>125</v>
      </c>
      <c r="E40" s="42">
        <v>3</v>
      </c>
      <c r="F40" s="50"/>
      <c r="G40" s="50">
        <v>45321</v>
      </c>
      <c r="H40" s="80" t="s">
        <v>704</v>
      </c>
      <c r="I40" s="50">
        <v>45322</v>
      </c>
      <c r="J40" s="140" t="s">
        <v>723</v>
      </c>
      <c r="K40" s="53"/>
      <c r="L40" s="43"/>
      <c r="M40" s="53"/>
      <c r="N40" s="50">
        <v>45322</v>
      </c>
      <c r="O40" s="105" t="s">
        <v>724</v>
      </c>
      <c r="P40" s="104">
        <v>45329</v>
      </c>
      <c r="Q40" s="191" t="s">
        <v>726</v>
      </c>
      <c r="R40" s="152" t="s">
        <v>354</v>
      </c>
      <c r="S40" s="55"/>
    </row>
    <row r="41" spans="1:19" ht="36" customHeight="1" x14ac:dyDescent="0.2">
      <c r="A41" s="49">
        <v>27</v>
      </c>
      <c r="B41" s="110" t="s">
        <v>715</v>
      </c>
      <c r="C41" s="42" t="s">
        <v>716</v>
      </c>
      <c r="D41" s="66" t="s">
        <v>125</v>
      </c>
      <c r="E41" s="42">
        <v>3</v>
      </c>
      <c r="F41" s="50"/>
      <c r="G41" s="50">
        <v>45328</v>
      </c>
      <c r="H41" s="80" t="s">
        <v>722</v>
      </c>
      <c r="I41" s="50">
        <v>45403</v>
      </c>
      <c r="J41" s="140" t="s">
        <v>763</v>
      </c>
      <c r="K41" s="53"/>
      <c r="L41" s="43"/>
      <c r="M41" s="53"/>
      <c r="N41" s="50">
        <v>45401</v>
      </c>
      <c r="O41" s="105" t="s">
        <v>762</v>
      </c>
      <c r="P41" s="50">
        <v>45403</v>
      </c>
      <c r="Q41" s="116" t="s">
        <v>765</v>
      </c>
      <c r="R41" s="152" t="s">
        <v>354</v>
      </c>
      <c r="S41" s="55"/>
    </row>
    <row r="42" spans="1:19" ht="36" customHeight="1" x14ac:dyDescent="0.2">
      <c r="A42" s="49">
        <v>28</v>
      </c>
      <c r="B42" s="200" t="s">
        <v>819</v>
      </c>
      <c r="C42" s="42" t="s">
        <v>821</v>
      </c>
      <c r="D42" s="66" t="s">
        <v>125</v>
      </c>
      <c r="E42" s="42"/>
      <c r="F42" s="50"/>
      <c r="G42" s="50">
        <v>45519</v>
      </c>
      <c r="H42" s="80" t="s">
        <v>823</v>
      </c>
      <c r="I42" s="102"/>
      <c r="J42" s="103"/>
      <c r="K42" s="53"/>
      <c r="L42" s="43"/>
      <c r="M42" s="53"/>
      <c r="N42" s="134">
        <v>45527</v>
      </c>
      <c r="O42" s="105" t="s">
        <v>827</v>
      </c>
      <c r="P42" s="134">
        <v>45542</v>
      </c>
      <c r="Q42" s="115" t="s">
        <v>833</v>
      </c>
      <c r="R42" s="152" t="s">
        <v>354</v>
      </c>
      <c r="S42" s="55"/>
    </row>
    <row r="43" spans="1:19" ht="27.75" customHeight="1" x14ac:dyDescent="0.2">
      <c r="A43" s="49"/>
      <c r="B43" s="110"/>
      <c r="C43" s="42"/>
      <c r="D43" s="66"/>
      <c r="E43" s="42"/>
      <c r="F43" s="50"/>
      <c r="G43" s="50"/>
      <c r="H43" s="80"/>
      <c r="I43" s="53"/>
      <c r="J43" s="43"/>
      <c r="K43" s="53"/>
      <c r="L43" s="43"/>
      <c r="M43" s="53"/>
      <c r="N43" s="144"/>
      <c r="O43" s="105"/>
      <c r="P43" s="134"/>
      <c r="Q43" s="133"/>
      <c r="R43" s="152"/>
      <c r="S43" s="55"/>
    </row>
    <row r="44" spans="1:19" ht="27.75" customHeight="1" x14ac:dyDescent="0.2">
      <c r="A44" s="49"/>
      <c r="B44" s="110"/>
      <c r="C44" s="42"/>
      <c r="D44" s="66"/>
      <c r="E44" s="42"/>
      <c r="F44" s="50"/>
      <c r="G44" s="50"/>
      <c r="H44" s="140"/>
      <c r="I44" s="53"/>
      <c r="J44" s="43"/>
      <c r="K44" s="53"/>
      <c r="L44" s="43"/>
      <c r="M44" s="53"/>
      <c r="N44" s="144"/>
      <c r="O44" s="105"/>
      <c r="P44" s="134"/>
      <c r="Q44" s="133"/>
      <c r="R44" s="152"/>
      <c r="S44" s="55"/>
    </row>
  </sheetData>
  <mergeCells count="38">
    <mergeCell ref="D5:D8"/>
    <mergeCell ref="E5:E8"/>
    <mergeCell ref="C1:M2"/>
    <mergeCell ref="R1:S1"/>
    <mergeCell ref="R2:S2"/>
    <mergeCell ref="C3:M3"/>
    <mergeCell ref="R3:S3"/>
    <mergeCell ref="C4:M4"/>
    <mergeCell ref="R4:S4"/>
    <mergeCell ref="S5:S8"/>
    <mergeCell ref="G6:J6"/>
    <mergeCell ref="K6:M6"/>
    <mergeCell ref="N6:O6"/>
    <mergeCell ref="P6:R6"/>
    <mergeCell ref="G7:H7"/>
    <mergeCell ref="K7:M7"/>
    <mergeCell ref="G5:J5"/>
    <mergeCell ref="K5:M5"/>
    <mergeCell ref="I7:J7"/>
    <mergeCell ref="N5:R5"/>
    <mergeCell ref="F5:F8"/>
    <mergeCell ref="N7:O7"/>
    <mergeCell ref="P7:R7"/>
    <mergeCell ref="A10:A11"/>
    <mergeCell ref="B10:B11"/>
    <mergeCell ref="C10:C11"/>
    <mergeCell ref="A5:A8"/>
    <mergeCell ref="B5:B8"/>
    <mergeCell ref="C5:C8"/>
    <mergeCell ref="A32:A33"/>
    <mergeCell ref="B32:B33"/>
    <mergeCell ref="C32:C33"/>
    <mergeCell ref="A12:A14"/>
    <mergeCell ref="B12:B14"/>
    <mergeCell ref="C12:C14"/>
    <mergeCell ref="A23:A24"/>
    <mergeCell ref="B23:B24"/>
    <mergeCell ref="C23:C24"/>
  </mergeCells>
  <hyperlinks>
    <hyperlink ref="D10" r:id="rId1" display="00" xr:uid="{00000000-0004-0000-0000-000000000000}"/>
    <hyperlink ref="L10" r:id="rId2" xr:uid="{00000000-0004-0000-0000-000001000000}"/>
    <hyperlink ref="D11" r:id="rId3" display="00" xr:uid="{00000000-0004-0000-0000-000002000000}"/>
    <hyperlink ref="D12" r:id="rId4" xr:uid="{00000000-0004-0000-0000-000003000000}"/>
    <hyperlink ref="D25" r:id="rId5" xr:uid="{00000000-0004-0000-0000-000004000000}"/>
    <hyperlink ref="D27" r:id="rId6" xr:uid="{00000000-0004-0000-0000-000005000000}"/>
    <hyperlink ref="L11" r:id="rId7" xr:uid="{00000000-0004-0000-0000-000006000000}"/>
    <hyperlink ref="D26" r:id="rId8" xr:uid="{00000000-0004-0000-0000-000007000000}"/>
    <hyperlink ref="D28" r:id="rId9" xr:uid="{00000000-0004-0000-0000-000008000000}"/>
    <hyperlink ref="L12" r:id="rId10" xr:uid="{00000000-0004-0000-0000-000009000000}"/>
    <hyperlink ref="D13" r:id="rId11" display="A" xr:uid="{00000000-0004-0000-0000-00000A000000}"/>
    <hyperlink ref="Q25" r:id="rId12" xr:uid="{00000000-0004-0000-0000-00000B000000}"/>
    <hyperlink ref="Q27" r:id="rId13" xr:uid="{00000000-0004-0000-0000-00000C000000}"/>
    <hyperlink ref="Q28" r:id="rId14" xr:uid="{00000000-0004-0000-0000-00000D000000}"/>
    <hyperlink ref="L13" r:id="rId15" xr:uid="{00000000-0004-0000-0000-00000E000000}"/>
    <hyperlink ref="D14" r:id="rId16" xr:uid="{00000000-0004-0000-0000-00000F000000}"/>
    <hyperlink ref="D29" r:id="rId17" xr:uid="{00000000-0004-0000-0000-000010000000}"/>
    <hyperlink ref="D30" r:id="rId18" xr:uid="{00000000-0004-0000-0000-000011000000}"/>
    <hyperlink ref="Q26" r:id="rId19" xr:uid="{00000000-0004-0000-0000-000012000000}"/>
    <hyperlink ref="Q29" r:id="rId20" xr:uid="{00000000-0004-0000-0000-000013000000}"/>
    <hyperlink ref="Q30" r:id="rId21" xr:uid="{00000000-0004-0000-0000-000014000000}"/>
    <hyperlink ref="D22" r:id="rId22" xr:uid="{00000000-0004-0000-0000-000015000000}"/>
    <hyperlink ref="D23" r:id="rId23" xr:uid="{00000000-0004-0000-0000-000016000000}"/>
    <hyperlink ref="D31" r:id="rId24" xr:uid="{00000000-0004-0000-0000-000017000000}"/>
    <hyperlink ref="Q31" r:id="rId25" xr:uid="{00000000-0004-0000-0000-000018000000}"/>
    <hyperlink ref="Q22" r:id="rId26" xr:uid="{00000000-0004-0000-0000-000019000000}"/>
    <hyperlink ref="Q23" r:id="rId27" xr:uid="{00000000-0004-0000-0000-00001A000000}"/>
    <hyperlink ref="D24" r:id="rId28" xr:uid="{00000000-0004-0000-0000-00001B000000}"/>
    <hyperlink ref="D32" r:id="rId29" xr:uid="{00000000-0004-0000-0000-00001C000000}"/>
    <hyperlink ref="Q24" r:id="rId30" xr:uid="{00000000-0004-0000-0000-00001D000000}"/>
    <hyperlink ref="D34" r:id="rId31" xr:uid="{00000000-0004-0000-0000-00001E000000}"/>
    <hyperlink ref="Q34" r:id="rId32" xr:uid="{00000000-0004-0000-0000-00001F000000}"/>
    <hyperlink ref="D35" r:id="rId33" xr:uid="{00000000-0004-0000-0000-000020000000}"/>
    <hyperlink ref="D36" r:id="rId34" xr:uid="{00000000-0004-0000-0000-000021000000}"/>
    <hyperlink ref="D37" r:id="rId35" xr:uid="{00000000-0004-0000-0000-000022000000}"/>
    <hyperlink ref="D18" r:id="rId36" xr:uid="{00000000-0004-0000-0000-000023000000}"/>
    <hyperlink ref="Q36" r:id="rId37" xr:uid="{00000000-0004-0000-0000-000024000000}"/>
    <hyperlink ref="Q37" r:id="rId38" xr:uid="{00000000-0004-0000-0000-000025000000}"/>
    <hyperlink ref="D20" r:id="rId39" xr:uid="{00000000-0004-0000-0000-000026000000}"/>
    <hyperlink ref="D38" r:id="rId40" xr:uid="{00000000-0004-0000-0000-000027000000}"/>
    <hyperlink ref="D33" r:id="rId41" xr:uid="{00000000-0004-0000-0000-000028000000}"/>
    <hyperlink ref="Q33" r:id="rId42" xr:uid="{00000000-0004-0000-0000-000029000000}"/>
    <hyperlink ref="Q38" r:id="rId43" xr:uid="{00000000-0004-0000-0000-00002A000000}"/>
    <hyperlink ref="D39" r:id="rId44" xr:uid="{00000000-0004-0000-0000-00002B000000}"/>
    <hyperlink ref="D40" r:id="rId45" xr:uid="{00000000-0004-0000-0000-00002C000000}"/>
    <hyperlink ref="D41" r:id="rId46" xr:uid="{00000000-0004-0000-0000-00002D000000}"/>
    <hyperlink ref="Q40" r:id="rId47" xr:uid="{00000000-0004-0000-0000-00002E000000}"/>
    <hyperlink ref="Q41" r:id="rId48" xr:uid="{00000000-0004-0000-0000-00002F000000}"/>
    <hyperlink ref="D42" r:id="rId49" xr:uid="{06780DC8-B8C0-4FD5-AEE2-5FBF4C6F090E}"/>
    <hyperlink ref="Q42" r:id="rId50" xr:uid="{C7530F13-C8C8-4DDD-A075-100F7DCB780C}"/>
  </hyperlinks>
  <printOptions horizontalCentered="1"/>
  <pageMargins left="0.25" right="0.25" top="0.5" bottom="0.5" header="0.25" footer="0.25"/>
  <pageSetup paperSize="9" scale="65" orientation="landscape" r:id="rId5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3"/>
  <sheetViews>
    <sheetView topLeftCell="A20" zoomScaleNormal="100" zoomScaleSheetLayoutView="100" workbookViewId="0">
      <selection activeCell="C39" sqref="C39:C40"/>
    </sheetView>
  </sheetViews>
  <sheetFormatPr defaultColWidth="10.6640625" defaultRowHeight="12.75" x14ac:dyDescent="0.2"/>
  <cols>
    <col min="1" max="1" width="6.83203125" style="2" customWidth="1"/>
    <col min="2" max="2" width="89.1640625" style="2" customWidth="1"/>
    <col min="3" max="3" width="23.5" style="1" customWidth="1"/>
    <col min="4" max="5" width="6.83203125" style="1" customWidth="1"/>
    <col min="6" max="6" width="18.5" style="1" customWidth="1"/>
    <col min="7" max="7" width="12.33203125" style="1" customWidth="1"/>
    <col min="8" max="8" width="21.1640625" style="1" customWidth="1"/>
    <col min="9" max="9" width="10.1640625" style="2" customWidth="1"/>
    <col min="10" max="10" width="23.33203125" style="3" customWidth="1"/>
    <col min="11" max="11" width="10.83203125" style="2" customWidth="1"/>
    <col min="12" max="12" width="18.83203125" style="3" customWidth="1"/>
    <col min="13" max="13" width="11.83203125" style="6" customWidth="1"/>
    <col min="14" max="14" width="11.6640625" style="2" customWidth="1"/>
    <col min="15" max="15" width="30.33203125" style="2" customWidth="1"/>
    <col min="16" max="16" width="12.5" style="2" customWidth="1"/>
    <col min="17" max="17" width="18.1640625" style="3" customWidth="1"/>
    <col min="18" max="18" width="16.1640625" style="6" customWidth="1"/>
    <col min="19" max="19" width="22.83203125" style="6" customWidth="1"/>
    <col min="20" max="16384" width="10.6640625" style="2"/>
  </cols>
  <sheetData>
    <row r="1" spans="1:19" s="4" customFormat="1" ht="20.100000000000001" customHeight="1" x14ac:dyDescent="0.2">
      <c r="A1" s="7"/>
      <c r="B1" s="8"/>
      <c r="C1" s="225" t="s">
        <v>41</v>
      </c>
      <c r="D1" s="226"/>
      <c r="E1" s="226"/>
      <c r="F1" s="226"/>
      <c r="G1" s="226"/>
      <c r="H1" s="226"/>
      <c r="I1" s="226"/>
      <c r="J1" s="226"/>
      <c r="K1" s="226"/>
      <c r="L1" s="226"/>
      <c r="M1" s="227"/>
      <c r="N1" s="14" t="s">
        <v>7</v>
      </c>
      <c r="O1" s="15"/>
      <c r="P1" s="15"/>
      <c r="Q1" s="16"/>
      <c r="R1" s="231"/>
      <c r="S1" s="232"/>
    </row>
    <row r="2" spans="1:19" s="4" customFormat="1" ht="20.100000000000001" customHeight="1" x14ac:dyDescent="0.2">
      <c r="A2" s="9"/>
      <c r="B2" s="10"/>
      <c r="C2" s="228"/>
      <c r="D2" s="229"/>
      <c r="E2" s="229"/>
      <c r="F2" s="229"/>
      <c r="G2" s="229"/>
      <c r="H2" s="229"/>
      <c r="I2" s="229"/>
      <c r="J2" s="229"/>
      <c r="K2" s="229"/>
      <c r="L2" s="229"/>
      <c r="M2" s="230"/>
      <c r="N2" s="17" t="s">
        <v>22</v>
      </c>
      <c r="O2" s="18"/>
      <c r="P2" s="18"/>
      <c r="Q2" s="19"/>
      <c r="R2" s="233"/>
      <c r="S2" s="234"/>
    </row>
    <row r="3" spans="1:19" s="4" customFormat="1" ht="20.100000000000001" customHeight="1" x14ac:dyDescent="0.2">
      <c r="A3" s="9"/>
      <c r="B3" s="10"/>
      <c r="C3" s="235" t="s">
        <v>42</v>
      </c>
      <c r="D3" s="236"/>
      <c r="E3" s="236"/>
      <c r="F3" s="236"/>
      <c r="G3" s="236"/>
      <c r="H3" s="236"/>
      <c r="I3" s="236"/>
      <c r="J3" s="236"/>
      <c r="K3" s="236"/>
      <c r="L3" s="236"/>
      <c r="M3" s="237"/>
      <c r="N3" s="20" t="s">
        <v>9</v>
      </c>
      <c r="O3" s="21"/>
      <c r="P3" s="21"/>
      <c r="Q3" s="22"/>
      <c r="R3" s="233">
        <v>0</v>
      </c>
      <c r="S3" s="234"/>
    </row>
    <row r="4" spans="1:19" s="4" customFormat="1" ht="20.100000000000001" customHeight="1" thickBot="1" x14ac:dyDescent="0.25">
      <c r="A4" s="9"/>
      <c r="B4" s="10"/>
      <c r="C4" s="257" t="s">
        <v>43</v>
      </c>
      <c r="D4" s="236"/>
      <c r="E4" s="258"/>
      <c r="F4" s="258"/>
      <c r="G4" s="258"/>
      <c r="H4" s="258"/>
      <c r="I4" s="258"/>
      <c r="J4" s="258"/>
      <c r="K4" s="258"/>
      <c r="L4" s="258"/>
      <c r="M4" s="259"/>
      <c r="N4" s="23" t="s">
        <v>8</v>
      </c>
      <c r="O4" s="24"/>
      <c r="P4" s="24"/>
      <c r="Q4" s="25"/>
      <c r="R4" s="241">
        <f>'PIPELINE &amp; CABLE'!R4:S4</f>
        <v>44524</v>
      </c>
      <c r="S4" s="242"/>
    </row>
    <row r="5" spans="1:19" s="5" customFormat="1" ht="15" customHeight="1" x14ac:dyDescent="0.2">
      <c r="A5" s="211" t="s">
        <v>0</v>
      </c>
      <c r="B5" s="213" t="s">
        <v>1</v>
      </c>
      <c r="C5" s="215" t="s">
        <v>13</v>
      </c>
      <c r="D5" s="215" t="s">
        <v>12</v>
      </c>
      <c r="E5" s="215" t="s">
        <v>14</v>
      </c>
      <c r="F5" s="215" t="s">
        <v>23</v>
      </c>
      <c r="G5" s="217" t="s">
        <v>11</v>
      </c>
      <c r="H5" s="218"/>
      <c r="I5" s="218"/>
      <c r="J5" s="219"/>
      <c r="K5" s="220" t="s">
        <v>21</v>
      </c>
      <c r="L5" s="220"/>
      <c r="M5" s="220"/>
      <c r="N5" s="220" t="s">
        <v>15</v>
      </c>
      <c r="O5" s="220"/>
      <c r="P5" s="220"/>
      <c r="Q5" s="220"/>
      <c r="R5" s="220"/>
      <c r="S5" s="243" t="s">
        <v>2</v>
      </c>
    </row>
    <row r="6" spans="1:19" s="5" customFormat="1" ht="24.95" customHeight="1" x14ac:dyDescent="0.2">
      <c r="A6" s="212"/>
      <c r="B6" s="214"/>
      <c r="C6" s="216"/>
      <c r="D6" s="224"/>
      <c r="E6" s="216"/>
      <c r="F6" s="216"/>
      <c r="G6" s="246" t="s">
        <v>4</v>
      </c>
      <c r="H6" s="221"/>
      <c r="I6" s="221"/>
      <c r="J6" s="222"/>
      <c r="K6" s="247" t="s">
        <v>5</v>
      </c>
      <c r="L6" s="247"/>
      <c r="M6" s="247"/>
      <c r="N6" s="223" t="s">
        <v>4</v>
      </c>
      <c r="O6" s="223"/>
      <c r="P6" s="248" t="s">
        <v>5</v>
      </c>
      <c r="Q6" s="248"/>
      <c r="R6" s="249"/>
      <c r="S6" s="244"/>
    </row>
    <row r="7" spans="1:19" s="5" customFormat="1" ht="24.95" customHeight="1" x14ac:dyDescent="0.2">
      <c r="A7" s="212"/>
      <c r="B7" s="214"/>
      <c r="C7" s="216"/>
      <c r="D7" s="224"/>
      <c r="E7" s="216"/>
      <c r="F7" s="216"/>
      <c r="G7" s="246" t="s">
        <v>16</v>
      </c>
      <c r="H7" s="222"/>
      <c r="I7" s="221" t="s">
        <v>20</v>
      </c>
      <c r="J7" s="222"/>
      <c r="K7" s="250" t="s">
        <v>17</v>
      </c>
      <c r="L7" s="248"/>
      <c r="M7" s="249"/>
      <c r="N7" s="223" t="s">
        <v>18</v>
      </c>
      <c r="O7" s="223"/>
      <c r="P7" s="223" t="s">
        <v>19</v>
      </c>
      <c r="Q7" s="223"/>
      <c r="R7" s="223"/>
      <c r="S7" s="244"/>
    </row>
    <row r="8" spans="1:19" s="5" customFormat="1" ht="15" customHeight="1" thickBot="1" x14ac:dyDescent="0.25">
      <c r="A8" s="262"/>
      <c r="B8" s="263"/>
      <c r="C8" s="260"/>
      <c r="D8" s="261"/>
      <c r="E8" s="260"/>
      <c r="F8" s="260"/>
      <c r="G8" s="11" t="s">
        <v>3</v>
      </c>
      <c r="H8" s="12" t="s">
        <v>6</v>
      </c>
      <c r="I8" s="11" t="s">
        <v>3</v>
      </c>
      <c r="J8" s="12" t="s">
        <v>6</v>
      </c>
      <c r="K8" s="11" t="s">
        <v>3</v>
      </c>
      <c r="L8" s="12" t="s">
        <v>6</v>
      </c>
      <c r="M8" s="11" t="s">
        <v>10</v>
      </c>
      <c r="N8" s="13" t="s">
        <v>3</v>
      </c>
      <c r="O8" s="12" t="s">
        <v>6</v>
      </c>
      <c r="P8" s="38" t="s">
        <v>3</v>
      </c>
      <c r="Q8" s="37" t="s">
        <v>6</v>
      </c>
      <c r="R8" s="11" t="s">
        <v>10</v>
      </c>
      <c r="S8" s="245"/>
    </row>
    <row r="9" spans="1:19" s="5" customFormat="1" ht="20.25" customHeight="1" x14ac:dyDescent="0.2">
      <c r="A9" s="39">
        <v>1</v>
      </c>
      <c r="B9" s="45" t="s">
        <v>205</v>
      </c>
      <c r="C9" s="40" t="s">
        <v>76</v>
      </c>
      <c r="D9" s="94" t="s">
        <v>125</v>
      </c>
      <c r="E9" s="41">
        <v>2</v>
      </c>
      <c r="F9" s="83">
        <f>'PIPELINE &amp; CABLE'!F12</f>
        <v>44564</v>
      </c>
      <c r="G9" s="83">
        <v>44628</v>
      </c>
      <c r="H9" s="80" t="s">
        <v>224</v>
      </c>
      <c r="I9" s="50">
        <v>44630</v>
      </c>
      <c r="J9" s="96" t="s">
        <v>225</v>
      </c>
      <c r="K9" s="50">
        <v>44644</v>
      </c>
      <c r="L9" s="108" t="s">
        <v>268</v>
      </c>
      <c r="M9" s="56">
        <v>5</v>
      </c>
      <c r="N9" s="50">
        <v>44630</v>
      </c>
      <c r="O9" s="96" t="s">
        <v>226</v>
      </c>
      <c r="P9" s="114">
        <v>44670</v>
      </c>
      <c r="Q9" s="115" t="s">
        <v>299</v>
      </c>
      <c r="R9" s="153" t="s">
        <v>296</v>
      </c>
      <c r="S9" s="26" t="s">
        <v>143</v>
      </c>
    </row>
    <row r="10" spans="1:19" s="5" customFormat="1" ht="20.25" customHeight="1" x14ac:dyDescent="0.2">
      <c r="A10" s="39">
        <v>2</v>
      </c>
      <c r="B10" s="45" t="s">
        <v>206</v>
      </c>
      <c r="C10" s="40" t="s">
        <v>77</v>
      </c>
      <c r="D10" s="95" t="s">
        <v>125</v>
      </c>
      <c r="E10" s="41">
        <v>2</v>
      </c>
      <c r="F10" s="83">
        <f>'PIPELINE &amp; CABLE'!F15</f>
        <v>44568</v>
      </c>
      <c r="G10" s="100" t="s">
        <v>231</v>
      </c>
      <c r="H10" s="80" t="s">
        <v>207</v>
      </c>
      <c r="I10" s="50">
        <v>44635</v>
      </c>
      <c r="J10" s="96" t="s">
        <v>236</v>
      </c>
      <c r="K10" s="50">
        <v>44651</v>
      </c>
      <c r="L10" s="111" t="s">
        <v>275</v>
      </c>
      <c r="M10" s="53">
        <v>5</v>
      </c>
      <c r="N10" s="50">
        <v>44635</v>
      </c>
      <c r="O10" s="96" t="s">
        <v>237</v>
      </c>
      <c r="P10" s="114">
        <v>44670</v>
      </c>
      <c r="Q10" s="115" t="s">
        <v>298</v>
      </c>
      <c r="R10" s="153" t="s">
        <v>296</v>
      </c>
      <c r="S10" s="26" t="s">
        <v>232</v>
      </c>
    </row>
    <row r="11" spans="1:19" s="5" customFormat="1" ht="20.25" customHeight="1" x14ac:dyDescent="0.2">
      <c r="A11" s="39">
        <v>3</v>
      </c>
      <c r="B11" s="45" t="s">
        <v>245</v>
      </c>
      <c r="C11" s="40" t="s">
        <v>78</v>
      </c>
      <c r="D11" s="66" t="s">
        <v>125</v>
      </c>
      <c r="E11" s="41">
        <v>2</v>
      </c>
      <c r="F11" s="83">
        <f>'PIPELINE &amp; CABLE'!F16</f>
        <v>44575</v>
      </c>
      <c r="G11" s="50">
        <v>44637</v>
      </c>
      <c r="H11" s="80" t="s">
        <v>244</v>
      </c>
      <c r="I11" s="50">
        <v>44643</v>
      </c>
      <c r="J11" s="96" t="s">
        <v>267</v>
      </c>
      <c r="K11" s="50">
        <v>44656</v>
      </c>
      <c r="L11" s="93" t="s">
        <v>280</v>
      </c>
      <c r="M11" s="48">
        <v>5</v>
      </c>
      <c r="N11" s="50">
        <v>44643</v>
      </c>
      <c r="O11" s="96" t="s">
        <v>257</v>
      </c>
      <c r="P11" s="114">
        <v>44670</v>
      </c>
      <c r="Q11" s="116" t="s">
        <v>302</v>
      </c>
      <c r="R11" s="153" t="s">
        <v>296</v>
      </c>
      <c r="S11" s="26"/>
    </row>
    <row r="12" spans="1:19" s="5" customFormat="1" ht="20.25" customHeight="1" x14ac:dyDescent="0.2">
      <c r="A12" s="39">
        <v>4</v>
      </c>
      <c r="B12" s="45" t="s">
        <v>270</v>
      </c>
      <c r="C12" s="40" t="s">
        <v>79</v>
      </c>
      <c r="D12" s="85" t="s">
        <v>125</v>
      </c>
      <c r="E12" s="41">
        <v>2</v>
      </c>
      <c r="F12" s="83">
        <f>'PIPELINE &amp; CABLE'!F17</f>
        <v>44582</v>
      </c>
      <c r="G12" s="50">
        <v>44649</v>
      </c>
      <c r="H12" s="80" t="s">
        <v>271</v>
      </c>
      <c r="I12" s="102"/>
      <c r="J12" s="103"/>
      <c r="K12" s="48"/>
      <c r="L12" s="44"/>
      <c r="M12" s="48"/>
      <c r="N12" s="51"/>
      <c r="O12" s="44"/>
      <c r="P12" s="51"/>
      <c r="Q12" s="43"/>
      <c r="R12" s="154"/>
      <c r="S12" s="26"/>
    </row>
    <row r="13" spans="1:19" s="5" customFormat="1" ht="20.25" customHeight="1" x14ac:dyDescent="0.2">
      <c r="A13" s="39">
        <v>5</v>
      </c>
      <c r="B13" s="45" t="s">
        <v>233</v>
      </c>
      <c r="C13" s="40" t="s">
        <v>80</v>
      </c>
      <c r="D13" s="85" t="s">
        <v>125</v>
      </c>
      <c r="E13" s="41">
        <v>3</v>
      </c>
      <c r="F13" s="83">
        <f>'PIPELINE &amp; CABLE'!F25</f>
        <v>44564</v>
      </c>
      <c r="G13" s="50">
        <v>44636</v>
      </c>
      <c r="H13" s="80" t="s">
        <v>238</v>
      </c>
      <c r="I13" s="50">
        <v>44638</v>
      </c>
      <c r="J13" s="96" t="s">
        <v>250</v>
      </c>
      <c r="K13" s="48"/>
      <c r="L13" s="44"/>
      <c r="M13" s="48"/>
      <c r="N13" s="50">
        <v>44643</v>
      </c>
      <c r="O13" s="96" t="s">
        <v>251</v>
      </c>
      <c r="P13" s="114">
        <v>44670</v>
      </c>
      <c r="Q13" s="116" t="s">
        <v>301</v>
      </c>
      <c r="R13" s="153" t="s">
        <v>296</v>
      </c>
      <c r="S13" s="26"/>
    </row>
    <row r="14" spans="1:19" s="5" customFormat="1" ht="20.25" customHeight="1" x14ac:dyDescent="0.2">
      <c r="A14" s="39">
        <v>6</v>
      </c>
      <c r="B14" s="45" t="s">
        <v>264</v>
      </c>
      <c r="C14" s="40" t="s">
        <v>81</v>
      </c>
      <c r="D14" s="81" t="s">
        <v>125</v>
      </c>
      <c r="E14" s="47">
        <v>3</v>
      </c>
      <c r="F14" s="83">
        <f>'PIPELINE &amp; CABLE'!F26</f>
        <v>44595</v>
      </c>
      <c r="G14" s="50">
        <v>44644</v>
      </c>
      <c r="H14" s="80" t="s">
        <v>261</v>
      </c>
      <c r="I14" s="139">
        <v>44671</v>
      </c>
      <c r="J14" s="96" t="s">
        <v>305</v>
      </c>
      <c r="K14" s="48"/>
      <c r="L14" s="44"/>
      <c r="M14" s="48"/>
      <c r="N14" s="139">
        <v>44671</v>
      </c>
      <c r="O14" s="96" t="s">
        <v>306</v>
      </c>
      <c r="P14" s="114">
        <v>44700</v>
      </c>
      <c r="Q14" s="133" t="s">
        <v>356</v>
      </c>
      <c r="R14" s="152" t="s">
        <v>354</v>
      </c>
      <c r="S14" s="26"/>
    </row>
    <row r="15" spans="1:19" s="5" customFormat="1" ht="29.25" customHeight="1" x14ac:dyDescent="0.2">
      <c r="A15" s="49">
        <v>7</v>
      </c>
      <c r="B15" s="84" t="s">
        <v>421</v>
      </c>
      <c r="C15" s="40" t="s">
        <v>82</v>
      </c>
      <c r="D15" s="66" t="s">
        <v>125</v>
      </c>
      <c r="E15" s="47">
        <v>3</v>
      </c>
      <c r="F15" s="83">
        <f>'PIPELINE &amp; CABLE'!F22</f>
        <v>44646</v>
      </c>
      <c r="G15" s="50">
        <v>44788</v>
      </c>
      <c r="H15" s="80" t="s">
        <v>415</v>
      </c>
      <c r="I15" s="50">
        <v>44791</v>
      </c>
      <c r="J15" s="140" t="s">
        <v>433</v>
      </c>
      <c r="K15" s="48"/>
      <c r="L15" s="44"/>
      <c r="M15" s="48"/>
      <c r="N15" s="50">
        <v>44791</v>
      </c>
      <c r="O15" s="96" t="s">
        <v>434</v>
      </c>
      <c r="P15" s="139">
        <v>44819</v>
      </c>
      <c r="Q15" s="115" t="s">
        <v>458</v>
      </c>
      <c r="R15" s="152" t="s">
        <v>354</v>
      </c>
      <c r="S15" s="26"/>
    </row>
    <row r="16" spans="1:19" s="5" customFormat="1" ht="27" customHeight="1" x14ac:dyDescent="0.2">
      <c r="A16" s="202">
        <v>8</v>
      </c>
      <c r="B16" s="253" t="s">
        <v>422</v>
      </c>
      <c r="C16" s="206" t="s">
        <v>83</v>
      </c>
      <c r="D16" s="66" t="s">
        <v>125</v>
      </c>
      <c r="E16" s="47">
        <v>3</v>
      </c>
      <c r="F16" s="83">
        <f>'PIPELINE &amp; CABLE'!F23</f>
        <v>44654</v>
      </c>
      <c r="G16" s="50">
        <v>44788</v>
      </c>
      <c r="H16" s="80" t="s">
        <v>410</v>
      </c>
      <c r="I16" s="50">
        <v>44791</v>
      </c>
      <c r="J16" s="140" t="s">
        <v>431</v>
      </c>
      <c r="K16" s="48"/>
      <c r="L16" s="44"/>
      <c r="M16" s="48"/>
      <c r="N16" s="50">
        <v>44791</v>
      </c>
      <c r="O16" s="96" t="s">
        <v>432</v>
      </c>
      <c r="P16" s="139">
        <v>44819</v>
      </c>
      <c r="Q16" s="115" t="s">
        <v>457</v>
      </c>
      <c r="R16" s="152" t="s">
        <v>354</v>
      </c>
      <c r="S16" s="26"/>
    </row>
    <row r="17" spans="1:19" s="5" customFormat="1" ht="27" customHeight="1" x14ac:dyDescent="0.2">
      <c r="A17" s="208"/>
      <c r="B17" s="264"/>
      <c r="C17" s="210"/>
      <c r="D17" s="95" t="s">
        <v>130</v>
      </c>
      <c r="E17" s="47">
        <v>3</v>
      </c>
      <c r="F17" s="83"/>
      <c r="G17" s="50">
        <v>44841</v>
      </c>
      <c r="H17" s="80" t="s">
        <v>469</v>
      </c>
      <c r="I17" s="50">
        <v>44846</v>
      </c>
      <c r="J17" s="140" t="s">
        <v>475</v>
      </c>
      <c r="K17" s="48"/>
      <c r="L17" s="44"/>
      <c r="M17" s="48"/>
      <c r="N17" s="50">
        <v>44846</v>
      </c>
      <c r="O17" s="96" t="s">
        <v>477</v>
      </c>
      <c r="P17" s="50">
        <v>44859</v>
      </c>
      <c r="Q17" s="115" t="s">
        <v>483</v>
      </c>
      <c r="R17" s="152" t="s">
        <v>354</v>
      </c>
      <c r="S17" s="26"/>
    </row>
    <row r="18" spans="1:19" s="5" customFormat="1" ht="27" customHeight="1" x14ac:dyDescent="0.2">
      <c r="A18" s="203"/>
      <c r="B18" s="254"/>
      <c r="C18" s="207"/>
      <c r="D18" s="95" t="s">
        <v>291</v>
      </c>
      <c r="E18" s="47">
        <v>3</v>
      </c>
      <c r="F18" s="83"/>
      <c r="G18" s="50">
        <v>45064</v>
      </c>
      <c r="H18" s="80" t="s">
        <v>613</v>
      </c>
      <c r="I18" s="135"/>
      <c r="J18" s="171"/>
      <c r="K18" s="48"/>
      <c r="L18" s="44"/>
      <c r="M18" s="48"/>
      <c r="N18" s="50">
        <v>45064</v>
      </c>
      <c r="O18" s="96" t="s">
        <v>615</v>
      </c>
      <c r="P18" s="50">
        <v>45065</v>
      </c>
      <c r="Q18" s="116" t="s">
        <v>614</v>
      </c>
      <c r="R18" s="152" t="s">
        <v>354</v>
      </c>
      <c r="S18" s="26"/>
    </row>
    <row r="19" spans="1:19" s="5" customFormat="1" ht="20.25" customHeight="1" x14ac:dyDescent="0.2">
      <c r="A19" s="49">
        <v>9</v>
      </c>
      <c r="B19" s="5" t="s">
        <v>254</v>
      </c>
      <c r="C19" s="40" t="s">
        <v>84</v>
      </c>
      <c r="D19" s="81" t="s">
        <v>125</v>
      </c>
      <c r="E19" s="47">
        <v>3</v>
      </c>
      <c r="F19" s="83">
        <f>'PIPELINE &amp; CABLE'!F27</f>
        <v>44564</v>
      </c>
      <c r="G19" s="50">
        <v>44643</v>
      </c>
      <c r="H19" s="80" t="s">
        <v>253</v>
      </c>
      <c r="I19" s="50">
        <v>44648</v>
      </c>
      <c r="J19" s="140" t="s">
        <v>276</v>
      </c>
      <c r="K19" s="48"/>
      <c r="L19" s="44"/>
      <c r="M19" s="48"/>
      <c r="N19" s="50">
        <v>44648</v>
      </c>
      <c r="O19" s="140" t="s">
        <v>266</v>
      </c>
      <c r="P19" s="114">
        <v>44670</v>
      </c>
      <c r="Q19" s="115" t="s">
        <v>303</v>
      </c>
      <c r="R19" s="153" t="s">
        <v>296</v>
      </c>
      <c r="S19" s="26"/>
    </row>
    <row r="20" spans="1:19" s="5" customFormat="1" ht="20.25" customHeight="1" x14ac:dyDescent="0.2">
      <c r="A20" s="49">
        <v>10</v>
      </c>
      <c r="B20" s="45" t="s">
        <v>48</v>
      </c>
      <c r="C20" s="40" t="s">
        <v>85</v>
      </c>
      <c r="D20" s="46"/>
      <c r="E20" s="47"/>
      <c r="F20" s="83">
        <f>'PIPELINE &amp; CABLE'!F18</f>
        <v>44616</v>
      </c>
      <c r="G20" s="48"/>
      <c r="H20" s="44"/>
      <c r="I20" s="48"/>
      <c r="J20" s="44"/>
      <c r="K20" s="48"/>
      <c r="L20" s="44"/>
      <c r="M20" s="48"/>
      <c r="N20" s="51"/>
      <c r="O20" s="141"/>
      <c r="P20" s="51"/>
      <c r="Q20" s="43"/>
      <c r="R20" s="154"/>
      <c r="S20" s="26"/>
    </row>
    <row r="21" spans="1:19" s="5" customFormat="1" ht="20.25" customHeight="1" x14ac:dyDescent="0.2">
      <c r="A21" s="49">
        <v>11</v>
      </c>
      <c r="B21" s="45" t="s">
        <v>49</v>
      </c>
      <c r="C21" s="40" t="s">
        <v>86</v>
      </c>
      <c r="D21" s="46"/>
      <c r="E21" s="47"/>
      <c r="F21" s="83">
        <f>'PIPELINE &amp; CABLE'!F19</f>
        <v>44619</v>
      </c>
      <c r="G21" s="50"/>
      <c r="H21" s="80"/>
      <c r="I21" s="53"/>
      <c r="J21" s="43"/>
      <c r="K21" s="48"/>
      <c r="L21" s="44"/>
      <c r="M21" s="48"/>
      <c r="N21" s="51"/>
      <c r="O21" s="141"/>
      <c r="P21" s="51"/>
      <c r="Q21" s="44"/>
      <c r="R21" s="154"/>
      <c r="S21" s="26"/>
    </row>
    <row r="22" spans="1:19" s="5" customFormat="1" ht="20.25" customHeight="1" x14ac:dyDescent="0.2">
      <c r="A22" s="49">
        <v>12</v>
      </c>
      <c r="B22" s="110" t="s">
        <v>621</v>
      </c>
      <c r="C22" s="40" t="s">
        <v>87</v>
      </c>
      <c r="D22" s="172" t="s">
        <v>125</v>
      </c>
      <c r="E22" s="47">
        <v>3</v>
      </c>
      <c r="F22" s="83"/>
      <c r="G22" s="50">
        <v>45071</v>
      </c>
      <c r="H22" s="80" t="s">
        <v>620</v>
      </c>
      <c r="I22" s="50">
        <v>45075</v>
      </c>
      <c r="J22" s="140" t="s">
        <v>653</v>
      </c>
      <c r="K22" s="48"/>
      <c r="L22" s="44"/>
      <c r="M22" s="48"/>
      <c r="N22" s="50">
        <v>45075</v>
      </c>
      <c r="O22" s="105" t="s">
        <v>622</v>
      </c>
      <c r="P22" s="114">
        <v>45093</v>
      </c>
      <c r="Q22" s="174" t="s">
        <v>632</v>
      </c>
      <c r="R22" s="154" t="s">
        <v>631</v>
      </c>
      <c r="S22" s="26"/>
    </row>
    <row r="23" spans="1:19" s="5" customFormat="1" ht="22.5" customHeight="1" x14ac:dyDescent="0.2">
      <c r="A23" s="49">
        <v>13</v>
      </c>
      <c r="B23" s="84" t="s">
        <v>510</v>
      </c>
      <c r="C23" s="40" t="s">
        <v>88</v>
      </c>
      <c r="D23" s="81" t="s">
        <v>125</v>
      </c>
      <c r="E23" s="47">
        <v>2</v>
      </c>
      <c r="F23" s="83"/>
      <c r="G23" s="117">
        <v>44908</v>
      </c>
      <c r="H23" s="80" t="s">
        <v>511</v>
      </c>
      <c r="I23" s="117">
        <v>44910</v>
      </c>
      <c r="J23" s="140" t="s">
        <v>555</v>
      </c>
      <c r="K23" s="48"/>
      <c r="L23" s="44"/>
      <c r="M23" s="48"/>
      <c r="N23" s="117">
        <v>44910</v>
      </c>
      <c r="O23" s="159" t="s">
        <v>519</v>
      </c>
      <c r="P23" s="51"/>
      <c r="Q23" s="43"/>
      <c r="R23" s="154"/>
      <c r="S23" s="26" t="s">
        <v>144</v>
      </c>
    </row>
    <row r="24" spans="1:19" s="5" customFormat="1" ht="23.25" customHeight="1" x14ac:dyDescent="0.2">
      <c r="A24" s="49">
        <v>14</v>
      </c>
      <c r="B24" s="109" t="s">
        <v>274</v>
      </c>
      <c r="C24" s="40" t="s">
        <v>89</v>
      </c>
      <c r="D24" s="81" t="s">
        <v>125</v>
      </c>
      <c r="E24" s="47">
        <v>3</v>
      </c>
      <c r="F24" s="83"/>
      <c r="G24" s="50">
        <v>44651</v>
      </c>
      <c r="H24" s="80" t="s">
        <v>272</v>
      </c>
      <c r="I24" s="50">
        <v>44654</v>
      </c>
      <c r="J24" s="140" t="s">
        <v>277</v>
      </c>
      <c r="K24" s="48"/>
      <c r="L24" s="44"/>
      <c r="M24" s="48"/>
      <c r="N24" s="50">
        <v>44654</v>
      </c>
      <c r="O24" s="140" t="s">
        <v>278</v>
      </c>
      <c r="P24" s="114">
        <v>44670</v>
      </c>
      <c r="Q24" s="116" t="s">
        <v>304</v>
      </c>
      <c r="R24" s="153" t="s">
        <v>296</v>
      </c>
      <c r="S24" s="26"/>
    </row>
    <row r="25" spans="1:19" s="5" customFormat="1" ht="20.25" customHeight="1" x14ac:dyDescent="0.2">
      <c r="A25" s="49">
        <v>15</v>
      </c>
      <c r="B25" s="45" t="s">
        <v>341</v>
      </c>
      <c r="C25" s="40" t="s">
        <v>342</v>
      </c>
      <c r="D25" s="81" t="s">
        <v>125</v>
      </c>
      <c r="E25" s="47">
        <v>3</v>
      </c>
      <c r="F25" s="47"/>
      <c r="G25" s="50">
        <v>44699</v>
      </c>
      <c r="H25" s="80" t="s">
        <v>350</v>
      </c>
      <c r="I25" s="50">
        <v>44700</v>
      </c>
      <c r="J25" s="140" t="s">
        <v>358</v>
      </c>
      <c r="K25" s="48"/>
      <c r="L25" s="44"/>
      <c r="M25" s="48"/>
      <c r="N25" s="139">
        <v>44700</v>
      </c>
      <c r="O25" s="96" t="s">
        <v>352</v>
      </c>
      <c r="P25" s="114">
        <v>44710</v>
      </c>
      <c r="Q25" s="133" t="s">
        <v>369</v>
      </c>
      <c r="R25" s="152" t="s">
        <v>354</v>
      </c>
      <c r="S25" s="26"/>
    </row>
    <row r="26" spans="1:19" s="5" customFormat="1" ht="20.25" customHeight="1" x14ac:dyDescent="0.2">
      <c r="A26" s="49">
        <v>16</v>
      </c>
      <c r="B26" s="5" t="s">
        <v>345</v>
      </c>
      <c r="C26" s="42" t="s">
        <v>344</v>
      </c>
      <c r="D26" s="66" t="s">
        <v>125</v>
      </c>
      <c r="E26" s="47">
        <v>3</v>
      </c>
      <c r="F26" s="47"/>
      <c r="G26" s="50">
        <v>44699</v>
      </c>
      <c r="H26" s="80" t="s">
        <v>347</v>
      </c>
      <c r="I26" s="50">
        <v>44700</v>
      </c>
      <c r="J26" s="140" t="s">
        <v>357</v>
      </c>
      <c r="K26" s="48"/>
      <c r="L26" s="44"/>
      <c r="M26" s="48"/>
      <c r="N26" s="139">
        <v>44700</v>
      </c>
      <c r="O26" s="96" t="s">
        <v>353</v>
      </c>
      <c r="P26" s="114">
        <v>44710</v>
      </c>
      <c r="Q26" s="116" t="s">
        <v>362</v>
      </c>
      <c r="R26" s="152" t="s">
        <v>354</v>
      </c>
      <c r="S26" s="26"/>
    </row>
    <row r="27" spans="1:19" s="5" customFormat="1" ht="20.25" customHeight="1" x14ac:dyDescent="0.2">
      <c r="A27" s="202">
        <v>17</v>
      </c>
      <c r="B27" s="204" t="s">
        <v>444</v>
      </c>
      <c r="C27" s="206" t="s">
        <v>445</v>
      </c>
      <c r="D27" s="66" t="s">
        <v>125</v>
      </c>
      <c r="E27" s="47">
        <v>3</v>
      </c>
      <c r="F27" s="67"/>
      <c r="G27" s="50">
        <v>44797</v>
      </c>
      <c r="H27" s="80" t="s">
        <v>446</v>
      </c>
      <c r="I27" s="135"/>
      <c r="J27" s="136"/>
      <c r="K27" s="48"/>
      <c r="L27" s="44"/>
      <c r="M27" s="48"/>
      <c r="N27" s="148" t="s">
        <v>447</v>
      </c>
      <c r="O27" s="149" t="s">
        <v>447</v>
      </c>
      <c r="P27" s="112">
        <v>44799</v>
      </c>
      <c r="Q27" s="150" t="s">
        <v>449</v>
      </c>
      <c r="R27" s="155" t="s">
        <v>354</v>
      </c>
      <c r="S27" s="26"/>
    </row>
    <row r="28" spans="1:19" s="5" customFormat="1" ht="20.25" customHeight="1" x14ac:dyDescent="0.2">
      <c r="A28" s="208"/>
      <c r="B28" s="209"/>
      <c r="C28" s="210"/>
      <c r="D28" s="66" t="s">
        <v>130</v>
      </c>
      <c r="E28" s="47">
        <v>3</v>
      </c>
      <c r="F28" s="67"/>
      <c r="G28" s="50">
        <v>44845</v>
      </c>
      <c r="H28" s="80" t="s">
        <v>474</v>
      </c>
      <c r="I28" s="135"/>
      <c r="J28" s="136"/>
      <c r="K28" s="48"/>
      <c r="L28" s="44"/>
      <c r="M28" s="48"/>
      <c r="N28" s="148"/>
      <c r="O28" s="149"/>
      <c r="P28" s="112"/>
      <c r="Q28" s="150"/>
      <c r="R28" s="155"/>
      <c r="S28" s="26"/>
    </row>
    <row r="29" spans="1:19" s="5" customFormat="1" ht="20.25" customHeight="1" x14ac:dyDescent="0.2">
      <c r="A29" s="203"/>
      <c r="B29" s="205"/>
      <c r="C29" s="207"/>
      <c r="D29" s="66" t="s">
        <v>291</v>
      </c>
      <c r="E29" s="47">
        <v>3</v>
      </c>
      <c r="F29" s="67"/>
      <c r="G29" s="50">
        <v>45085</v>
      </c>
      <c r="H29" s="80" t="s">
        <v>624</v>
      </c>
      <c r="I29" s="135"/>
      <c r="J29" s="171"/>
      <c r="K29" s="48"/>
      <c r="L29" s="44"/>
      <c r="M29" s="48"/>
      <c r="N29" s="173" t="s">
        <v>447</v>
      </c>
      <c r="O29" s="43" t="s">
        <v>627</v>
      </c>
      <c r="P29" s="114">
        <v>45089</v>
      </c>
      <c r="Q29" s="113" t="s">
        <v>629</v>
      </c>
      <c r="R29" s="155" t="s">
        <v>354</v>
      </c>
      <c r="S29" s="26"/>
    </row>
    <row r="30" spans="1:19" s="5" customFormat="1" ht="27" customHeight="1" x14ac:dyDescent="0.2">
      <c r="A30" s="39">
        <v>18</v>
      </c>
      <c r="B30" s="84" t="s">
        <v>491</v>
      </c>
      <c r="C30" s="42" t="s">
        <v>490</v>
      </c>
      <c r="D30" s="158" t="s">
        <v>125</v>
      </c>
      <c r="E30" s="47">
        <v>3</v>
      </c>
      <c r="F30" s="67"/>
      <c r="G30" s="117">
        <v>44880</v>
      </c>
      <c r="H30" s="80" t="s">
        <v>494</v>
      </c>
      <c r="I30" s="139">
        <v>44883</v>
      </c>
      <c r="J30" s="140" t="s">
        <v>496</v>
      </c>
      <c r="K30" s="48"/>
      <c r="L30" s="44"/>
      <c r="M30" s="48"/>
      <c r="N30" s="139">
        <v>44883</v>
      </c>
      <c r="O30" s="105" t="s">
        <v>497</v>
      </c>
      <c r="P30" s="139">
        <v>44886</v>
      </c>
      <c r="Q30" s="115" t="s">
        <v>499</v>
      </c>
      <c r="R30" s="155" t="s">
        <v>354</v>
      </c>
      <c r="S30" s="26"/>
    </row>
    <row r="31" spans="1:19" s="5" customFormat="1" ht="20.25" customHeight="1" x14ac:dyDescent="0.2">
      <c r="A31" s="49">
        <v>19</v>
      </c>
      <c r="B31" s="156" t="s">
        <v>507</v>
      </c>
      <c r="C31" s="42" t="s">
        <v>508</v>
      </c>
      <c r="D31" s="66" t="s">
        <v>125</v>
      </c>
      <c r="E31" s="47">
        <v>2</v>
      </c>
      <c r="F31" s="67"/>
      <c r="G31" s="117">
        <v>44907</v>
      </c>
      <c r="H31" s="80" t="s">
        <v>509</v>
      </c>
      <c r="I31" s="117">
        <v>44910</v>
      </c>
      <c r="J31" s="50" t="s">
        <v>554</v>
      </c>
      <c r="K31" s="48"/>
      <c r="L31" s="44"/>
      <c r="M31" s="48"/>
      <c r="N31" s="117">
        <v>44910</v>
      </c>
      <c r="O31" s="159" t="s">
        <v>518</v>
      </c>
      <c r="P31" s="112"/>
      <c r="Q31" s="150"/>
      <c r="R31" s="155"/>
      <c r="S31" s="26"/>
    </row>
    <row r="32" spans="1:19" s="5" customFormat="1" ht="24.75" customHeight="1" x14ac:dyDescent="0.2">
      <c r="A32" s="49">
        <v>20</v>
      </c>
      <c r="B32" s="84" t="s">
        <v>526</v>
      </c>
      <c r="C32" s="42" t="s">
        <v>527</v>
      </c>
      <c r="D32" s="66" t="s">
        <v>125</v>
      </c>
      <c r="E32" s="47">
        <v>3</v>
      </c>
      <c r="F32" s="67"/>
      <c r="G32" s="117">
        <v>44915</v>
      </c>
      <c r="H32" s="80" t="s">
        <v>528</v>
      </c>
      <c r="I32" s="50">
        <v>44916</v>
      </c>
      <c r="J32" s="140" t="s">
        <v>532</v>
      </c>
      <c r="K32" s="48"/>
      <c r="L32" s="44"/>
      <c r="M32" s="48"/>
      <c r="N32" s="117">
        <v>44917</v>
      </c>
      <c r="O32" s="179" t="s">
        <v>533</v>
      </c>
      <c r="P32" s="114">
        <v>44932</v>
      </c>
      <c r="Q32" s="133" t="s">
        <v>567</v>
      </c>
      <c r="R32" s="152" t="s">
        <v>354</v>
      </c>
      <c r="S32" s="26"/>
    </row>
    <row r="33" spans="1:19" s="5" customFormat="1" ht="24.75" customHeight="1" x14ac:dyDescent="0.2">
      <c r="A33" s="49">
        <v>21</v>
      </c>
      <c r="B33" s="176" t="s">
        <v>535</v>
      </c>
      <c r="C33" s="42" t="s">
        <v>534</v>
      </c>
      <c r="D33" s="66" t="s">
        <v>125</v>
      </c>
      <c r="E33" s="47">
        <v>3</v>
      </c>
      <c r="F33" s="67"/>
      <c r="G33" s="117">
        <v>44917</v>
      </c>
      <c r="H33" s="80" t="s">
        <v>536</v>
      </c>
      <c r="I33" s="50">
        <v>44918</v>
      </c>
      <c r="J33" s="140" t="s">
        <v>539</v>
      </c>
      <c r="K33" s="48"/>
      <c r="L33" s="44"/>
      <c r="M33" s="48"/>
      <c r="N33" s="117">
        <v>44918</v>
      </c>
      <c r="O33" s="179" t="s">
        <v>540</v>
      </c>
      <c r="P33" s="114">
        <v>44932</v>
      </c>
      <c r="Q33" s="133" t="s">
        <v>566</v>
      </c>
      <c r="R33" s="152" t="s">
        <v>354</v>
      </c>
      <c r="S33" s="26"/>
    </row>
    <row r="34" spans="1:19" s="5" customFormat="1" ht="24.75" customHeight="1" x14ac:dyDescent="0.2">
      <c r="A34" s="202">
        <v>22</v>
      </c>
      <c r="B34" s="255" t="s">
        <v>633</v>
      </c>
      <c r="C34" s="206" t="s">
        <v>634</v>
      </c>
      <c r="D34" s="66" t="s">
        <v>125</v>
      </c>
      <c r="E34" s="67">
        <v>2</v>
      </c>
      <c r="F34" s="67"/>
      <c r="G34" s="117">
        <v>45117</v>
      </c>
      <c r="H34" s="80" t="s">
        <v>635</v>
      </c>
      <c r="I34" s="170"/>
      <c r="J34" s="163"/>
      <c r="K34" s="48"/>
      <c r="L34" s="44"/>
      <c r="M34" s="48"/>
      <c r="N34" s="117">
        <v>45122</v>
      </c>
      <c r="O34" s="179" t="s">
        <v>645</v>
      </c>
      <c r="P34" s="50">
        <v>45127</v>
      </c>
      <c r="Q34" s="133" t="s">
        <v>650</v>
      </c>
      <c r="R34" s="153" t="s">
        <v>296</v>
      </c>
      <c r="S34" s="26"/>
    </row>
    <row r="35" spans="1:19" s="5" customFormat="1" ht="24.75" customHeight="1" x14ac:dyDescent="0.2">
      <c r="A35" s="203"/>
      <c r="B35" s="256"/>
      <c r="C35" s="207"/>
      <c r="D35" s="95" t="s">
        <v>130</v>
      </c>
      <c r="E35" s="67">
        <v>2</v>
      </c>
      <c r="F35" s="67"/>
      <c r="G35" s="117">
        <v>45135</v>
      </c>
      <c r="H35" s="80" t="s">
        <v>655</v>
      </c>
      <c r="I35" s="170"/>
      <c r="J35" s="163"/>
      <c r="K35" s="48"/>
      <c r="L35" s="44"/>
      <c r="M35" s="48"/>
      <c r="N35" s="117">
        <v>45135</v>
      </c>
      <c r="O35" s="179" t="s">
        <v>659</v>
      </c>
      <c r="P35" s="50">
        <v>45140</v>
      </c>
      <c r="Q35" s="115" t="s">
        <v>650</v>
      </c>
      <c r="R35" s="152" t="s">
        <v>354</v>
      </c>
      <c r="S35" s="26"/>
    </row>
    <row r="36" spans="1:19" s="5" customFormat="1" ht="24.75" customHeight="1" x14ac:dyDescent="0.2">
      <c r="A36" s="177">
        <v>23</v>
      </c>
      <c r="B36" s="190" t="s">
        <v>636</v>
      </c>
      <c r="C36" s="42" t="s">
        <v>637</v>
      </c>
      <c r="D36" s="175" t="s">
        <v>125</v>
      </c>
      <c r="E36" s="67">
        <v>3</v>
      </c>
      <c r="F36" s="67"/>
      <c r="G36" s="50">
        <v>45120</v>
      </c>
      <c r="H36" s="80" t="s">
        <v>644</v>
      </c>
      <c r="I36" s="135"/>
      <c r="J36" s="136"/>
      <c r="K36" s="48"/>
      <c r="L36" s="44"/>
      <c r="M36" s="48"/>
      <c r="N36" s="169"/>
      <c r="O36" s="179"/>
      <c r="P36" s="114"/>
      <c r="Q36" s="133"/>
      <c r="R36" s="152"/>
      <c r="S36" s="26"/>
    </row>
    <row r="37" spans="1:19" s="189" customFormat="1" ht="24.75" customHeight="1" x14ac:dyDescent="0.2">
      <c r="A37" s="182">
        <v>24</v>
      </c>
      <c r="B37" s="190" t="s">
        <v>702</v>
      </c>
      <c r="C37" s="42" t="s">
        <v>703</v>
      </c>
      <c r="D37" s="175" t="s">
        <v>125</v>
      </c>
      <c r="E37" s="184">
        <v>3</v>
      </c>
      <c r="F37" s="184"/>
      <c r="G37" s="185">
        <v>45321</v>
      </c>
      <c r="H37" s="80" t="s">
        <v>704</v>
      </c>
      <c r="I37" s="50">
        <v>45322</v>
      </c>
      <c r="J37" s="140" t="s">
        <v>723</v>
      </c>
      <c r="K37" s="186"/>
      <c r="L37" s="187"/>
      <c r="M37" s="186"/>
      <c r="N37" s="50">
        <v>45322</v>
      </c>
      <c r="O37" s="105" t="s">
        <v>724</v>
      </c>
      <c r="P37" s="50">
        <v>45336</v>
      </c>
      <c r="Q37" s="115" t="s">
        <v>727</v>
      </c>
      <c r="R37" s="152" t="s">
        <v>354</v>
      </c>
      <c r="S37" s="188"/>
    </row>
    <row r="38" spans="1:19" s="189" customFormat="1" ht="24.75" customHeight="1" x14ac:dyDescent="0.2">
      <c r="A38" s="182">
        <v>25</v>
      </c>
      <c r="B38" s="109" t="s">
        <v>717</v>
      </c>
      <c r="C38" s="42" t="s">
        <v>718</v>
      </c>
      <c r="D38" s="183" t="s">
        <v>125</v>
      </c>
      <c r="E38" s="184">
        <v>3</v>
      </c>
      <c r="F38" s="184"/>
      <c r="G38" s="50">
        <v>45328</v>
      </c>
      <c r="H38" s="80" t="s">
        <v>722</v>
      </c>
      <c r="I38" s="50">
        <v>45403</v>
      </c>
      <c r="J38" s="140" t="s">
        <v>763</v>
      </c>
      <c r="K38" s="186"/>
      <c r="L38" s="187"/>
      <c r="M38" s="186"/>
      <c r="N38" s="50">
        <v>45401</v>
      </c>
      <c r="O38" s="105" t="s">
        <v>762</v>
      </c>
      <c r="P38" s="50">
        <v>45403</v>
      </c>
      <c r="Q38" s="115" t="s">
        <v>764</v>
      </c>
      <c r="R38" s="152" t="s">
        <v>354</v>
      </c>
      <c r="S38" s="188"/>
    </row>
    <row r="39" spans="1:19" s="189" customFormat="1" ht="24.75" customHeight="1" x14ac:dyDescent="0.2">
      <c r="A39" s="251">
        <v>26</v>
      </c>
      <c r="B39" s="253" t="s">
        <v>818</v>
      </c>
      <c r="C39" s="206" t="s">
        <v>820</v>
      </c>
      <c r="D39" s="183" t="s">
        <v>125</v>
      </c>
      <c r="E39" s="184">
        <v>3</v>
      </c>
      <c r="F39" s="184"/>
      <c r="G39" s="117">
        <v>45518</v>
      </c>
      <c r="H39" s="80" t="s">
        <v>822</v>
      </c>
      <c r="I39" s="170"/>
      <c r="J39" s="163"/>
      <c r="K39" s="186"/>
      <c r="L39" s="187"/>
      <c r="M39" s="186"/>
      <c r="N39" s="169">
        <v>45527</v>
      </c>
      <c r="O39" s="105" t="s">
        <v>827</v>
      </c>
      <c r="P39" s="169">
        <v>45542</v>
      </c>
      <c r="Q39" s="201" t="s">
        <v>834</v>
      </c>
      <c r="R39" s="152" t="s">
        <v>354</v>
      </c>
      <c r="S39" s="188"/>
    </row>
    <row r="40" spans="1:19" s="189" customFormat="1" ht="24.75" customHeight="1" x14ac:dyDescent="0.2">
      <c r="A40" s="252"/>
      <c r="B40" s="254"/>
      <c r="C40" s="207"/>
      <c r="D40" s="196" t="s">
        <v>130</v>
      </c>
      <c r="E40" s="184">
        <v>3</v>
      </c>
      <c r="F40" s="184"/>
      <c r="G40" s="117">
        <v>45555</v>
      </c>
      <c r="H40" s="80" t="s">
        <v>835</v>
      </c>
      <c r="I40" s="170"/>
      <c r="J40" s="163"/>
      <c r="K40" s="186"/>
      <c r="L40" s="187"/>
      <c r="M40" s="186"/>
      <c r="N40" s="169"/>
      <c r="O40" s="165"/>
      <c r="P40" s="169"/>
      <c r="Q40" s="201"/>
      <c r="R40" s="155"/>
      <c r="S40" s="188"/>
    </row>
    <row r="41" spans="1:19" s="189" customFormat="1" ht="24.75" customHeight="1" x14ac:dyDescent="0.2">
      <c r="A41" s="182">
        <v>27</v>
      </c>
      <c r="C41" s="42"/>
      <c r="D41" s="183"/>
      <c r="E41" s="184"/>
      <c r="F41" s="184"/>
      <c r="G41" s="117"/>
      <c r="H41" s="80"/>
      <c r="I41" s="117"/>
      <c r="J41" s="80"/>
      <c r="K41" s="186"/>
      <c r="L41" s="187"/>
      <c r="M41" s="186"/>
      <c r="N41" s="169"/>
      <c r="O41" s="165"/>
      <c r="P41" s="169"/>
      <c r="Q41" s="201"/>
      <c r="R41" s="155"/>
      <c r="S41" s="188"/>
    </row>
    <row r="42" spans="1:19" s="189" customFormat="1" ht="24.75" customHeight="1" x14ac:dyDescent="0.2">
      <c r="A42" s="182"/>
      <c r="B42" s="200"/>
      <c r="C42" s="199"/>
      <c r="D42" s="183"/>
      <c r="E42" s="184"/>
      <c r="F42" s="184"/>
      <c r="G42" s="117"/>
      <c r="H42" s="80"/>
      <c r="I42" s="117"/>
      <c r="J42" s="80"/>
      <c r="K42" s="186"/>
      <c r="L42" s="187"/>
      <c r="M42" s="186"/>
      <c r="N42" s="169"/>
      <c r="O42" s="165"/>
      <c r="P42" s="169"/>
      <c r="Q42" s="201"/>
      <c r="R42" s="155"/>
      <c r="S42" s="188"/>
    </row>
    <row r="43" spans="1:19" s="5" customFormat="1" ht="20.25" customHeight="1" thickBot="1" x14ac:dyDescent="0.25">
      <c r="A43" s="69"/>
      <c r="B43" s="70"/>
      <c r="C43" s="71"/>
      <c r="D43" s="72"/>
      <c r="E43" s="71"/>
      <c r="F43" s="71"/>
      <c r="G43" s="73"/>
      <c r="H43" s="74"/>
      <c r="I43" s="73"/>
      <c r="J43" s="74"/>
      <c r="K43" s="73"/>
      <c r="L43" s="74"/>
      <c r="M43" s="73"/>
      <c r="N43" s="75"/>
      <c r="O43" s="74"/>
      <c r="P43" s="75"/>
      <c r="Q43" s="74"/>
      <c r="R43" s="73"/>
      <c r="S43" s="76"/>
    </row>
  </sheetData>
  <mergeCells count="38">
    <mergeCell ref="A5:A8"/>
    <mergeCell ref="B5:B8"/>
    <mergeCell ref="C5:C8"/>
    <mergeCell ref="A16:A18"/>
    <mergeCell ref="B16:B18"/>
    <mergeCell ref="C16:C18"/>
    <mergeCell ref="K5:M5"/>
    <mergeCell ref="C4:M4"/>
    <mergeCell ref="E5:E8"/>
    <mergeCell ref="K6:M6"/>
    <mergeCell ref="D5:D8"/>
    <mergeCell ref="G5:J5"/>
    <mergeCell ref="G7:H7"/>
    <mergeCell ref="I7:J7"/>
    <mergeCell ref="F5:F8"/>
    <mergeCell ref="G6:J6"/>
    <mergeCell ref="A27:A29"/>
    <mergeCell ref="B27:B29"/>
    <mergeCell ref="C27:C29"/>
    <mergeCell ref="C1:M2"/>
    <mergeCell ref="R1:S1"/>
    <mergeCell ref="R2:S2"/>
    <mergeCell ref="P6:R6"/>
    <mergeCell ref="N6:O6"/>
    <mergeCell ref="R4:S4"/>
    <mergeCell ref="R3:S3"/>
    <mergeCell ref="N5:R5"/>
    <mergeCell ref="S5:S8"/>
    <mergeCell ref="N7:O7"/>
    <mergeCell ref="P7:R7"/>
    <mergeCell ref="K7:M7"/>
    <mergeCell ref="C3:M3"/>
    <mergeCell ref="A39:A40"/>
    <mergeCell ref="B39:B40"/>
    <mergeCell ref="C39:C40"/>
    <mergeCell ref="A34:A35"/>
    <mergeCell ref="B34:B35"/>
    <mergeCell ref="C34:C35"/>
  </mergeCells>
  <phoneticPr fontId="30" type="noConversion"/>
  <hyperlinks>
    <hyperlink ref="D9" r:id="rId1" xr:uid="{00000000-0004-0000-0100-000000000000}"/>
    <hyperlink ref="D13" r:id="rId2" xr:uid="{00000000-0004-0000-0100-000001000000}"/>
    <hyperlink ref="D11" r:id="rId3" xr:uid="{00000000-0004-0000-0100-000002000000}"/>
    <hyperlink ref="D19" r:id="rId4" xr:uid="{00000000-0004-0000-0100-000003000000}"/>
    <hyperlink ref="D14" r:id="rId5" xr:uid="{00000000-0004-0000-0100-000004000000}"/>
    <hyperlink ref="L9" r:id="rId6" xr:uid="{00000000-0004-0000-0100-000005000000}"/>
    <hyperlink ref="D12" r:id="rId7" xr:uid="{00000000-0004-0000-0100-000006000000}"/>
    <hyperlink ref="D10" r:id="rId8" xr:uid="{00000000-0004-0000-0100-000007000000}"/>
    <hyperlink ref="L10" r:id="rId9" xr:uid="{00000000-0004-0000-0100-000008000000}"/>
    <hyperlink ref="L11" r:id="rId10" xr:uid="{00000000-0004-0000-0100-000009000000}"/>
    <hyperlink ref="Q9" r:id="rId11" display="BAS1178-TRN 009" xr:uid="{00000000-0004-0000-0100-00000A000000}"/>
    <hyperlink ref="Q10" r:id="rId12" xr:uid="{00000000-0004-0000-0100-00000B000000}"/>
    <hyperlink ref="Q13" r:id="rId13" xr:uid="{00000000-0004-0000-0100-00000C000000}"/>
    <hyperlink ref="Q11" r:id="rId14" xr:uid="{00000000-0004-0000-0100-00000D000000}"/>
    <hyperlink ref="Q19" r:id="rId15" xr:uid="{00000000-0004-0000-0100-00000E000000}"/>
    <hyperlink ref="Q24" r:id="rId16" xr:uid="{00000000-0004-0000-0100-00000F000000}"/>
    <hyperlink ref="D26" r:id="rId17" xr:uid="{00000000-0004-0000-0100-000010000000}"/>
    <hyperlink ref="D25" r:id="rId18" xr:uid="{00000000-0004-0000-0100-000011000000}"/>
    <hyperlink ref="Q14" r:id="rId19" xr:uid="{00000000-0004-0000-0100-000012000000}"/>
    <hyperlink ref="Q26" r:id="rId20" xr:uid="{00000000-0004-0000-0100-000013000000}"/>
    <hyperlink ref="Q25" r:id="rId21" xr:uid="{00000000-0004-0000-0100-000014000000}"/>
    <hyperlink ref="D15" r:id="rId22" xr:uid="{00000000-0004-0000-0100-000015000000}"/>
    <hyperlink ref="D16" r:id="rId23" xr:uid="{00000000-0004-0000-0100-000016000000}"/>
    <hyperlink ref="D27" r:id="rId24" xr:uid="{00000000-0004-0000-0100-000017000000}"/>
    <hyperlink ref="Q27" r:id="rId25" xr:uid="{00000000-0004-0000-0100-000018000000}"/>
    <hyperlink ref="Q15" r:id="rId26" display="BAS1178-TRN-021" xr:uid="{00000000-0004-0000-0100-000019000000}"/>
    <hyperlink ref="Q16" r:id="rId27" display="BAS1178-TRN-022" xr:uid="{00000000-0004-0000-0100-00001A000000}"/>
    <hyperlink ref="D17" r:id="rId28" display="A" xr:uid="{00000000-0004-0000-0100-00001B000000}"/>
    <hyperlink ref="D28" r:id="rId29" display="A" xr:uid="{00000000-0004-0000-0100-00001C000000}"/>
    <hyperlink ref="Q17" r:id="rId30" xr:uid="{00000000-0004-0000-0100-00001D000000}"/>
    <hyperlink ref="D30" r:id="rId31" xr:uid="{00000000-0004-0000-0100-00001E000000}"/>
    <hyperlink ref="Q30" r:id="rId32" xr:uid="{00000000-0004-0000-0100-00001F000000}"/>
    <hyperlink ref="D31" r:id="rId33" xr:uid="{00000000-0004-0000-0100-000020000000}"/>
    <hyperlink ref="D23" r:id="rId34" xr:uid="{00000000-0004-0000-0100-000021000000}"/>
    <hyperlink ref="D24" r:id="rId35" xr:uid="{00000000-0004-0000-0100-000022000000}"/>
    <hyperlink ref="D32" r:id="rId36" xr:uid="{00000000-0004-0000-0100-000023000000}"/>
    <hyperlink ref="D33" r:id="rId37" xr:uid="{00000000-0004-0000-0100-000024000000}"/>
    <hyperlink ref="Q32" r:id="rId38" xr:uid="{00000000-0004-0000-0100-000025000000}"/>
    <hyperlink ref="Q33" r:id="rId39" xr:uid="{00000000-0004-0000-0100-000026000000}"/>
    <hyperlink ref="D18" r:id="rId40" display="A" xr:uid="{00000000-0004-0000-0100-000027000000}"/>
    <hyperlink ref="Q18" r:id="rId41" xr:uid="{00000000-0004-0000-0100-000028000000}"/>
    <hyperlink ref="D22" r:id="rId42" xr:uid="{00000000-0004-0000-0100-000029000000}"/>
    <hyperlink ref="D29" r:id="rId43" display="A" xr:uid="{00000000-0004-0000-0100-00002A000000}"/>
    <hyperlink ref="Q29" r:id="rId44" xr:uid="{00000000-0004-0000-0100-00002B000000}"/>
    <hyperlink ref="Q22" r:id="rId45" xr:uid="{00000000-0004-0000-0100-00002C000000}"/>
    <hyperlink ref="D36" r:id="rId46" xr:uid="{00000000-0004-0000-0100-00002D000000}"/>
    <hyperlink ref="Q34" r:id="rId47" xr:uid="{00000000-0004-0000-0100-00002E000000}"/>
    <hyperlink ref="D34" r:id="rId48" xr:uid="{00000000-0004-0000-0100-00002F000000}"/>
    <hyperlink ref="D35" r:id="rId49" display="A" xr:uid="{00000000-0004-0000-0100-000030000000}"/>
    <hyperlink ref="Q35" r:id="rId50" xr:uid="{00000000-0004-0000-0100-000031000000}"/>
    <hyperlink ref="D37" r:id="rId51" xr:uid="{00000000-0004-0000-0100-000032000000}"/>
    <hyperlink ref="D38" r:id="rId52" xr:uid="{00000000-0004-0000-0100-000033000000}"/>
    <hyperlink ref="Q37" r:id="rId53" xr:uid="{00000000-0004-0000-0100-000034000000}"/>
    <hyperlink ref="Q38" r:id="rId54" xr:uid="{00000000-0004-0000-0100-000035000000}"/>
    <hyperlink ref="D39" r:id="rId55" xr:uid="{1F101DB5-D784-4E07-A52E-86A86A9ABF6E}"/>
    <hyperlink ref="Q39" r:id="rId56" xr:uid="{A502C6D7-1C93-49A6-923C-E46E50347971}"/>
    <hyperlink ref="D40" r:id="rId57" xr:uid="{EAD3EB00-93F9-4670-92D0-310B02B2A41A}"/>
  </hyperlinks>
  <printOptions horizontalCentered="1"/>
  <pageMargins left="0.25" right="0.25" top="0.5" bottom="0.5" header="0.25" footer="0.25"/>
  <pageSetup paperSize="9" scale="65" orientation="landscape" r:id="rId58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5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40"/>
  <sheetViews>
    <sheetView topLeftCell="A111" zoomScaleNormal="100" zoomScaleSheetLayoutView="100" workbookViewId="0">
      <selection activeCell="B128" sqref="B128:B129"/>
    </sheetView>
  </sheetViews>
  <sheetFormatPr defaultColWidth="10.6640625" defaultRowHeight="12.75" x14ac:dyDescent="0.2"/>
  <cols>
    <col min="1" max="1" width="6.83203125" style="2" customWidth="1"/>
    <col min="2" max="2" width="113.1640625" style="2" customWidth="1"/>
    <col min="3" max="3" width="20.5" style="1" customWidth="1"/>
    <col min="4" max="5" width="6.83203125" style="1" customWidth="1"/>
    <col min="6" max="6" width="15.5" style="1" customWidth="1"/>
    <col min="7" max="7" width="12.33203125" style="1" customWidth="1"/>
    <col min="8" max="8" width="23.6640625" style="1" customWidth="1"/>
    <col min="9" max="9" width="14.1640625" style="2" customWidth="1"/>
    <col min="10" max="10" width="23.5" style="3" customWidth="1"/>
    <col min="11" max="11" width="10.83203125" style="2" customWidth="1"/>
    <col min="12" max="12" width="18.83203125" style="3" customWidth="1"/>
    <col min="13" max="13" width="15.6640625" style="6" customWidth="1"/>
    <col min="14" max="14" width="10.33203125" style="2" customWidth="1"/>
    <col min="15" max="15" width="27.5" style="2" customWidth="1"/>
    <col min="16" max="16" width="10.1640625" style="2" customWidth="1"/>
    <col min="17" max="17" width="16.1640625" style="3" customWidth="1"/>
    <col min="18" max="18" width="16.1640625" style="6" customWidth="1"/>
    <col min="19" max="19" width="22.83203125" style="6" customWidth="1"/>
    <col min="20" max="16384" width="10.6640625" style="2"/>
  </cols>
  <sheetData>
    <row r="1" spans="1:19" s="4" customFormat="1" ht="20.100000000000001" customHeight="1" x14ac:dyDescent="0.2">
      <c r="A1" s="7"/>
      <c r="B1" s="8"/>
      <c r="C1" s="225" t="s">
        <v>41</v>
      </c>
      <c r="D1" s="226"/>
      <c r="E1" s="226"/>
      <c r="F1" s="226"/>
      <c r="G1" s="226"/>
      <c r="H1" s="226"/>
      <c r="I1" s="226"/>
      <c r="J1" s="226"/>
      <c r="K1" s="226"/>
      <c r="L1" s="226"/>
      <c r="M1" s="227"/>
      <c r="N1" s="14" t="s">
        <v>7</v>
      </c>
      <c r="O1" s="15"/>
      <c r="P1" s="15"/>
      <c r="Q1" s="16"/>
      <c r="R1" s="231"/>
      <c r="S1" s="232"/>
    </row>
    <row r="2" spans="1:19" s="4" customFormat="1" ht="20.100000000000001" customHeight="1" x14ac:dyDescent="0.2">
      <c r="A2" s="9"/>
      <c r="B2" s="10"/>
      <c r="C2" s="228"/>
      <c r="D2" s="229"/>
      <c r="E2" s="229"/>
      <c r="F2" s="229"/>
      <c r="G2" s="229"/>
      <c r="H2" s="229"/>
      <c r="I2" s="229"/>
      <c r="J2" s="229"/>
      <c r="K2" s="229"/>
      <c r="L2" s="229"/>
      <c r="M2" s="230"/>
      <c r="N2" s="17" t="s">
        <v>22</v>
      </c>
      <c r="O2" s="18"/>
      <c r="P2" s="18"/>
      <c r="Q2" s="19"/>
      <c r="R2" s="233"/>
      <c r="S2" s="234"/>
    </row>
    <row r="3" spans="1:19" s="4" customFormat="1" ht="20.100000000000001" customHeight="1" x14ac:dyDescent="0.2">
      <c r="A3" s="9"/>
      <c r="B3" s="10"/>
      <c r="C3" s="235" t="s">
        <v>42</v>
      </c>
      <c r="D3" s="236"/>
      <c r="E3" s="236"/>
      <c r="F3" s="236"/>
      <c r="G3" s="236"/>
      <c r="H3" s="236"/>
      <c r="I3" s="236"/>
      <c r="J3" s="236"/>
      <c r="K3" s="236"/>
      <c r="L3" s="236"/>
      <c r="M3" s="237"/>
      <c r="N3" s="20" t="s">
        <v>9</v>
      </c>
      <c r="O3" s="21"/>
      <c r="P3" s="21"/>
      <c r="Q3" s="22"/>
      <c r="R3" s="233">
        <v>0</v>
      </c>
      <c r="S3" s="234"/>
    </row>
    <row r="4" spans="1:19" s="4" customFormat="1" ht="20.100000000000001" customHeight="1" thickBot="1" x14ac:dyDescent="0.25">
      <c r="A4" s="9"/>
      <c r="B4" s="10"/>
      <c r="C4" s="238" t="s">
        <v>24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" t="s">
        <v>8</v>
      </c>
      <c r="O4" s="24"/>
      <c r="P4" s="24"/>
      <c r="Q4" s="25"/>
      <c r="R4" s="241">
        <f>'PIPELINE &amp; CABLE'!R4:S4</f>
        <v>44524</v>
      </c>
      <c r="S4" s="242"/>
    </row>
    <row r="5" spans="1:19" s="5" customFormat="1" ht="15" customHeight="1" x14ac:dyDescent="0.2">
      <c r="A5" s="211" t="s">
        <v>0</v>
      </c>
      <c r="B5" s="213" t="s">
        <v>1</v>
      </c>
      <c r="C5" s="215" t="s">
        <v>13</v>
      </c>
      <c r="D5" s="215" t="s">
        <v>12</v>
      </c>
      <c r="E5" s="215" t="s">
        <v>14</v>
      </c>
      <c r="F5" s="215" t="s">
        <v>23</v>
      </c>
      <c r="G5" s="217" t="s">
        <v>11</v>
      </c>
      <c r="H5" s="218"/>
      <c r="I5" s="218"/>
      <c r="J5" s="219"/>
      <c r="K5" s="220" t="s">
        <v>21</v>
      </c>
      <c r="L5" s="220"/>
      <c r="M5" s="220"/>
      <c r="N5" s="220" t="s">
        <v>15</v>
      </c>
      <c r="O5" s="220"/>
      <c r="P5" s="220"/>
      <c r="Q5" s="220"/>
      <c r="R5" s="220"/>
      <c r="S5" s="243" t="s">
        <v>2</v>
      </c>
    </row>
    <row r="6" spans="1:19" s="5" customFormat="1" ht="24.95" customHeight="1" x14ac:dyDescent="0.2">
      <c r="A6" s="212"/>
      <c r="B6" s="214"/>
      <c r="C6" s="216"/>
      <c r="D6" s="224"/>
      <c r="E6" s="216"/>
      <c r="F6" s="216"/>
      <c r="G6" s="246" t="s">
        <v>4</v>
      </c>
      <c r="H6" s="221"/>
      <c r="I6" s="221"/>
      <c r="J6" s="222"/>
      <c r="K6" s="247" t="s">
        <v>5</v>
      </c>
      <c r="L6" s="247"/>
      <c r="M6" s="247"/>
      <c r="N6" s="223" t="s">
        <v>4</v>
      </c>
      <c r="O6" s="223"/>
      <c r="P6" s="248" t="s">
        <v>5</v>
      </c>
      <c r="Q6" s="248"/>
      <c r="R6" s="249"/>
      <c r="S6" s="244"/>
    </row>
    <row r="7" spans="1:19" s="5" customFormat="1" ht="24.95" customHeight="1" x14ac:dyDescent="0.2">
      <c r="A7" s="212"/>
      <c r="B7" s="214"/>
      <c r="C7" s="216"/>
      <c r="D7" s="224"/>
      <c r="E7" s="216"/>
      <c r="F7" s="216"/>
      <c r="G7" s="246" t="s">
        <v>16</v>
      </c>
      <c r="H7" s="222"/>
      <c r="I7" s="221" t="s">
        <v>20</v>
      </c>
      <c r="J7" s="222"/>
      <c r="K7" s="250" t="s">
        <v>17</v>
      </c>
      <c r="L7" s="248"/>
      <c r="M7" s="249"/>
      <c r="N7" s="223" t="s">
        <v>18</v>
      </c>
      <c r="O7" s="223"/>
      <c r="P7" s="223" t="s">
        <v>19</v>
      </c>
      <c r="Q7" s="223"/>
      <c r="R7" s="223"/>
      <c r="S7" s="244"/>
    </row>
    <row r="8" spans="1:19" s="5" customFormat="1" ht="15" customHeight="1" thickBot="1" x14ac:dyDescent="0.25">
      <c r="A8" s="212"/>
      <c r="B8" s="214"/>
      <c r="C8" s="216"/>
      <c r="D8" s="224"/>
      <c r="E8" s="216"/>
      <c r="F8" s="216"/>
      <c r="G8" s="11" t="s">
        <v>3</v>
      </c>
      <c r="H8" s="12" t="s">
        <v>6</v>
      </c>
      <c r="I8" s="11" t="s">
        <v>3</v>
      </c>
      <c r="J8" s="12" t="s">
        <v>6</v>
      </c>
      <c r="K8" s="11" t="s">
        <v>3</v>
      </c>
      <c r="L8" s="12" t="s">
        <v>6</v>
      </c>
      <c r="M8" s="11" t="s">
        <v>10</v>
      </c>
      <c r="N8" s="13" t="s">
        <v>3</v>
      </c>
      <c r="O8" s="12" t="s">
        <v>6</v>
      </c>
      <c r="P8" s="13" t="s">
        <v>3</v>
      </c>
      <c r="Q8" s="12" t="s">
        <v>6</v>
      </c>
      <c r="R8" s="11" t="s">
        <v>10</v>
      </c>
      <c r="S8" s="245"/>
    </row>
    <row r="9" spans="1:19" s="5" customFormat="1" ht="21.75" customHeight="1" x14ac:dyDescent="0.2">
      <c r="A9" s="206">
        <v>1</v>
      </c>
      <c r="B9" s="204" t="s">
        <v>199</v>
      </c>
      <c r="C9" s="206" t="s">
        <v>52</v>
      </c>
      <c r="D9" s="81" t="s">
        <v>125</v>
      </c>
      <c r="E9" s="42">
        <v>3</v>
      </c>
      <c r="F9" s="50">
        <f>'PIPELINE &amp; CABLE'!F16</f>
        <v>44575</v>
      </c>
      <c r="G9" s="131" t="s">
        <v>332</v>
      </c>
      <c r="H9" s="80" t="s">
        <v>158</v>
      </c>
      <c r="I9" s="98">
        <v>44575</v>
      </c>
      <c r="J9" s="99" t="s">
        <v>228</v>
      </c>
      <c r="K9" s="48"/>
      <c r="L9" s="44"/>
      <c r="M9" s="48"/>
      <c r="N9" s="51"/>
      <c r="O9" s="44"/>
      <c r="P9" s="51"/>
      <c r="Q9" s="44"/>
      <c r="R9" s="48"/>
      <c r="S9" s="52"/>
    </row>
    <row r="10" spans="1:19" s="5" customFormat="1" ht="21.75" customHeight="1" x14ac:dyDescent="0.2">
      <c r="A10" s="210"/>
      <c r="B10" s="209"/>
      <c r="C10" s="210"/>
      <c r="D10" s="81" t="s">
        <v>130</v>
      </c>
      <c r="E10" s="42">
        <v>3</v>
      </c>
      <c r="F10" s="50"/>
      <c r="G10" s="79">
        <v>44594</v>
      </c>
      <c r="H10" s="80" t="s">
        <v>175</v>
      </c>
      <c r="I10" s="98">
        <v>44594</v>
      </c>
      <c r="J10" s="99" t="s">
        <v>229</v>
      </c>
      <c r="K10" s="48"/>
      <c r="L10" s="44"/>
      <c r="M10" s="48"/>
      <c r="N10" s="51"/>
      <c r="O10" s="44"/>
      <c r="P10" s="51"/>
      <c r="Q10" s="44"/>
      <c r="R10" s="48"/>
      <c r="S10" s="52"/>
    </row>
    <row r="11" spans="1:19" s="5" customFormat="1" ht="21.75" customHeight="1" x14ac:dyDescent="0.2">
      <c r="A11" s="207"/>
      <c r="B11" s="205"/>
      <c r="C11" s="207"/>
      <c r="D11" s="81" t="s">
        <v>291</v>
      </c>
      <c r="E11" s="42">
        <v>3</v>
      </c>
      <c r="F11" s="50"/>
      <c r="G11" s="79">
        <v>44666</v>
      </c>
      <c r="H11" s="80" t="s">
        <v>292</v>
      </c>
      <c r="I11" s="79">
        <v>44666</v>
      </c>
      <c r="J11" s="99" t="s">
        <v>293</v>
      </c>
      <c r="K11" s="48"/>
      <c r="L11" s="44"/>
      <c r="M11" s="48"/>
      <c r="N11" s="51"/>
      <c r="O11" s="44"/>
      <c r="P11" s="51"/>
      <c r="Q11" s="44"/>
      <c r="R11" s="48"/>
      <c r="S11" s="52"/>
    </row>
    <row r="12" spans="1:19" s="5" customFormat="1" ht="21.75" customHeight="1" x14ac:dyDescent="0.2">
      <c r="A12" s="202">
        <v>2</v>
      </c>
      <c r="B12" s="204" t="s">
        <v>200</v>
      </c>
      <c r="C12" s="206" t="s">
        <v>53</v>
      </c>
      <c r="D12" s="81" t="s">
        <v>125</v>
      </c>
      <c r="E12" s="42">
        <v>3</v>
      </c>
      <c r="F12" s="50">
        <f>'PIPELINE &amp; CABLE'!F12</f>
        <v>44564</v>
      </c>
      <c r="G12" s="131" t="s">
        <v>332</v>
      </c>
      <c r="H12" s="80" t="s">
        <v>158</v>
      </c>
      <c r="I12" s="98">
        <v>44575</v>
      </c>
      <c r="J12" s="99" t="s">
        <v>228</v>
      </c>
      <c r="K12" s="48"/>
      <c r="L12" s="44"/>
      <c r="M12" s="48"/>
      <c r="N12" s="51"/>
      <c r="O12" s="44"/>
      <c r="P12" s="51"/>
      <c r="Q12" s="44"/>
      <c r="R12" s="48"/>
      <c r="S12" s="52"/>
    </row>
    <row r="13" spans="1:19" s="5" customFormat="1" ht="21.75" customHeight="1" x14ac:dyDescent="0.2">
      <c r="A13" s="203"/>
      <c r="B13" s="205"/>
      <c r="C13" s="207"/>
      <c r="D13" s="81" t="s">
        <v>130</v>
      </c>
      <c r="E13" s="42">
        <v>3</v>
      </c>
      <c r="F13" s="50"/>
      <c r="G13" s="79">
        <v>44594</v>
      </c>
      <c r="H13" s="80" t="s">
        <v>175</v>
      </c>
      <c r="I13" s="98">
        <v>44594</v>
      </c>
      <c r="J13" s="99" t="s">
        <v>229</v>
      </c>
      <c r="K13" s="48"/>
      <c r="L13" s="44"/>
      <c r="M13" s="48"/>
      <c r="N13" s="51"/>
      <c r="O13" s="44"/>
      <c r="P13" s="51"/>
      <c r="Q13" s="44"/>
      <c r="R13" s="48"/>
      <c r="S13" s="52"/>
    </row>
    <row r="14" spans="1:19" s="5" customFormat="1" ht="21.75" customHeight="1" x14ac:dyDescent="0.2">
      <c r="A14" s="202">
        <v>3</v>
      </c>
      <c r="B14" s="204" t="s">
        <v>201</v>
      </c>
      <c r="C14" s="206" t="s">
        <v>54</v>
      </c>
      <c r="D14" s="81" t="s">
        <v>125</v>
      </c>
      <c r="E14" s="42">
        <v>3</v>
      </c>
      <c r="F14" s="50">
        <f>F9</f>
        <v>44575</v>
      </c>
      <c r="G14" s="131" t="s">
        <v>332</v>
      </c>
      <c r="H14" s="80" t="s">
        <v>158</v>
      </c>
      <c r="I14" s="98">
        <v>44575</v>
      </c>
      <c r="J14" s="99" t="s">
        <v>228</v>
      </c>
      <c r="K14" s="48"/>
      <c r="L14" s="44"/>
      <c r="M14" s="48"/>
      <c r="N14" s="51"/>
      <c r="O14" s="44"/>
      <c r="P14" s="51"/>
      <c r="Q14" s="44"/>
      <c r="R14" s="48"/>
      <c r="S14" s="52"/>
    </row>
    <row r="15" spans="1:19" s="5" customFormat="1" ht="21.75" customHeight="1" x14ac:dyDescent="0.2">
      <c r="A15" s="208"/>
      <c r="B15" s="209"/>
      <c r="C15" s="210"/>
      <c r="D15" s="81" t="s">
        <v>130</v>
      </c>
      <c r="E15" s="42">
        <v>3</v>
      </c>
      <c r="F15" s="50"/>
      <c r="G15" s="79">
        <v>44594</v>
      </c>
      <c r="H15" s="80" t="s">
        <v>175</v>
      </c>
      <c r="I15" s="98">
        <v>44594</v>
      </c>
      <c r="J15" s="99" t="s">
        <v>229</v>
      </c>
      <c r="K15" s="48"/>
      <c r="L15" s="44"/>
      <c r="M15" s="48"/>
      <c r="N15" s="51"/>
      <c r="O15" s="44"/>
      <c r="P15" s="51"/>
      <c r="Q15" s="44"/>
      <c r="R15" s="48"/>
      <c r="S15" s="52"/>
    </row>
    <row r="16" spans="1:19" s="5" customFormat="1" ht="21.75" customHeight="1" x14ac:dyDescent="0.2">
      <c r="A16" s="203"/>
      <c r="B16" s="205"/>
      <c r="C16" s="207"/>
      <c r="D16" s="81" t="s">
        <v>291</v>
      </c>
      <c r="E16" s="42">
        <v>3</v>
      </c>
      <c r="F16" s="50"/>
      <c r="G16" s="79">
        <v>44666</v>
      </c>
      <c r="H16" s="80" t="s">
        <v>292</v>
      </c>
      <c r="I16" s="79">
        <v>44666</v>
      </c>
      <c r="J16" s="99" t="s">
        <v>293</v>
      </c>
      <c r="K16" s="48"/>
      <c r="L16" s="44"/>
      <c r="M16" s="48"/>
      <c r="N16" s="51"/>
      <c r="O16" s="44"/>
      <c r="P16" s="51"/>
      <c r="Q16" s="44"/>
      <c r="R16" s="48"/>
      <c r="S16" s="52"/>
    </row>
    <row r="17" spans="1:19" s="5" customFormat="1" ht="21.75" customHeight="1" x14ac:dyDescent="0.2">
      <c r="A17" s="202">
        <v>4</v>
      </c>
      <c r="B17" s="204" t="s">
        <v>202</v>
      </c>
      <c r="C17" s="206" t="s">
        <v>55</v>
      </c>
      <c r="D17" s="81" t="s">
        <v>125</v>
      </c>
      <c r="E17" s="42">
        <v>3</v>
      </c>
      <c r="F17" s="50">
        <f>F12</f>
        <v>44564</v>
      </c>
      <c r="G17" s="131" t="s">
        <v>332</v>
      </c>
      <c r="H17" s="80" t="s">
        <v>158</v>
      </c>
      <c r="I17" s="98">
        <v>44575</v>
      </c>
      <c r="J17" s="99" t="s">
        <v>228</v>
      </c>
      <c r="K17" s="48"/>
      <c r="L17" s="44"/>
      <c r="M17" s="48"/>
      <c r="N17" s="51"/>
      <c r="O17" s="44"/>
      <c r="P17" s="51"/>
      <c r="Q17" s="44"/>
      <c r="R17" s="48"/>
      <c r="S17" s="52"/>
    </row>
    <row r="18" spans="1:19" s="5" customFormat="1" ht="21.75" customHeight="1" x14ac:dyDescent="0.2">
      <c r="A18" s="208"/>
      <c r="B18" s="209"/>
      <c r="C18" s="210"/>
      <c r="D18" s="81" t="s">
        <v>130</v>
      </c>
      <c r="E18" s="42">
        <v>3</v>
      </c>
      <c r="F18" s="50"/>
      <c r="G18" s="79">
        <v>44594</v>
      </c>
      <c r="H18" s="80" t="s">
        <v>175</v>
      </c>
      <c r="I18" s="98">
        <v>44594</v>
      </c>
      <c r="J18" s="99" t="s">
        <v>229</v>
      </c>
      <c r="K18" s="48"/>
      <c r="L18" s="44"/>
      <c r="M18" s="48"/>
      <c r="N18" s="51"/>
      <c r="O18" s="44"/>
      <c r="P18" s="51"/>
      <c r="Q18" s="44"/>
      <c r="R18" s="48"/>
      <c r="S18" s="52"/>
    </row>
    <row r="19" spans="1:19" s="5" customFormat="1" ht="21.75" customHeight="1" x14ac:dyDescent="0.2">
      <c r="A19" s="203"/>
      <c r="B19" s="205"/>
      <c r="C19" s="207"/>
      <c r="D19" s="81" t="s">
        <v>291</v>
      </c>
      <c r="E19" s="42">
        <v>3</v>
      </c>
      <c r="F19" s="50"/>
      <c r="G19" s="79">
        <v>44666</v>
      </c>
      <c r="H19" s="80" t="s">
        <v>292</v>
      </c>
      <c r="I19" s="79">
        <v>44666</v>
      </c>
      <c r="J19" s="99" t="s">
        <v>293</v>
      </c>
      <c r="K19" s="48"/>
      <c r="L19" s="44"/>
      <c r="M19" s="48"/>
      <c r="N19" s="51"/>
      <c r="O19" s="44"/>
      <c r="P19" s="51"/>
      <c r="Q19" s="44"/>
      <c r="R19" s="48"/>
      <c r="S19" s="52"/>
    </row>
    <row r="20" spans="1:19" s="5" customFormat="1" ht="21.75" customHeight="1" x14ac:dyDescent="0.2">
      <c r="A20" s="202">
        <v>5</v>
      </c>
      <c r="B20" s="204" t="s">
        <v>203</v>
      </c>
      <c r="C20" s="206" t="s">
        <v>56</v>
      </c>
      <c r="D20" s="81" t="s">
        <v>125</v>
      </c>
      <c r="E20" s="42">
        <v>3</v>
      </c>
      <c r="F20" s="50">
        <f>F12</f>
        <v>44564</v>
      </c>
      <c r="G20" s="131" t="s">
        <v>332</v>
      </c>
      <c r="H20" s="80" t="s">
        <v>158</v>
      </c>
      <c r="I20" s="98">
        <v>44575</v>
      </c>
      <c r="J20" s="99" t="s">
        <v>228</v>
      </c>
      <c r="K20" s="48"/>
      <c r="L20" s="44"/>
      <c r="M20" s="48"/>
      <c r="N20" s="51"/>
      <c r="O20" s="44"/>
      <c r="P20" s="51"/>
      <c r="Q20" s="44"/>
      <c r="R20" s="48"/>
      <c r="S20" s="52"/>
    </row>
    <row r="21" spans="1:19" s="5" customFormat="1" ht="21.75" customHeight="1" x14ac:dyDescent="0.2">
      <c r="A21" s="208"/>
      <c r="B21" s="209"/>
      <c r="C21" s="210"/>
      <c r="D21" s="81" t="s">
        <v>130</v>
      </c>
      <c r="E21" s="42">
        <v>3</v>
      </c>
      <c r="F21" s="50"/>
      <c r="G21" s="79">
        <v>44594</v>
      </c>
      <c r="H21" s="80" t="s">
        <v>175</v>
      </c>
      <c r="I21" s="98">
        <v>44594</v>
      </c>
      <c r="J21" s="99" t="s">
        <v>229</v>
      </c>
      <c r="K21" s="48"/>
      <c r="L21" s="44"/>
      <c r="M21" s="48"/>
      <c r="N21" s="51"/>
      <c r="O21" s="44"/>
      <c r="P21" s="51"/>
      <c r="Q21" s="44"/>
      <c r="R21" s="48"/>
      <c r="S21" s="52"/>
    </row>
    <row r="22" spans="1:19" s="5" customFormat="1" ht="21.75" customHeight="1" x14ac:dyDescent="0.2">
      <c r="A22" s="203"/>
      <c r="B22" s="205"/>
      <c r="C22" s="207"/>
      <c r="D22" s="81" t="s">
        <v>291</v>
      </c>
      <c r="E22" s="42">
        <v>3</v>
      </c>
      <c r="F22" s="50"/>
      <c r="G22" s="79">
        <v>44666</v>
      </c>
      <c r="H22" s="80" t="s">
        <v>292</v>
      </c>
      <c r="I22" s="79">
        <v>44666</v>
      </c>
      <c r="J22" s="99" t="s">
        <v>293</v>
      </c>
      <c r="K22" s="48"/>
      <c r="L22" s="44"/>
      <c r="M22" s="48"/>
      <c r="N22" s="51"/>
      <c r="O22" s="44"/>
      <c r="P22" s="51"/>
      <c r="Q22" s="44"/>
      <c r="R22" s="48"/>
      <c r="S22" s="52"/>
    </row>
    <row r="23" spans="1:19" s="5" customFormat="1" ht="21.75" customHeight="1" x14ac:dyDescent="0.2">
      <c r="A23" s="202">
        <v>6</v>
      </c>
      <c r="B23" s="204" t="s">
        <v>129</v>
      </c>
      <c r="C23" s="206" t="s">
        <v>57</v>
      </c>
      <c r="D23" s="81" t="s">
        <v>125</v>
      </c>
      <c r="E23" s="42">
        <v>3</v>
      </c>
      <c r="F23" s="50">
        <f>F12</f>
        <v>44564</v>
      </c>
      <c r="G23" s="131" t="s">
        <v>332</v>
      </c>
      <c r="H23" s="80" t="s">
        <v>158</v>
      </c>
      <c r="I23" s="98">
        <v>44575</v>
      </c>
      <c r="J23" s="99" t="s">
        <v>228</v>
      </c>
      <c r="K23" s="48"/>
      <c r="L23" s="44"/>
      <c r="M23" s="48"/>
      <c r="N23" s="51"/>
      <c r="O23" s="44"/>
      <c r="P23" s="51"/>
      <c r="Q23" s="44"/>
      <c r="R23" s="48"/>
      <c r="S23" s="52"/>
    </row>
    <row r="24" spans="1:19" s="5" customFormat="1" ht="21.75" customHeight="1" x14ac:dyDescent="0.2">
      <c r="A24" s="203"/>
      <c r="B24" s="205"/>
      <c r="C24" s="207"/>
      <c r="D24" s="81" t="s">
        <v>130</v>
      </c>
      <c r="E24" s="42">
        <v>3</v>
      </c>
      <c r="F24" s="50"/>
      <c r="G24" s="79">
        <v>44594</v>
      </c>
      <c r="H24" s="80" t="s">
        <v>175</v>
      </c>
      <c r="I24" s="98">
        <v>44594</v>
      </c>
      <c r="J24" s="99" t="s">
        <v>229</v>
      </c>
      <c r="K24" s="48"/>
      <c r="L24" s="44"/>
      <c r="M24" s="48"/>
      <c r="N24" s="51"/>
      <c r="O24" s="44"/>
      <c r="P24" s="51"/>
      <c r="Q24" s="44"/>
      <c r="R24" s="48"/>
      <c r="S24" s="52"/>
    </row>
    <row r="25" spans="1:19" s="5" customFormat="1" ht="21.75" customHeight="1" x14ac:dyDescent="0.2">
      <c r="A25" s="49">
        <v>7</v>
      </c>
      <c r="B25" s="45" t="s">
        <v>138</v>
      </c>
      <c r="C25" s="42" t="s">
        <v>58</v>
      </c>
      <c r="D25" s="49"/>
      <c r="E25" s="47"/>
      <c r="F25" s="50">
        <f>'PIPELINE &amp; CABLE'!F25</f>
        <v>44564</v>
      </c>
      <c r="G25" s="48"/>
      <c r="H25" s="44"/>
      <c r="I25" s="48"/>
      <c r="J25" s="44"/>
      <c r="K25" s="48"/>
      <c r="L25" s="44"/>
      <c r="M25" s="48"/>
      <c r="N25" s="51"/>
      <c r="O25" s="44"/>
      <c r="P25" s="51"/>
      <c r="Q25" s="44"/>
      <c r="R25" s="48"/>
      <c r="S25" s="52"/>
    </row>
    <row r="26" spans="1:19" s="5" customFormat="1" ht="21.75" customHeight="1" x14ac:dyDescent="0.2">
      <c r="A26" s="49">
        <v>8</v>
      </c>
      <c r="B26" s="45" t="s">
        <v>139</v>
      </c>
      <c r="C26" s="42" t="s">
        <v>59</v>
      </c>
      <c r="D26" s="49"/>
      <c r="E26" s="47"/>
      <c r="F26" s="50">
        <f>'PIPELINE &amp; CABLE'!F26</f>
        <v>44595</v>
      </c>
      <c r="G26" s="48"/>
      <c r="H26" s="44"/>
      <c r="I26" s="48"/>
      <c r="J26" s="44"/>
      <c r="K26" s="48"/>
      <c r="L26" s="44"/>
      <c r="M26" s="48"/>
      <c r="N26" s="51"/>
      <c r="O26" s="44"/>
      <c r="P26" s="51"/>
      <c r="Q26" s="44"/>
      <c r="R26" s="48"/>
      <c r="S26" s="52"/>
    </row>
    <row r="27" spans="1:19" s="5" customFormat="1" ht="21.75" customHeight="1" x14ac:dyDescent="0.2">
      <c r="A27" s="49">
        <v>9</v>
      </c>
      <c r="B27" s="45" t="s">
        <v>140</v>
      </c>
      <c r="C27" s="42" t="s">
        <v>60</v>
      </c>
      <c r="D27" s="49"/>
      <c r="E27" s="47"/>
      <c r="F27" s="50">
        <v>44623</v>
      </c>
      <c r="G27" s="48"/>
      <c r="H27" s="44"/>
      <c r="I27" s="48"/>
      <c r="J27" s="44"/>
      <c r="K27" s="48"/>
      <c r="L27" s="44"/>
      <c r="M27" s="48"/>
      <c r="N27" s="51"/>
      <c r="O27" s="44"/>
      <c r="P27" s="51"/>
      <c r="Q27" s="44"/>
      <c r="R27" s="48"/>
      <c r="S27" s="52"/>
    </row>
    <row r="28" spans="1:19" s="5" customFormat="1" ht="21.75" customHeight="1" x14ac:dyDescent="0.2">
      <c r="A28" s="49">
        <v>10</v>
      </c>
      <c r="B28" s="45" t="s">
        <v>50</v>
      </c>
      <c r="C28" s="42" t="s">
        <v>61</v>
      </c>
      <c r="D28" s="49"/>
      <c r="E28" s="47"/>
      <c r="F28" s="50">
        <f>'PIPELINE &amp; CABLE'!F22</f>
        <v>44646</v>
      </c>
      <c r="G28" s="48"/>
      <c r="H28" s="44"/>
      <c r="I28" s="48"/>
      <c r="J28" s="44"/>
      <c r="K28" s="48"/>
      <c r="L28" s="44"/>
      <c r="M28" s="48"/>
      <c r="N28" s="51"/>
      <c r="O28" s="44"/>
      <c r="P28" s="46"/>
      <c r="Q28" s="43"/>
      <c r="R28" s="53"/>
      <c r="S28" s="52"/>
    </row>
    <row r="29" spans="1:19" s="5" customFormat="1" ht="21.75" customHeight="1" x14ac:dyDescent="0.2">
      <c r="A29" s="49">
        <v>11</v>
      </c>
      <c r="B29" s="45" t="s">
        <v>51</v>
      </c>
      <c r="C29" s="42" t="s">
        <v>62</v>
      </c>
      <c r="D29" s="49"/>
      <c r="E29" s="47"/>
      <c r="F29" s="50">
        <f>'PIPELINE &amp; CABLE'!F23</f>
        <v>44654</v>
      </c>
      <c r="G29" s="48"/>
      <c r="H29" s="44"/>
      <c r="I29" s="48"/>
      <c r="J29" s="44"/>
      <c r="K29" s="48"/>
      <c r="L29" s="44"/>
      <c r="M29" s="48"/>
      <c r="N29" s="51"/>
      <c r="O29" s="44"/>
      <c r="P29" s="46"/>
      <c r="Q29" s="43"/>
      <c r="R29" s="53"/>
      <c r="S29" s="52"/>
    </row>
    <row r="30" spans="1:19" s="5" customFormat="1" ht="21.75" customHeight="1" x14ac:dyDescent="0.2">
      <c r="A30" s="49">
        <v>12</v>
      </c>
      <c r="B30" s="45" t="s">
        <v>255</v>
      </c>
      <c r="C30" s="42" t="s">
        <v>63</v>
      </c>
      <c r="D30" s="81" t="s">
        <v>125</v>
      </c>
      <c r="E30" s="47">
        <v>3</v>
      </c>
      <c r="F30" s="50">
        <v>44643</v>
      </c>
      <c r="G30" s="50">
        <v>44643</v>
      </c>
      <c r="H30" s="80" t="s">
        <v>253</v>
      </c>
      <c r="I30" s="50">
        <v>44648</v>
      </c>
      <c r="J30" s="107" t="s">
        <v>265</v>
      </c>
      <c r="K30" s="48"/>
      <c r="L30" s="44"/>
      <c r="M30" s="48"/>
      <c r="N30" s="50">
        <v>44648</v>
      </c>
      <c r="O30" s="107" t="s">
        <v>266</v>
      </c>
      <c r="P30" s="114">
        <v>44670</v>
      </c>
      <c r="Q30" s="115" t="s">
        <v>300</v>
      </c>
      <c r="R30" s="53" t="s">
        <v>296</v>
      </c>
      <c r="S30" s="52"/>
    </row>
    <row r="31" spans="1:19" s="5" customFormat="1" ht="28.5" customHeight="1" x14ac:dyDescent="0.2">
      <c r="A31" s="202">
        <v>13</v>
      </c>
      <c r="B31" s="253" t="s">
        <v>500</v>
      </c>
      <c r="C31" s="206" t="s">
        <v>64</v>
      </c>
      <c r="D31" s="81" t="s">
        <v>125</v>
      </c>
      <c r="E31" s="47">
        <v>3</v>
      </c>
      <c r="F31" s="50">
        <v>44907</v>
      </c>
      <c r="G31" s="50">
        <v>44907</v>
      </c>
      <c r="H31" s="80" t="s">
        <v>503</v>
      </c>
      <c r="I31" s="50">
        <v>44908</v>
      </c>
      <c r="J31" s="97" t="s">
        <v>514</v>
      </c>
      <c r="K31" s="48"/>
      <c r="L31" s="44"/>
      <c r="M31" s="48"/>
      <c r="N31" s="50">
        <v>44908</v>
      </c>
      <c r="O31" s="97" t="s">
        <v>513</v>
      </c>
      <c r="P31" s="46"/>
      <c r="Q31" s="43"/>
      <c r="R31" s="53"/>
      <c r="S31" s="52"/>
    </row>
    <row r="32" spans="1:19" s="5" customFormat="1" ht="28.5" customHeight="1" x14ac:dyDescent="0.2">
      <c r="A32" s="208"/>
      <c r="B32" s="264"/>
      <c r="C32" s="210"/>
      <c r="D32" s="81" t="s">
        <v>130</v>
      </c>
      <c r="E32" s="47">
        <v>3</v>
      </c>
      <c r="F32" s="50"/>
      <c r="G32" s="50">
        <v>44924</v>
      </c>
      <c r="H32" s="80" t="s">
        <v>547</v>
      </c>
      <c r="I32" s="50">
        <v>44924</v>
      </c>
      <c r="J32" s="140" t="s">
        <v>548</v>
      </c>
      <c r="K32" s="48"/>
      <c r="L32" s="44"/>
      <c r="M32" s="48"/>
      <c r="N32" s="50">
        <v>44924</v>
      </c>
      <c r="O32" s="105" t="s">
        <v>549</v>
      </c>
      <c r="P32" s="51"/>
      <c r="Q32" s="44"/>
      <c r="R32" s="48"/>
      <c r="S32" s="52"/>
    </row>
    <row r="33" spans="1:19" s="5" customFormat="1" ht="28.5" customHeight="1" x14ac:dyDescent="0.2">
      <c r="A33" s="203"/>
      <c r="B33" s="254"/>
      <c r="C33" s="207"/>
      <c r="D33" s="81" t="s">
        <v>291</v>
      </c>
      <c r="E33" s="47">
        <v>3</v>
      </c>
      <c r="F33" s="117"/>
      <c r="G33" s="117">
        <v>45049</v>
      </c>
      <c r="H33" s="80" t="s">
        <v>609</v>
      </c>
      <c r="I33" s="170"/>
      <c r="J33" s="163"/>
      <c r="K33" s="48"/>
      <c r="L33" s="44"/>
      <c r="M33" s="48"/>
      <c r="N33" s="169"/>
      <c r="O33" s="165"/>
      <c r="P33" s="51"/>
      <c r="Q33" s="44"/>
      <c r="R33" s="48"/>
      <c r="S33" s="52"/>
    </row>
    <row r="34" spans="1:19" s="5" customFormat="1" ht="21.75" customHeight="1" x14ac:dyDescent="0.2">
      <c r="A34" s="49">
        <v>14</v>
      </c>
      <c r="B34" s="110" t="s">
        <v>586</v>
      </c>
      <c r="C34" s="42" t="s">
        <v>65</v>
      </c>
      <c r="D34" s="81" t="s">
        <v>125</v>
      </c>
      <c r="E34" s="47">
        <v>3</v>
      </c>
      <c r="F34" s="79">
        <v>44939</v>
      </c>
      <c r="G34" s="79">
        <v>44939</v>
      </c>
      <c r="H34" s="80" t="s">
        <v>587</v>
      </c>
      <c r="I34" s="161"/>
      <c r="J34" s="162"/>
      <c r="K34" s="48"/>
      <c r="L34" s="44"/>
      <c r="M34" s="48"/>
      <c r="N34" s="51"/>
      <c r="O34" s="44"/>
      <c r="P34" s="51"/>
      <c r="Q34" s="44"/>
      <c r="R34" s="48"/>
      <c r="S34" s="52"/>
    </row>
    <row r="35" spans="1:19" s="5" customFormat="1" ht="21.75" customHeight="1" x14ac:dyDescent="0.2">
      <c r="A35" s="49">
        <v>15</v>
      </c>
      <c r="B35" s="110" t="s">
        <v>589</v>
      </c>
      <c r="C35" s="42" t="s">
        <v>66</v>
      </c>
      <c r="D35" s="81" t="s">
        <v>125</v>
      </c>
      <c r="E35" s="47">
        <v>3</v>
      </c>
      <c r="F35" s="50"/>
      <c r="G35" s="79">
        <v>44942</v>
      </c>
      <c r="H35" s="80" t="s">
        <v>590</v>
      </c>
      <c r="I35" s="161"/>
      <c r="J35" s="162"/>
      <c r="K35" s="48"/>
      <c r="L35" s="44"/>
      <c r="M35" s="48"/>
      <c r="N35" s="51"/>
      <c r="O35" s="44"/>
      <c r="P35" s="51"/>
      <c r="Q35" s="44"/>
      <c r="R35" s="48"/>
      <c r="S35" s="52"/>
    </row>
    <row r="36" spans="1:19" s="5" customFormat="1" ht="21.75" customHeight="1" x14ac:dyDescent="0.2">
      <c r="A36" s="49">
        <v>16</v>
      </c>
      <c r="B36" s="110" t="s">
        <v>591</v>
      </c>
      <c r="C36" s="42" t="s">
        <v>67</v>
      </c>
      <c r="D36" s="81" t="s">
        <v>125</v>
      </c>
      <c r="E36" s="47">
        <v>3</v>
      </c>
      <c r="F36" s="50"/>
      <c r="G36" s="79">
        <v>44944</v>
      </c>
      <c r="H36" s="80" t="s">
        <v>593</v>
      </c>
      <c r="I36" s="161"/>
      <c r="J36" s="162"/>
      <c r="K36" s="48"/>
      <c r="L36" s="44"/>
      <c r="M36" s="48"/>
      <c r="N36" s="51"/>
      <c r="O36" s="44"/>
      <c r="P36" s="51"/>
      <c r="Q36" s="44"/>
      <c r="R36" s="48"/>
      <c r="S36" s="52"/>
    </row>
    <row r="37" spans="1:19" s="5" customFormat="1" ht="21.75" customHeight="1" x14ac:dyDescent="0.2">
      <c r="A37" s="49">
        <v>17</v>
      </c>
      <c r="B37" s="110" t="s">
        <v>588</v>
      </c>
      <c r="C37" s="42" t="s">
        <v>68</v>
      </c>
      <c r="D37" s="81" t="s">
        <v>125</v>
      </c>
      <c r="E37" s="47">
        <v>3</v>
      </c>
      <c r="F37" s="50"/>
      <c r="G37" s="79">
        <v>44944</v>
      </c>
      <c r="H37" s="80" t="s">
        <v>592</v>
      </c>
      <c r="I37" s="161"/>
      <c r="J37" s="162"/>
      <c r="K37" s="48"/>
      <c r="L37" s="44"/>
      <c r="M37" s="48"/>
      <c r="N37" s="51"/>
      <c r="O37" s="44"/>
      <c r="P37" s="51"/>
      <c r="Q37" s="44"/>
      <c r="R37" s="48"/>
      <c r="S37" s="52"/>
    </row>
    <row r="38" spans="1:19" s="5" customFormat="1" ht="21.75" customHeight="1" x14ac:dyDescent="0.2">
      <c r="A38" s="49">
        <v>18</v>
      </c>
      <c r="B38" s="45" t="s">
        <v>563</v>
      </c>
      <c r="C38" s="42" t="s">
        <v>69</v>
      </c>
      <c r="D38" s="81" t="s">
        <v>125</v>
      </c>
      <c r="E38" s="47">
        <v>3</v>
      </c>
      <c r="F38" s="50">
        <f>F34</f>
        <v>44939</v>
      </c>
      <c r="G38" s="79">
        <v>44935</v>
      </c>
      <c r="H38" s="80" t="s">
        <v>573</v>
      </c>
      <c r="I38" s="79">
        <v>44941</v>
      </c>
      <c r="J38" s="97" t="s">
        <v>654</v>
      </c>
      <c r="K38" s="48"/>
      <c r="L38" s="44"/>
      <c r="M38" s="48"/>
      <c r="N38" s="51"/>
      <c r="O38" s="44"/>
      <c r="P38" s="51"/>
      <c r="Q38" s="44"/>
      <c r="R38" s="48"/>
      <c r="S38" s="52"/>
    </row>
    <row r="39" spans="1:19" s="5" customFormat="1" ht="21.75" customHeight="1" x14ac:dyDescent="0.2">
      <c r="A39" s="49">
        <v>19</v>
      </c>
      <c r="B39" s="45" t="s">
        <v>584</v>
      </c>
      <c r="C39" s="42" t="s">
        <v>70</v>
      </c>
      <c r="D39" s="81" t="s">
        <v>125</v>
      </c>
      <c r="E39" s="47">
        <v>3</v>
      </c>
      <c r="F39" s="50">
        <f>F35</f>
        <v>0</v>
      </c>
      <c r="G39" s="79">
        <v>44935</v>
      </c>
      <c r="H39" s="80" t="s">
        <v>573</v>
      </c>
      <c r="I39" s="79">
        <v>44941</v>
      </c>
      <c r="J39" s="97" t="s">
        <v>654</v>
      </c>
      <c r="K39" s="48"/>
      <c r="L39" s="44"/>
      <c r="M39" s="48"/>
      <c r="N39" s="51"/>
      <c r="O39" s="44"/>
      <c r="P39" s="51"/>
      <c r="Q39" s="44"/>
      <c r="R39" s="48"/>
      <c r="S39" s="52"/>
    </row>
    <row r="40" spans="1:19" s="5" customFormat="1" ht="21.75" customHeight="1" x14ac:dyDescent="0.2">
      <c r="A40" s="49">
        <v>20</v>
      </c>
      <c r="B40" s="45" t="s">
        <v>556</v>
      </c>
      <c r="C40" s="42" t="s">
        <v>71</v>
      </c>
      <c r="D40" s="81" t="s">
        <v>125</v>
      </c>
      <c r="E40" s="47"/>
      <c r="F40" s="50">
        <f>F36</f>
        <v>0</v>
      </c>
      <c r="G40" s="79">
        <v>44931</v>
      </c>
      <c r="H40" s="80" t="s">
        <v>560</v>
      </c>
      <c r="I40" s="79">
        <v>44941</v>
      </c>
      <c r="J40" s="97" t="s">
        <v>654</v>
      </c>
      <c r="K40" s="48"/>
      <c r="L40" s="44"/>
      <c r="M40" s="48"/>
      <c r="N40" s="51"/>
      <c r="O40" s="44"/>
      <c r="P40" s="51"/>
      <c r="Q40" s="44"/>
      <c r="R40" s="48"/>
      <c r="S40" s="52"/>
    </row>
    <row r="41" spans="1:19" s="5" customFormat="1" ht="21.75" customHeight="1" x14ac:dyDescent="0.2">
      <c r="A41" s="49">
        <v>21</v>
      </c>
      <c r="B41" s="45" t="s">
        <v>557</v>
      </c>
      <c r="C41" s="42" t="s">
        <v>72</v>
      </c>
      <c r="D41" s="81" t="s">
        <v>125</v>
      </c>
      <c r="E41" s="47"/>
      <c r="F41" s="50">
        <f>F37</f>
        <v>0</v>
      </c>
      <c r="G41" s="79">
        <v>44931</v>
      </c>
      <c r="H41" s="80" t="s">
        <v>560</v>
      </c>
      <c r="I41" s="79">
        <v>44941</v>
      </c>
      <c r="J41" s="97" t="s">
        <v>654</v>
      </c>
      <c r="K41" s="48"/>
      <c r="L41" s="44"/>
      <c r="M41" s="48"/>
      <c r="N41" s="51"/>
      <c r="O41" s="44"/>
      <c r="P41" s="51"/>
      <c r="Q41" s="44"/>
      <c r="R41" s="48"/>
      <c r="S41" s="52"/>
    </row>
    <row r="42" spans="1:19" s="5" customFormat="1" ht="21.75" customHeight="1" x14ac:dyDescent="0.2">
      <c r="A42" s="49">
        <v>22</v>
      </c>
      <c r="B42" s="45" t="s">
        <v>208</v>
      </c>
      <c r="C42" s="42" t="s">
        <v>73</v>
      </c>
      <c r="D42" s="81" t="s">
        <v>125</v>
      </c>
      <c r="E42" s="47">
        <v>3</v>
      </c>
      <c r="F42" s="79">
        <v>44617</v>
      </c>
      <c r="G42" s="79">
        <v>44617</v>
      </c>
      <c r="H42" s="80" t="s">
        <v>209</v>
      </c>
      <c r="I42" s="98">
        <v>44630</v>
      </c>
      <c r="J42" s="99" t="s">
        <v>227</v>
      </c>
      <c r="K42" s="48"/>
      <c r="L42" s="44"/>
      <c r="M42" s="48"/>
      <c r="N42" s="104"/>
      <c r="O42" s="105"/>
      <c r="P42" s="51"/>
      <c r="Q42" s="44"/>
      <c r="R42" s="48"/>
      <c r="S42" s="52"/>
    </row>
    <row r="43" spans="1:19" s="5" customFormat="1" ht="21.75" customHeight="1" x14ac:dyDescent="0.2">
      <c r="A43" s="49">
        <v>23</v>
      </c>
      <c r="B43" s="45" t="s">
        <v>136</v>
      </c>
      <c r="C43" s="42" t="s">
        <v>74</v>
      </c>
      <c r="D43" s="46"/>
      <c r="E43" s="47"/>
      <c r="F43" s="50">
        <v>44593</v>
      </c>
      <c r="G43" s="48"/>
      <c r="H43" s="44"/>
      <c r="I43" s="68"/>
      <c r="J43" s="97"/>
      <c r="K43" s="48"/>
      <c r="L43" s="44"/>
      <c r="M43" s="48"/>
      <c r="N43" s="51"/>
      <c r="O43" s="44"/>
      <c r="P43" s="51"/>
      <c r="Q43" s="44"/>
      <c r="R43" s="48"/>
      <c r="S43" s="52"/>
    </row>
    <row r="44" spans="1:19" s="5" customFormat="1" ht="21.75" customHeight="1" x14ac:dyDescent="0.2">
      <c r="A44" s="49">
        <v>24</v>
      </c>
      <c r="B44" s="45" t="s">
        <v>142</v>
      </c>
      <c r="C44" s="42" t="s">
        <v>75</v>
      </c>
      <c r="D44" s="46"/>
      <c r="E44" s="47"/>
      <c r="F44" s="50">
        <f>'PIPELINE &amp; CABLE'!F28</f>
        <v>44564</v>
      </c>
      <c r="G44" s="48"/>
      <c r="H44" s="44"/>
      <c r="I44" s="68"/>
      <c r="J44" s="97"/>
      <c r="K44" s="48"/>
      <c r="L44" s="44"/>
      <c r="M44" s="48"/>
      <c r="N44" s="51"/>
      <c r="O44" s="44"/>
      <c r="P44" s="51"/>
      <c r="Q44" s="44"/>
      <c r="R44" s="48"/>
      <c r="S44" s="52"/>
    </row>
    <row r="45" spans="1:19" s="5" customFormat="1" ht="21.75" customHeight="1" x14ac:dyDescent="0.2">
      <c r="A45" s="49">
        <v>30</v>
      </c>
      <c r="B45" s="45" t="s">
        <v>115</v>
      </c>
      <c r="C45" s="42" t="s">
        <v>104</v>
      </c>
      <c r="D45" s="81" t="s">
        <v>125</v>
      </c>
      <c r="E45" s="47">
        <v>3</v>
      </c>
      <c r="F45" s="47"/>
      <c r="G45" s="79">
        <v>44573</v>
      </c>
      <c r="H45" s="80" t="s">
        <v>158</v>
      </c>
      <c r="I45" s="98">
        <v>44575</v>
      </c>
      <c r="J45" s="99" t="s">
        <v>228</v>
      </c>
      <c r="K45" s="48"/>
      <c r="L45" s="44"/>
      <c r="M45" s="48"/>
      <c r="N45" s="51"/>
      <c r="O45" s="44"/>
      <c r="P45" s="51"/>
      <c r="Q45" s="44"/>
      <c r="R45" s="48"/>
      <c r="S45" s="52"/>
    </row>
    <row r="46" spans="1:19" s="5" customFormat="1" ht="21.75" customHeight="1" x14ac:dyDescent="0.2">
      <c r="A46" s="49">
        <v>31</v>
      </c>
      <c r="B46" s="45" t="s">
        <v>196</v>
      </c>
      <c r="C46" s="42" t="s">
        <v>105</v>
      </c>
      <c r="D46" s="81" t="s">
        <v>125</v>
      </c>
      <c r="E46" s="47">
        <v>3</v>
      </c>
      <c r="F46" s="47"/>
      <c r="G46" s="50">
        <v>44636</v>
      </c>
      <c r="H46" s="80" t="s">
        <v>238</v>
      </c>
      <c r="I46" s="104">
        <v>44638</v>
      </c>
      <c r="J46" s="105" t="s">
        <v>250</v>
      </c>
      <c r="K46" s="48"/>
      <c r="L46" s="44"/>
      <c r="M46" s="48"/>
      <c r="N46" s="104">
        <v>44638</v>
      </c>
      <c r="O46" s="105" t="s">
        <v>251</v>
      </c>
      <c r="P46" s="112">
        <v>44670</v>
      </c>
      <c r="Q46" s="113" t="s">
        <v>295</v>
      </c>
      <c r="R46" s="48" t="s">
        <v>296</v>
      </c>
      <c r="S46" s="52"/>
    </row>
    <row r="47" spans="1:19" s="5" customFormat="1" ht="21.75" customHeight="1" x14ac:dyDescent="0.2">
      <c r="A47" s="49">
        <v>32</v>
      </c>
      <c r="B47" s="45" t="s">
        <v>260</v>
      </c>
      <c r="C47" s="42" t="s">
        <v>106</v>
      </c>
      <c r="D47" s="95" t="s">
        <v>125</v>
      </c>
      <c r="E47" s="47">
        <v>3</v>
      </c>
      <c r="F47" s="47"/>
      <c r="G47" s="50">
        <v>44644</v>
      </c>
      <c r="H47" s="80" t="s">
        <v>261</v>
      </c>
      <c r="I47" s="114">
        <v>44671</v>
      </c>
      <c r="J47" s="105" t="s">
        <v>305</v>
      </c>
      <c r="K47" s="48"/>
      <c r="L47" s="44"/>
      <c r="M47" s="48"/>
      <c r="N47" s="114">
        <v>44671</v>
      </c>
      <c r="O47" s="105" t="s">
        <v>306</v>
      </c>
      <c r="P47" s="114">
        <v>44700</v>
      </c>
      <c r="Q47" s="133" t="s">
        <v>355</v>
      </c>
      <c r="R47" s="132" t="s">
        <v>354</v>
      </c>
      <c r="S47" s="52"/>
    </row>
    <row r="48" spans="1:19" s="5" customFormat="1" ht="21.75" customHeight="1" x14ac:dyDescent="0.2">
      <c r="A48" s="49">
        <v>33</v>
      </c>
      <c r="B48" s="45" t="s">
        <v>340</v>
      </c>
      <c r="C48" s="42" t="s">
        <v>107</v>
      </c>
      <c r="D48" s="81" t="s">
        <v>125</v>
      </c>
      <c r="E48" s="47">
        <v>3</v>
      </c>
      <c r="F48" s="47"/>
      <c r="G48" s="50">
        <v>44699</v>
      </c>
      <c r="H48" s="80" t="s">
        <v>347</v>
      </c>
      <c r="I48" s="50">
        <v>44700</v>
      </c>
      <c r="J48" s="107" t="s">
        <v>357</v>
      </c>
      <c r="K48" s="48"/>
      <c r="L48" s="44"/>
      <c r="M48" s="48"/>
      <c r="N48" s="114">
        <v>44700</v>
      </c>
      <c r="O48" s="105" t="s">
        <v>353</v>
      </c>
      <c r="P48" s="114">
        <v>44710</v>
      </c>
      <c r="Q48" s="116" t="s">
        <v>361</v>
      </c>
      <c r="R48" s="132" t="s">
        <v>354</v>
      </c>
      <c r="S48" s="52"/>
    </row>
    <row r="49" spans="1:19" s="5" customFormat="1" ht="21.75" customHeight="1" x14ac:dyDescent="0.2">
      <c r="A49" s="49">
        <v>34</v>
      </c>
      <c r="B49" s="45" t="s">
        <v>230</v>
      </c>
      <c r="C49" s="42" t="s">
        <v>108</v>
      </c>
      <c r="D49" s="81" t="s">
        <v>125</v>
      </c>
      <c r="E49" s="47">
        <v>3</v>
      </c>
      <c r="F49" s="47"/>
      <c r="G49" s="50">
        <v>44636</v>
      </c>
      <c r="H49" s="80" t="s">
        <v>239</v>
      </c>
      <c r="I49" s="102"/>
      <c r="J49" s="103"/>
      <c r="K49" s="48"/>
      <c r="L49" s="44"/>
      <c r="M49" s="48"/>
      <c r="N49" s="51"/>
      <c r="O49" s="44"/>
      <c r="P49" s="51"/>
      <c r="Q49" s="44"/>
      <c r="R49" s="48"/>
      <c r="S49" s="52"/>
    </row>
    <row r="50" spans="1:19" s="5" customFormat="1" ht="21.75" customHeight="1" x14ac:dyDescent="0.2">
      <c r="A50" s="49">
        <v>35</v>
      </c>
      <c r="B50" s="45" t="s">
        <v>246</v>
      </c>
      <c r="C50" s="42" t="s">
        <v>109</v>
      </c>
      <c r="D50" s="46"/>
      <c r="E50" s="47"/>
      <c r="F50" s="47"/>
      <c r="G50" s="48"/>
      <c r="H50" s="44"/>
      <c r="I50" s="48"/>
      <c r="J50" s="44"/>
      <c r="K50" s="48"/>
      <c r="L50" s="44"/>
      <c r="M50" s="48"/>
      <c r="N50" s="51"/>
      <c r="O50" s="44"/>
      <c r="P50" s="51"/>
      <c r="Q50" s="44"/>
      <c r="R50" s="48"/>
      <c r="S50" s="52"/>
    </row>
    <row r="51" spans="1:19" s="5" customFormat="1" ht="21.75" customHeight="1" x14ac:dyDescent="0.2">
      <c r="A51" s="49">
        <v>36</v>
      </c>
      <c r="B51" s="45" t="s">
        <v>248</v>
      </c>
      <c r="C51" s="42" t="s">
        <v>110</v>
      </c>
      <c r="D51" s="46"/>
      <c r="E51" s="47"/>
      <c r="F51" s="47"/>
      <c r="G51" s="48"/>
      <c r="H51" s="44"/>
      <c r="I51" s="48"/>
      <c r="J51" s="44"/>
      <c r="K51" s="48"/>
      <c r="L51" s="44"/>
      <c r="M51" s="48"/>
      <c r="N51" s="51"/>
      <c r="O51" s="43"/>
      <c r="P51" s="46"/>
      <c r="Q51" s="43"/>
      <c r="R51" s="53"/>
      <c r="S51" s="52"/>
    </row>
    <row r="52" spans="1:19" s="5" customFormat="1" ht="21.75" customHeight="1" x14ac:dyDescent="0.2">
      <c r="A52" s="49">
        <v>37</v>
      </c>
      <c r="B52" s="45" t="s">
        <v>247</v>
      </c>
      <c r="C52" s="42" t="s">
        <v>111</v>
      </c>
      <c r="D52" s="46"/>
      <c r="E52" s="47"/>
      <c r="F52" s="47"/>
      <c r="G52" s="48"/>
      <c r="H52" s="44"/>
      <c r="I52" s="48"/>
      <c r="J52" s="44"/>
      <c r="K52" s="48"/>
      <c r="L52" s="44"/>
      <c r="M52" s="48"/>
      <c r="N52" s="51"/>
      <c r="O52" s="43"/>
      <c r="P52" s="46"/>
      <c r="Q52" s="43"/>
      <c r="R52" s="53"/>
      <c r="S52" s="52"/>
    </row>
    <row r="53" spans="1:19" s="5" customFormat="1" ht="27.75" customHeight="1" x14ac:dyDescent="0.2">
      <c r="A53" s="49">
        <v>38</v>
      </c>
      <c r="B53" s="110" t="s">
        <v>273</v>
      </c>
      <c r="C53" s="42" t="s">
        <v>112</v>
      </c>
      <c r="D53" s="81" t="s">
        <v>125</v>
      </c>
      <c r="E53" s="47">
        <v>3</v>
      </c>
      <c r="F53" s="47"/>
      <c r="G53" s="50">
        <v>44651</v>
      </c>
      <c r="H53" s="80" t="s">
        <v>272</v>
      </c>
      <c r="I53" s="50">
        <v>44654</v>
      </c>
      <c r="J53" s="107" t="s">
        <v>277</v>
      </c>
      <c r="K53" s="48"/>
      <c r="L53" s="44"/>
      <c r="M53" s="48"/>
      <c r="N53" s="50">
        <v>44654</v>
      </c>
      <c r="O53" s="107" t="s">
        <v>278</v>
      </c>
      <c r="P53" s="114">
        <v>44670</v>
      </c>
      <c r="Q53" s="115" t="s">
        <v>297</v>
      </c>
      <c r="R53" s="53" t="s">
        <v>296</v>
      </c>
      <c r="S53" s="52"/>
    </row>
    <row r="54" spans="1:19" s="5" customFormat="1" ht="21.75" customHeight="1" x14ac:dyDescent="0.2">
      <c r="A54" s="49">
        <v>39</v>
      </c>
      <c r="B54" s="110" t="s">
        <v>349</v>
      </c>
      <c r="C54" s="42" t="s">
        <v>113</v>
      </c>
      <c r="D54" s="81" t="s">
        <v>125</v>
      </c>
      <c r="E54" s="47">
        <v>3</v>
      </c>
      <c r="F54" s="47"/>
      <c r="G54" s="50">
        <v>44699</v>
      </c>
      <c r="H54" s="80" t="s">
        <v>350</v>
      </c>
      <c r="I54" s="50">
        <v>44700</v>
      </c>
      <c r="J54" s="107" t="s">
        <v>358</v>
      </c>
      <c r="K54" s="48"/>
      <c r="L54" s="44"/>
      <c r="M54" s="48"/>
      <c r="N54" s="114">
        <v>44700</v>
      </c>
      <c r="O54" s="105" t="s">
        <v>352</v>
      </c>
      <c r="P54" s="114">
        <v>44710</v>
      </c>
      <c r="Q54" s="133" t="s">
        <v>370</v>
      </c>
      <c r="R54" s="132" t="s">
        <v>354</v>
      </c>
      <c r="S54" s="52"/>
    </row>
    <row r="55" spans="1:19" s="5" customFormat="1" ht="21.75" customHeight="1" x14ac:dyDescent="0.2">
      <c r="A55" s="202">
        <v>40</v>
      </c>
      <c r="B55" s="204" t="s">
        <v>360</v>
      </c>
      <c r="C55" s="206" t="s">
        <v>114</v>
      </c>
      <c r="D55" s="81" t="s">
        <v>125</v>
      </c>
      <c r="E55" s="47">
        <v>3</v>
      </c>
      <c r="F55" s="47"/>
      <c r="G55" s="50" t="s">
        <v>416</v>
      </c>
      <c r="H55" s="80" t="s">
        <v>417</v>
      </c>
      <c r="I55" s="50">
        <v>44790</v>
      </c>
      <c r="J55" s="107" t="s">
        <v>453</v>
      </c>
      <c r="K55" s="48"/>
      <c r="L55" s="44"/>
      <c r="M55" s="48"/>
      <c r="N55" s="50"/>
      <c r="O55" s="105"/>
      <c r="P55" s="54"/>
      <c r="Q55" s="43"/>
      <c r="R55" s="53"/>
      <c r="S55" s="52"/>
    </row>
    <row r="56" spans="1:19" s="5" customFormat="1" ht="21.75" customHeight="1" x14ac:dyDescent="0.2">
      <c r="A56" s="203"/>
      <c r="B56" s="205"/>
      <c r="C56" s="207"/>
      <c r="D56" s="81" t="s">
        <v>130</v>
      </c>
      <c r="E56" s="47">
        <v>3</v>
      </c>
      <c r="F56" s="47"/>
      <c r="G56" s="50">
        <v>44932</v>
      </c>
      <c r="H56" s="80" t="s">
        <v>561</v>
      </c>
      <c r="I56" s="135"/>
      <c r="J56" s="103"/>
      <c r="K56" s="48"/>
      <c r="L56" s="44"/>
      <c r="M56" s="48"/>
      <c r="N56" s="50"/>
      <c r="O56" s="105"/>
      <c r="P56" s="54"/>
      <c r="Q56" s="43"/>
      <c r="R56" s="53"/>
      <c r="S56" s="52"/>
    </row>
    <row r="57" spans="1:19" s="5" customFormat="1" ht="21.75" customHeight="1" x14ac:dyDescent="0.2">
      <c r="A57" s="49">
        <v>41</v>
      </c>
      <c r="B57" s="45" t="s">
        <v>372</v>
      </c>
      <c r="C57" s="42" t="s">
        <v>373</v>
      </c>
      <c r="D57" s="81" t="s">
        <v>125</v>
      </c>
      <c r="E57" s="47">
        <v>3</v>
      </c>
      <c r="F57" s="47"/>
      <c r="G57" s="50">
        <v>44727</v>
      </c>
      <c r="H57" s="80" t="s">
        <v>376</v>
      </c>
      <c r="I57" s="50">
        <v>44728</v>
      </c>
      <c r="J57" s="107" t="s">
        <v>380</v>
      </c>
      <c r="K57" s="48"/>
      <c r="L57" s="44"/>
      <c r="M57" s="48"/>
      <c r="N57" s="50">
        <v>44728</v>
      </c>
      <c r="O57" s="105" t="s">
        <v>379</v>
      </c>
      <c r="P57" s="54"/>
      <c r="Q57" s="43"/>
      <c r="R57" s="53"/>
      <c r="S57" s="52"/>
    </row>
    <row r="58" spans="1:19" s="5" customFormat="1" ht="21.75" customHeight="1" x14ac:dyDescent="0.2">
      <c r="A58" s="49">
        <v>42</v>
      </c>
      <c r="B58" s="45" t="s">
        <v>374</v>
      </c>
      <c r="C58" s="42" t="s">
        <v>375</v>
      </c>
      <c r="D58" s="81" t="s">
        <v>125</v>
      </c>
      <c r="E58" s="47">
        <v>3</v>
      </c>
      <c r="F58" s="47"/>
      <c r="G58" s="50">
        <v>44729</v>
      </c>
      <c r="H58" s="80" t="s">
        <v>382</v>
      </c>
      <c r="I58" s="50">
        <v>44732</v>
      </c>
      <c r="J58" s="107" t="s">
        <v>383</v>
      </c>
      <c r="K58" s="48"/>
      <c r="L58" s="44"/>
      <c r="M58" s="48"/>
      <c r="N58" s="50">
        <v>44732</v>
      </c>
      <c r="O58" s="105" t="s">
        <v>385</v>
      </c>
      <c r="P58" s="54"/>
      <c r="Q58" s="43"/>
      <c r="R58" s="53"/>
      <c r="S58" s="52"/>
    </row>
    <row r="59" spans="1:19" s="5" customFormat="1" ht="21.75" customHeight="1" x14ac:dyDescent="0.2">
      <c r="A59" s="202">
        <v>43</v>
      </c>
      <c r="B59" s="204" t="s">
        <v>377</v>
      </c>
      <c r="C59" s="206" t="s">
        <v>378</v>
      </c>
      <c r="D59" s="81" t="s">
        <v>125</v>
      </c>
      <c r="E59" s="47">
        <v>3</v>
      </c>
      <c r="F59" s="47"/>
      <c r="G59" s="50">
        <v>44729</v>
      </c>
      <c r="H59" s="80" t="s">
        <v>382</v>
      </c>
      <c r="I59" s="50">
        <v>44732</v>
      </c>
      <c r="J59" s="107" t="s">
        <v>384</v>
      </c>
      <c r="K59" s="48"/>
      <c r="L59" s="44"/>
      <c r="M59" s="48"/>
      <c r="N59" s="50">
        <v>44732</v>
      </c>
      <c r="O59" s="105" t="s">
        <v>386</v>
      </c>
      <c r="P59" s="54"/>
      <c r="Q59" s="43"/>
      <c r="R59" s="53"/>
      <c r="S59" s="52"/>
    </row>
    <row r="60" spans="1:19" s="5" customFormat="1" ht="21.75" customHeight="1" x14ac:dyDescent="0.2">
      <c r="A60" s="203"/>
      <c r="B60" s="205"/>
      <c r="C60" s="207"/>
      <c r="D60" s="81" t="s">
        <v>130</v>
      </c>
      <c r="E60" s="47">
        <v>3</v>
      </c>
      <c r="F60" s="47"/>
      <c r="G60" s="50">
        <v>44747</v>
      </c>
      <c r="H60" s="80" t="s">
        <v>387</v>
      </c>
      <c r="I60" s="50">
        <v>44747</v>
      </c>
      <c r="J60" s="107" t="s">
        <v>388</v>
      </c>
      <c r="K60" s="48"/>
      <c r="L60" s="44"/>
      <c r="M60" s="48"/>
      <c r="N60" s="50">
        <v>44747</v>
      </c>
      <c r="O60" s="105" t="s">
        <v>389</v>
      </c>
      <c r="P60" s="54"/>
      <c r="Q60" s="43"/>
      <c r="R60" s="53"/>
      <c r="S60" s="52"/>
    </row>
    <row r="61" spans="1:19" s="5" customFormat="1" ht="21.75" customHeight="1" x14ac:dyDescent="0.2">
      <c r="A61" s="49">
        <v>44</v>
      </c>
      <c r="B61" s="110" t="s">
        <v>392</v>
      </c>
      <c r="C61" s="42" t="s">
        <v>381</v>
      </c>
      <c r="D61" s="81" t="s">
        <v>125</v>
      </c>
      <c r="E61" s="47">
        <v>3</v>
      </c>
      <c r="F61" s="47"/>
      <c r="G61" s="50">
        <v>44785</v>
      </c>
      <c r="H61" s="80" t="s">
        <v>393</v>
      </c>
      <c r="I61" s="135"/>
      <c r="J61" s="136"/>
      <c r="K61" s="48"/>
      <c r="L61" s="44"/>
      <c r="M61" s="48"/>
      <c r="N61" s="134"/>
      <c r="O61" s="105"/>
      <c r="P61" s="54"/>
      <c r="Q61" s="43"/>
      <c r="R61" s="53"/>
      <c r="S61" s="52"/>
    </row>
    <row r="62" spans="1:19" s="5" customFormat="1" ht="21.75" customHeight="1" x14ac:dyDescent="0.2">
      <c r="A62" s="202">
        <v>45</v>
      </c>
      <c r="B62" s="204" t="s">
        <v>423</v>
      </c>
      <c r="C62" s="206" t="s">
        <v>390</v>
      </c>
      <c r="D62" s="81" t="s">
        <v>125</v>
      </c>
      <c r="E62" s="47">
        <v>3</v>
      </c>
      <c r="F62" s="47"/>
      <c r="G62" s="50">
        <v>44788</v>
      </c>
      <c r="H62" s="80" t="s">
        <v>415</v>
      </c>
      <c r="I62" s="50">
        <v>44791</v>
      </c>
      <c r="J62" s="107" t="s">
        <v>431</v>
      </c>
      <c r="K62" s="48"/>
      <c r="L62" s="44"/>
      <c r="M62" s="48"/>
      <c r="N62" s="50">
        <v>44791</v>
      </c>
      <c r="O62" s="105" t="s">
        <v>432</v>
      </c>
      <c r="P62" s="54"/>
      <c r="Q62" s="43"/>
      <c r="R62" s="53"/>
      <c r="S62" s="52"/>
    </row>
    <row r="63" spans="1:19" s="5" customFormat="1" ht="21.75" customHeight="1" x14ac:dyDescent="0.2">
      <c r="A63" s="208"/>
      <c r="B63" s="209"/>
      <c r="C63" s="210"/>
      <c r="D63" s="81" t="s">
        <v>130</v>
      </c>
      <c r="E63" s="47">
        <v>3</v>
      </c>
      <c r="F63" s="47"/>
      <c r="G63" s="50">
        <v>44841</v>
      </c>
      <c r="H63" s="80" t="s">
        <v>469</v>
      </c>
      <c r="I63" s="50">
        <v>44846</v>
      </c>
      <c r="J63" s="140" t="s">
        <v>475</v>
      </c>
      <c r="K63" s="48"/>
      <c r="L63" s="44"/>
      <c r="M63" s="48"/>
      <c r="N63" s="50">
        <v>44846</v>
      </c>
      <c r="O63" s="105" t="s">
        <v>477</v>
      </c>
      <c r="P63" s="54"/>
      <c r="Q63" s="43"/>
      <c r="R63" s="53"/>
      <c r="S63" s="52"/>
    </row>
    <row r="64" spans="1:19" s="5" customFormat="1" ht="21.75" customHeight="1" x14ac:dyDescent="0.2">
      <c r="A64" s="203"/>
      <c r="B64" s="205"/>
      <c r="C64" s="207"/>
      <c r="D64" s="81" t="s">
        <v>291</v>
      </c>
      <c r="E64" s="47"/>
      <c r="F64" s="47"/>
      <c r="G64" s="50">
        <v>44862</v>
      </c>
      <c r="H64" s="80" t="s">
        <v>478</v>
      </c>
      <c r="I64" s="50">
        <v>44867</v>
      </c>
      <c r="J64" s="140" t="s">
        <v>479</v>
      </c>
      <c r="K64" s="48"/>
      <c r="L64" s="44"/>
      <c r="M64" s="48"/>
      <c r="N64" s="50">
        <v>44868</v>
      </c>
      <c r="O64" s="105" t="s">
        <v>480</v>
      </c>
      <c r="P64" s="54"/>
      <c r="Q64" s="43"/>
      <c r="R64" s="53"/>
      <c r="S64" s="52"/>
    </row>
    <row r="65" spans="1:19" s="5" customFormat="1" ht="21.75" customHeight="1" x14ac:dyDescent="0.2">
      <c r="A65" s="202">
        <v>46</v>
      </c>
      <c r="B65" s="204" t="s">
        <v>424</v>
      </c>
      <c r="C65" s="206" t="s">
        <v>391</v>
      </c>
      <c r="D65" s="81" t="s">
        <v>125</v>
      </c>
      <c r="E65" s="47">
        <v>3</v>
      </c>
      <c r="F65" s="47"/>
      <c r="G65" s="50">
        <v>44788</v>
      </c>
      <c r="H65" s="80" t="s">
        <v>410</v>
      </c>
      <c r="I65" s="50">
        <v>44791</v>
      </c>
      <c r="J65" s="107" t="s">
        <v>433</v>
      </c>
      <c r="K65" s="48"/>
      <c r="L65" s="44"/>
      <c r="M65" s="48"/>
      <c r="N65" s="50">
        <v>44791</v>
      </c>
      <c r="O65" s="105" t="s">
        <v>434</v>
      </c>
      <c r="P65" s="54"/>
      <c r="Q65" s="43"/>
      <c r="R65" s="53"/>
      <c r="S65" s="52"/>
    </row>
    <row r="66" spans="1:19" s="5" customFormat="1" ht="21.75" customHeight="1" x14ac:dyDescent="0.2">
      <c r="A66" s="203"/>
      <c r="B66" s="205"/>
      <c r="C66" s="207"/>
      <c r="D66" s="81" t="s">
        <v>130</v>
      </c>
      <c r="E66" s="47"/>
      <c r="F66" s="47"/>
      <c r="G66" s="50">
        <v>44805</v>
      </c>
      <c r="H66" s="80" t="s">
        <v>450</v>
      </c>
      <c r="I66" s="135"/>
      <c r="J66" s="136"/>
      <c r="K66" s="48"/>
      <c r="L66" s="44"/>
      <c r="M66" s="48"/>
      <c r="N66" s="144"/>
      <c r="O66" s="105"/>
      <c r="P66" s="54"/>
      <c r="Q66" s="43"/>
      <c r="R66" s="53"/>
      <c r="S66" s="52"/>
    </row>
    <row r="67" spans="1:19" s="5" customFormat="1" ht="21.75" customHeight="1" x14ac:dyDescent="0.2">
      <c r="A67" s="49">
        <v>47</v>
      </c>
      <c r="B67" s="110" t="s">
        <v>438</v>
      </c>
      <c r="C67" s="42" t="s">
        <v>439</v>
      </c>
      <c r="D67" s="81" t="s">
        <v>125</v>
      </c>
      <c r="E67" s="47">
        <v>3</v>
      </c>
      <c r="F67" s="47"/>
      <c r="G67" s="50">
        <v>44797</v>
      </c>
      <c r="H67" s="80" t="s">
        <v>446</v>
      </c>
      <c r="I67" s="135"/>
      <c r="J67" s="136"/>
      <c r="K67" s="48"/>
      <c r="L67" s="44"/>
      <c r="M67" s="48"/>
      <c r="N67" s="144"/>
      <c r="O67" s="105"/>
      <c r="P67" s="54"/>
      <c r="Q67" s="43"/>
      <c r="R67" s="53"/>
      <c r="S67" s="52"/>
    </row>
    <row r="68" spans="1:19" s="5" customFormat="1" ht="21.75" customHeight="1" x14ac:dyDescent="0.2">
      <c r="A68" s="202">
        <v>48</v>
      </c>
      <c r="B68" s="204" t="s">
        <v>464</v>
      </c>
      <c r="C68" s="206" t="s">
        <v>454</v>
      </c>
      <c r="D68" s="81" t="s">
        <v>125</v>
      </c>
      <c r="E68" s="47">
        <v>3</v>
      </c>
      <c r="F68" s="47"/>
      <c r="G68" s="50">
        <v>44825</v>
      </c>
      <c r="H68" s="80" t="s">
        <v>466</v>
      </c>
      <c r="I68" s="50">
        <v>45202</v>
      </c>
      <c r="J68" s="107" t="s">
        <v>515</v>
      </c>
      <c r="K68" s="48"/>
      <c r="L68" s="44"/>
      <c r="M68" s="48"/>
      <c r="N68" s="144"/>
      <c r="O68" s="105"/>
      <c r="P68" s="54"/>
      <c r="Q68" s="43"/>
      <c r="R68" s="53"/>
      <c r="S68" s="52"/>
    </row>
    <row r="69" spans="1:19" s="5" customFormat="1" ht="21.75" customHeight="1" x14ac:dyDescent="0.2">
      <c r="A69" s="203"/>
      <c r="B69" s="205"/>
      <c r="C69" s="207"/>
      <c r="D69" s="81" t="s">
        <v>130</v>
      </c>
      <c r="E69" s="47">
        <v>3</v>
      </c>
      <c r="F69" s="47"/>
      <c r="G69" s="50">
        <v>44932</v>
      </c>
      <c r="H69" s="80" t="s">
        <v>561</v>
      </c>
      <c r="I69" s="135"/>
      <c r="J69" s="136"/>
      <c r="K69" s="48"/>
      <c r="L69" s="44"/>
      <c r="M69" s="48"/>
      <c r="N69" s="144"/>
      <c r="O69" s="105"/>
      <c r="P69" s="54"/>
      <c r="Q69" s="43"/>
      <c r="R69" s="53"/>
      <c r="S69" s="52"/>
    </row>
    <row r="70" spans="1:19" s="5" customFormat="1" ht="21.75" customHeight="1" x14ac:dyDescent="0.2">
      <c r="A70" s="49">
        <v>49</v>
      </c>
      <c r="B70" s="110" t="s">
        <v>465</v>
      </c>
      <c r="C70" s="42" t="s">
        <v>459</v>
      </c>
      <c r="D70" s="81" t="s">
        <v>125</v>
      </c>
      <c r="E70" s="47">
        <v>3</v>
      </c>
      <c r="F70" s="47"/>
      <c r="G70" s="50">
        <v>44825</v>
      </c>
      <c r="H70" s="80" t="s">
        <v>466</v>
      </c>
      <c r="I70" s="50">
        <v>45202</v>
      </c>
      <c r="J70" s="107" t="s">
        <v>515</v>
      </c>
      <c r="K70" s="48"/>
      <c r="L70" s="44"/>
      <c r="M70" s="48"/>
      <c r="N70" s="144"/>
      <c r="O70" s="105"/>
      <c r="P70" s="54"/>
      <c r="Q70" s="43"/>
      <c r="R70" s="53"/>
      <c r="S70" s="52"/>
    </row>
    <row r="71" spans="1:19" s="5" customFormat="1" ht="21.75" customHeight="1" x14ac:dyDescent="0.2">
      <c r="A71" s="49">
        <v>50</v>
      </c>
      <c r="B71" s="110" t="s">
        <v>463</v>
      </c>
      <c r="C71" s="42" t="s">
        <v>462</v>
      </c>
      <c r="D71" s="81">
        <v>1</v>
      </c>
      <c r="E71" s="47">
        <v>3</v>
      </c>
      <c r="F71" s="47" t="s">
        <v>471</v>
      </c>
      <c r="G71" s="50"/>
      <c r="H71" s="80"/>
      <c r="I71" s="50"/>
      <c r="J71" s="107"/>
      <c r="K71" s="48"/>
      <c r="L71" s="44"/>
      <c r="M71" s="48"/>
      <c r="N71" s="144"/>
      <c r="O71" s="105"/>
      <c r="P71" s="54"/>
      <c r="Q71" s="43"/>
      <c r="R71" s="53"/>
      <c r="S71" s="52" t="s">
        <v>467</v>
      </c>
    </row>
    <row r="72" spans="1:19" s="5" customFormat="1" ht="21.75" customHeight="1" x14ac:dyDescent="0.2">
      <c r="A72" s="202">
        <v>51</v>
      </c>
      <c r="B72" s="204" t="s">
        <v>470</v>
      </c>
      <c r="C72" s="206" t="s">
        <v>468</v>
      </c>
      <c r="D72" s="81" t="s">
        <v>125</v>
      </c>
      <c r="E72" s="47">
        <v>3</v>
      </c>
      <c r="F72" s="47"/>
      <c r="G72" s="50">
        <v>44845</v>
      </c>
      <c r="H72" s="80" t="s">
        <v>474</v>
      </c>
      <c r="I72" s="135"/>
      <c r="J72" s="136"/>
      <c r="K72" s="48"/>
      <c r="L72" s="44"/>
      <c r="M72" s="48"/>
      <c r="N72" s="144"/>
      <c r="O72" s="105"/>
      <c r="P72" s="54"/>
      <c r="Q72" s="43"/>
      <c r="R72" s="53"/>
      <c r="S72" s="52"/>
    </row>
    <row r="73" spans="1:19" s="5" customFormat="1" ht="21.75" customHeight="1" x14ac:dyDescent="0.2">
      <c r="A73" s="203"/>
      <c r="B73" s="205"/>
      <c r="C73" s="207"/>
      <c r="D73" s="81" t="s">
        <v>130</v>
      </c>
      <c r="E73" s="47">
        <v>3</v>
      </c>
      <c r="F73" s="47"/>
      <c r="G73" s="50">
        <v>45085</v>
      </c>
      <c r="H73" s="80" t="s">
        <v>624</v>
      </c>
      <c r="I73" s="135"/>
      <c r="J73" s="171"/>
      <c r="K73" s="48"/>
      <c r="L73" s="44"/>
      <c r="M73" s="48"/>
      <c r="N73" s="144"/>
      <c r="O73" s="105"/>
      <c r="P73" s="54"/>
      <c r="Q73" s="43"/>
      <c r="R73" s="53"/>
      <c r="S73" s="52"/>
    </row>
    <row r="74" spans="1:19" s="5" customFormat="1" ht="21.75" customHeight="1" x14ac:dyDescent="0.2">
      <c r="A74" s="202">
        <v>52</v>
      </c>
      <c r="B74" s="204" t="s">
        <v>484</v>
      </c>
      <c r="C74" s="206" t="s">
        <v>485</v>
      </c>
      <c r="D74" s="81" t="s">
        <v>125</v>
      </c>
      <c r="E74" s="47">
        <v>3</v>
      </c>
      <c r="F74" s="47"/>
      <c r="G74" s="50">
        <v>44880</v>
      </c>
      <c r="H74" s="80" t="s">
        <v>494</v>
      </c>
      <c r="I74" s="50">
        <v>44880</v>
      </c>
      <c r="J74" s="107" t="s">
        <v>504</v>
      </c>
      <c r="K74" s="48"/>
      <c r="L74" s="44"/>
      <c r="M74" s="48"/>
      <c r="N74" s="50">
        <v>44880</v>
      </c>
      <c r="O74" s="105" t="s">
        <v>495</v>
      </c>
      <c r="P74" s="54"/>
      <c r="Q74" s="43"/>
      <c r="R74" s="53"/>
      <c r="S74" s="52"/>
    </row>
    <row r="75" spans="1:19" s="5" customFormat="1" ht="21.75" customHeight="1" x14ac:dyDescent="0.2">
      <c r="A75" s="203"/>
      <c r="B75" s="205"/>
      <c r="C75" s="207"/>
      <c r="D75" s="81" t="s">
        <v>130</v>
      </c>
      <c r="E75" s="47">
        <v>3</v>
      </c>
      <c r="F75" s="47"/>
      <c r="G75" s="50">
        <v>44988</v>
      </c>
      <c r="H75" s="80" t="s">
        <v>599</v>
      </c>
      <c r="I75" s="135"/>
      <c r="J75" s="136"/>
      <c r="K75" s="48"/>
      <c r="L75" s="44"/>
      <c r="M75" s="48"/>
      <c r="N75" s="117"/>
      <c r="O75" s="165"/>
      <c r="P75" s="54"/>
      <c r="Q75" s="43"/>
      <c r="R75" s="53"/>
      <c r="S75" s="52"/>
    </row>
    <row r="76" spans="1:19" s="5" customFormat="1" ht="21.75" customHeight="1" x14ac:dyDescent="0.2">
      <c r="A76" s="202">
        <v>53</v>
      </c>
      <c r="B76" s="204" t="s">
        <v>501</v>
      </c>
      <c r="C76" s="206" t="s">
        <v>502</v>
      </c>
      <c r="D76" s="81" t="s">
        <v>125</v>
      </c>
      <c r="E76" s="47">
        <v>3</v>
      </c>
      <c r="F76" s="47"/>
      <c r="G76" s="50">
        <v>44911</v>
      </c>
      <c r="H76" s="80" t="s">
        <v>522</v>
      </c>
      <c r="I76" s="50">
        <v>44918</v>
      </c>
      <c r="J76" s="107" t="s">
        <v>539</v>
      </c>
      <c r="K76" s="48"/>
      <c r="L76" s="44"/>
      <c r="M76" s="48"/>
      <c r="N76" s="117">
        <v>44918</v>
      </c>
      <c r="O76" s="159" t="s">
        <v>540</v>
      </c>
      <c r="P76" s="54"/>
      <c r="Q76" s="43"/>
      <c r="R76" s="53"/>
      <c r="S76" s="52"/>
    </row>
    <row r="77" spans="1:19" s="5" customFormat="1" ht="21.75" customHeight="1" x14ac:dyDescent="0.2">
      <c r="A77" s="203"/>
      <c r="B77" s="205"/>
      <c r="C77" s="207"/>
      <c r="D77" s="81" t="s">
        <v>130</v>
      </c>
      <c r="E77" s="47">
        <v>3</v>
      </c>
      <c r="F77" s="47"/>
      <c r="G77" s="50">
        <v>44922</v>
      </c>
      <c r="H77" s="80" t="s">
        <v>542</v>
      </c>
      <c r="I77" s="50">
        <v>44922</v>
      </c>
      <c r="J77" s="140" t="s">
        <v>543</v>
      </c>
      <c r="K77" s="48"/>
      <c r="L77" s="44"/>
      <c r="M77" s="48"/>
      <c r="N77" s="50">
        <v>44922</v>
      </c>
      <c r="O77" s="159" t="s">
        <v>544</v>
      </c>
      <c r="P77" s="54"/>
      <c r="Q77" s="43"/>
      <c r="R77" s="53"/>
      <c r="S77" s="52"/>
    </row>
    <row r="78" spans="1:19" s="5" customFormat="1" ht="21.75" customHeight="1" x14ac:dyDescent="0.2">
      <c r="A78" s="202">
        <v>54</v>
      </c>
      <c r="B78" s="204" t="s">
        <v>525</v>
      </c>
      <c r="C78" s="206" t="s">
        <v>512</v>
      </c>
      <c r="D78" s="81" t="s">
        <v>125</v>
      </c>
      <c r="E78" s="47">
        <v>3</v>
      </c>
      <c r="F78" s="47"/>
      <c r="G78" s="50">
        <v>44916</v>
      </c>
      <c r="H78" s="80" t="s">
        <v>529</v>
      </c>
      <c r="I78" s="50">
        <v>44916</v>
      </c>
      <c r="J78" s="140" t="s">
        <v>530</v>
      </c>
      <c r="K78" s="48"/>
      <c r="L78" s="44"/>
      <c r="M78" s="48"/>
      <c r="N78" s="50">
        <v>44916</v>
      </c>
      <c r="O78" s="105" t="s">
        <v>531</v>
      </c>
      <c r="P78" s="54"/>
      <c r="Q78" s="43"/>
      <c r="R78" s="53"/>
      <c r="S78" s="52"/>
    </row>
    <row r="79" spans="1:19" s="5" customFormat="1" ht="21.75" customHeight="1" x14ac:dyDescent="0.2">
      <c r="A79" s="208"/>
      <c r="B79" s="209"/>
      <c r="C79" s="210"/>
      <c r="D79" s="81" t="s">
        <v>130</v>
      </c>
      <c r="E79" s="47">
        <v>3</v>
      </c>
      <c r="F79" s="47"/>
      <c r="G79" s="50">
        <v>44921</v>
      </c>
      <c r="H79" s="80" t="s">
        <v>541</v>
      </c>
      <c r="I79" s="50">
        <v>44925</v>
      </c>
      <c r="J79" s="140" t="s">
        <v>550</v>
      </c>
      <c r="K79" s="48"/>
      <c r="L79" s="44"/>
      <c r="M79" s="48"/>
      <c r="N79" s="50">
        <v>44925</v>
      </c>
      <c r="O79" s="105" t="s">
        <v>551</v>
      </c>
      <c r="P79" s="54"/>
      <c r="Q79" s="43"/>
      <c r="R79" s="53"/>
      <c r="S79" s="52"/>
    </row>
    <row r="80" spans="1:19" s="5" customFormat="1" ht="21.75" customHeight="1" x14ac:dyDescent="0.2">
      <c r="A80" s="203"/>
      <c r="B80" s="205"/>
      <c r="C80" s="207"/>
      <c r="D80" s="81" t="s">
        <v>291</v>
      </c>
      <c r="E80" s="47">
        <v>3</v>
      </c>
      <c r="F80" s="47"/>
      <c r="G80" s="50">
        <v>44946</v>
      </c>
      <c r="H80" s="80" t="s">
        <v>581</v>
      </c>
      <c r="I80" s="135"/>
      <c r="J80" s="163"/>
      <c r="K80" s="48"/>
      <c r="L80" s="44"/>
      <c r="M80" s="48"/>
      <c r="N80" s="144"/>
      <c r="O80" s="105"/>
      <c r="P80" s="54"/>
      <c r="Q80" s="43"/>
      <c r="R80" s="53"/>
      <c r="S80" s="52"/>
    </row>
    <row r="81" spans="1:20" s="5" customFormat="1" ht="21.75" customHeight="1" x14ac:dyDescent="0.2">
      <c r="A81" s="39">
        <v>55</v>
      </c>
      <c r="B81" s="160" t="s">
        <v>558</v>
      </c>
      <c r="C81" s="42" t="s">
        <v>559</v>
      </c>
      <c r="D81" s="81" t="s">
        <v>125</v>
      </c>
      <c r="E81" s="47">
        <v>3</v>
      </c>
      <c r="F81" s="47"/>
      <c r="G81" s="50">
        <v>44932</v>
      </c>
      <c r="H81" s="80" t="s">
        <v>561</v>
      </c>
      <c r="I81" s="135"/>
      <c r="J81" s="163"/>
      <c r="K81" s="48"/>
      <c r="L81" s="44"/>
      <c r="M81" s="48"/>
      <c r="N81" s="144"/>
      <c r="O81" s="105"/>
      <c r="P81" s="54"/>
      <c r="Q81" s="43"/>
      <c r="R81" s="53"/>
      <c r="S81" s="52"/>
    </row>
    <row r="82" spans="1:20" s="5" customFormat="1" ht="21.75" customHeight="1" x14ac:dyDescent="0.2">
      <c r="A82" s="39">
        <v>56</v>
      </c>
      <c r="B82" s="160" t="s">
        <v>564</v>
      </c>
      <c r="C82" s="42" t="s">
        <v>565</v>
      </c>
      <c r="D82" s="81" t="s">
        <v>125</v>
      </c>
      <c r="E82" s="47">
        <v>3</v>
      </c>
      <c r="F82" s="47"/>
      <c r="G82" s="79">
        <v>44935</v>
      </c>
      <c r="H82" s="80" t="s">
        <v>573</v>
      </c>
      <c r="I82" s="79">
        <v>44941</v>
      </c>
      <c r="J82" s="97" t="s">
        <v>654</v>
      </c>
      <c r="K82" s="48"/>
      <c r="L82" s="44"/>
      <c r="M82" s="48"/>
      <c r="N82" s="144"/>
      <c r="O82" s="105"/>
      <c r="P82" s="54"/>
      <c r="Q82" s="43"/>
      <c r="R82" s="53"/>
      <c r="S82" s="52"/>
    </row>
    <row r="83" spans="1:20" s="5" customFormat="1" ht="21.75" customHeight="1" x14ac:dyDescent="0.2">
      <c r="A83" s="39">
        <v>57</v>
      </c>
      <c r="B83" s="160" t="s">
        <v>585</v>
      </c>
      <c r="C83" s="42" t="s">
        <v>570</v>
      </c>
      <c r="D83" s="81" t="s">
        <v>125</v>
      </c>
      <c r="E83" s="47">
        <v>3</v>
      </c>
      <c r="F83" s="47"/>
      <c r="G83" s="79">
        <v>44935</v>
      </c>
      <c r="H83" s="80" t="s">
        <v>573</v>
      </c>
      <c r="I83" s="79">
        <v>44941</v>
      </c>
      <c r="J83" s="97" t="s">
        <v>654</v>
      </c>
      <c r="K83" s="48"/>
      <c r="L83" s="44"/>
      <c r="M83" s="48"/>
      <c r="N83" s="144"/>
      <c r="O83" s="105"/>
      <c r="P83" s="54"/>
      <c r="Q83" s="43"/>
      <c r="R83" s="53"/>
      <c r="S83" s="52"/>
    </row>
    <row r="84" spans="1:20" s="5" customFormat="1" ht="21.75" customHeight="1" x14ac:dyDescent="0.2">
      <c r="A84" s="39">
        <v>58</v>
      </c>
      <c r="B84" s="160" t="s">
        <v>571</v>
      </c>
      <c r="C84" s="42" t="s">
        <v>572</v>
      </c>
      <c r="D84" s="81" t="s">
        <v>125</v>
      </c>
      <c r="E84" s="47">
        <v>3</v>
      </c>
      <c r="F84" s="47"/>
      <c r="G84" s="79">
        <v>44935</v>
      </c>
      <c r="H84" s="80" t="s">
        <v>573</v>
      </c>
      <c r="I84" s="79">
        <v>44941</v>
      </c>
      <c r="J84" s="97" t="s">
        <v>654</v>
      </c>
      <c r="K84" s="48"/>
      <c r="L84" s="44"/>
      <c r="M84" s="48"/>
      <c r="N84" s="144"/>
      <c r="O84" s="105"/>
      <c r="P84" s="54"/>
      <c r="Q84" s="43"/>
      <c r="R84" s="53"/>
      <c r="S84" s="52"/>
    </row>
    <row r="85" spans="1:20" s="5" customFormat="1" ht="21.75" customHeight="1" x14ac:dyDescent="0.2">
      <c r="A85" s="39">
        <v>59</v>
      </c>
      <c r="B85" s="160" t="s">
        <v>574</v>
      </c>
      <c r="C85" s="42" t="s">
        <v>575</v>
      </c>
      <c r="D85" s="81" t="s">
        <v>125</v>
      </c>
      <c r="E85" s="47">
        <v>3</v>
      </c>
      <c r="F85" s="47"/>
      <c r="G85" s="79">
        <v>44936</v>
      </c>
      <c r="H85" s="80" t="s">
        <v>578</v>
      </c>
      <c r="I85" s="79">
        <v>44941</v>
      </c>
      <c r="J85" s="97" t="s">
        <v>654</v>
      </c>
      <c r="K85" s="48"/>
      <c r="L85" s="44"/>
      <c r="M85" s="48"/>
      <c r="N85" s="144"/>
      <c r="O85" s="105"/>
      <c r="P85" s="54"/>
      <c r="Q85" s="43"/>
      <c r="R85" s="53"/>
      <c r="S85" s="52"/>
    </row>
    <row r="86" spans="1:20" s="5" customFormat="1" ht="21.75" customHeight="1" x14ac:dyDescent="0.2">
      <c r="A86" s="39">
        <v>60</v>
      </c>
      <c r="B86" s="110" t="s">
        <v>576</v>
      </c>
      <c r="C86" s="42" t="s">
        <v>577</v>
      </c>
      <c r="D86" s="81" t="s">
        <v>125</v>
      </c>
      <c r="E86" s="47">
        <v>3</v>
      </c>
      <c r="F86" s="79"/>
      <c r="G86" s="79">
        <v>44994</v>
      </c>
      <c r="H86" s="80" t="s">
        <v>587</v>
      </c>
      <c r="I86" s="161"/>
      <c r="J86" s="162"/>
      <c r="K86" s="48"/>
      <c r="L86" s="44"/>
      <c r="M86" s="48"/>
      <c r="N86" s="144"/>
      <c r="O86" s="105"/>
      <c r="P86" s="54"/>
      <c r="Q86" s="43"/>
      <c r="R86" s="53"/>
      <c r="S86" s="52" t="s">
        <v>600</v>
      </c>
    </row>
    <row r="87" spans="1:20" s="5" customFormat="1" ht="21.75" customHeight="1" x14ac:dyDescent="0.2">
      <c r="A87" s="39">
        <v>61</v>
      </c>
      <c r="B87" s="110" t="s">
        <v>580</v>
      </c>
      <c r="C87" s="42" t="s">
        <v>579</v>
      </c>
      <c r="D87" s="81" t="s">
        <v>125</v>
      </c>
      <c r="E87" s="47">
        <v>3</v>
      </c>
      <c r="F87" s="79">
        <v>44939</v>
      </c>
      <c r="G87" s="79">
        <v>44939</v>
      </c>
      <c r="H87" s="80" t="s">
        <v>587</v>
      </c>
      <c r="I87" s="161"/>
      <c r="J87" s="162"/>
      <c r="K87" s="48"/>
      <c r="L87" s="44"/>
      <c r="M87" s="48"/>
      <c r="N87" s="144"/>
      <c r="O87" s="105"/>
      <c r="P87" s="54"/>
      <c r="Q87" s="43"/>
      <c r="R87" s="53"/>
      <c r="S87" s="52"/>
    </row>
    <row r="88" spans="1:20" s="5" customFormat="1" ht="21.75" customHeight="1" x14ac:dyDescent="0.2">
      <c r="A88" s="39">
        <v>62</v>
      </c>
      <c r="B88" s="110" t="s">
        <v>583</v>
      </c>
      <c r="C88" s="42" t="s">
        <v>582</v>
      </c>
      <c r="D88" s="81" t="s">
        <v>125</v>
      </c>
      <c r="E88" s="47">
        <v>3</v>
      </c>
      <c r="F88" s="79">
        <v>44939</v>
      </c>
      <c r="G88" s="79">
        <v>44939</v>
      </c>
      <c r="H88" s="80" t="s">
        <v>587</v>
      </c>
      <c r="I88" s="161"/>
      <c r="J88" s="162"/>
      <c r="K88" s="48"/>
      <c r="L88" s="44"/>
      <c r="M88" s="48"/>
      <c r="N88" s="144"/>
      <c r="O88" s="105"/>
      <c r="P88" s="54"/>
      <c r="Q88" s="43"/>
      <c r="R88" s="53"/>
      <c r="S88" s="52"/>
    </row>
    <row r="89" spans="1:20" s="5" customFormat="1" ht="28.5" customHeight="1" x14ac:dyDescent="0.2">
      <c r="A89" s="202">
        <v>63</v>
      </c>
      <c r="B89" s="253" t="s">
        <v>598</v>
      </c>
      <c r="C89" s="206" t="s">
        <v>597</v>
      </c>
      <c r="D89" s="81" t="s">
        <v>125</v>
      </c>
      <c r="E89" s="47">
        <v>3</v>
      </c>
      <c r="F89" s="47"/>
      <c r="G89" s="50">
        <v>44988</v>
      </c>
      <c r="H89" s="80" t="s">
        <v>599</v>
      </c>
      <c r="I89" s="135"/>
      <c r="J89" s="136"/>
      <c r="K89" s="53"/>
      <c r="L89" s="43"/>
      <c r="M89" s="53"/>
      <c r="N89" s="54"/>
      <c r="O89" s="43"/>
      <c r="P89" s="54"/>
      <c r="Q89" s="43"/>
      <c r="R89" s="53"/>
      <c r="S89" s="55"/>
    </row>
    <row r="90" spans="1:20" s="5" customFormat="1" ht="28.5" customHeight="1" x14ac:dyDescent="0.2">
      <c r="A90" s="203"/>
      <c r="B90" s="254"/>
      <c r="C90" s="207"/>
      <c r="D90" s="81" t="s">
        <v>130</v>
      </c>
      <c r="E90" s="47">
        <v>3</v>
      </c>
      <c r="F90" s="47"/>
      <c r="G90" s="50">
        <v>45407</v>
      </c>
      <c r="H90" s="80" t="s">
        <v>775</v>
      </c>
      <c r="I90" s="50">
        <v>45408</v>
      </c>
      <c r="J90" s="107" t="s">
        <v>779</v>
      </c>
      <c r="K90" s="53"/>
      <c r="L90" s="43"/>
      <c r="M90" s="53"/>
      <c r="N90" s="50">
        <v>45408</v>
      </c>
      <c r="O90" s="105" t="s">
        <v>776</v>
      </c>
      <c r="P90" s="54"/>
      <c r="Q90" s="43"/>
      <c r="R90" s="53"/>
      <c r="S90" s="55"/>
    </row>
    <row r="91" spans="1:20" ht="22.5" x14ac:dyDescent="0.2">
      <c r="A91" s="39">
        <v>64</v>
      </c>
      <c r="B91" s="84" t="s">
        <v>603</v>
      </c>
      <c r="C91" s="42" t="s">
        <v>601</v>
      </c>
      <c r="D91" s="81"/>
      <c r="E91" s="47"/>
      <c r="F91" s="47"/>
      <c r="G91" s="50"/>
      <c r="H91" s="140"/>
      <c r="I91" s="166"/>
      <c r="J91" s="167"/>
      <c r="K91" s="168"/>
      <c r="L91" s="43"/>
      <c r="M91" s="53"/>
      <c r="N91" s="54"/>
      <c r="O91" s="43"/>
      <c r="P91" s="54"/>
      <c r="Q91" s="43"/>
      <c r="R91" s="53"/>
      <c r="S91" s="55"/>
      <c r="T91" s="2" t="s">
        <v>602</v>
      </c>
    </row>
    <row r="92" spans="1:20" ht="21" customHeight="1" x14ac:dyDescent="0.2">
      <c r="A92" s="202">
        <v>65</v>
      </c>
      <c r="B92" s="253" t="s">
        <v>610</v>
      </c>
      <c r="C92" s="206" t="s">
        <v>604</v>
      </c>
      <c r="D92" s="81" t="s">
        <v>125</v>
      </c>
      <c r="E92" s="47">
        <v>3</v>
      </c>
      <c r="F92" s="47"/>
      <c r="G92" s="50">
        <v>45071</v>
      </c>
      <c r="H92" s="80" t="s">
        <v>620</v>
      </c>
      <c r="I92" s="50">
        <v>45075</v>
      </c>
      <c r="J92" s="140" t="s">
        <v>623</v>
      </c>
      <c r="K92" s="168"/>
      <c r="L92" s="43"/>
      <c r="M92" s="53"/>
      <c r="N92" s="50">
        <v>45075</v>
      </c>
      <c r="O92" s="105" t="s">
        <v>622</v>
      </c>
      <c r="P92" s="54"/>
      <c r="Q92" s="43"/>
      <c r="R92" s="53"/>
      <c r="S92" s="55"/>
    </row>
    <row r="93" spans="1:20" ht="21" customHeight="1" x14ac:dyDescent="0.2">
      <c r="A93" s="203"/>
      <c r="B93" s="254"/>
      <c r="C93" s="207"/>
      <c r="D93" s="81" t="s">
        <v>130</v>
      </c>
      <c r="E93" s="47">
        <v>3</v>
      </c>
      <c r="F93" s="47"/>
      <c r="G93" s="50">
        <v>45085</v>
      </c>
      <c r="H93" s="80" t="s">
        <v>625</v>
      </c>
      <c r="I93" s="50">
        <v>45086</v>
      </c>
      <c r="J93" s="140" t="s">
        <v>829</v>
      </c>
      <c r="K93" s="168"/>
      <c r="L93" s="43"/>
      <c r="M93" s="53"/>
      <c r="N93" s="50">
        <v>45086</v>
      </c>
      <c r="O93" s="105" t="s">
        <v>626</v>
      </c>
      <c r="P93" s="54"/>
      <c r="Q93" s="43"/>
      <c r="R93" s="53"/>
      <c r="S93" s="55"/>
    </row>
    <row r="94" spans="1:20" ht="21" customHeight="1" x14ac:dyDescent="0.2">
      <c r="A94" s="39">
        <v>66</v>
      </c>
      <c r="B94" s="109" t="s">
        <v>605</v>
      </c>
      <c r="C94" s="42" t="s">
        <v>606</v>
      </c>
      <c r="D94" s="81"/>
      <c r="E94" s="47"/>
      <c r="F94" s="47"/>
      <c r="G94" s="50"/>
      <c r="H94" s="140"/>
      <c r="I94" s="166"/>
      <c r="J94" s="167"/>
      <c r="K94" s="168"/>
      <c r="L94" s="43"/>
      <c r="M94" s="53"/>
      <c r="N94" s="54"/>
      <c r="O94" s="43"/>
      <c r="P94" s="54"/>
      <c r="Q94" s="43"/>
      <c r="R94" s="53"/>
      <c r="S94" s="55"/>
    </row>
    <row r="95" spans="1:20" ht="22.5" x14ac:dyDescent="0.2">
      <c r="A95" s="39">
        <v>67</v>
      </c>
      <c r="B95" s="157" t="s">
        <v>611</v>
      </c>
      <c r="C95" s="42" t="s">
        <v>612</v>
      </c>
      <c r="D95" s="81"/>
      <c r="E95" s="47"/>
      <c r="F95" s="47"/>
      <c r="G95" s="50"/>
      <c r="H95" s="140"/>
      <c r="I95" s="166"/>
      <c r="J95" s="167"/>
      <c r="K95" s="168"/>
      <c r="L95" s="43"/>
      <c r="M95" s="53"/>
      <c r="N95" s="54"/>
      <c r="O95" s="43"/>
      <c r="P95" s="54"/>
      <c r="Q95" s="43"/>
      <c r="R95" s="53"/>
      <c r="S95" s="55"/>
    </row>
    <row r="96" spans="1:20" ht="20.25" customHeight="1" x14ac:dyDescent="0.2">
      <c r="A96" s="202">
        <v>68</v>
      </c>
      <c r="B96" s="253" t="s">
        <v>689</v>
      </c>
      <c r="C96" s="206" t="s">
        <v>690</v>
      </c>
      <c r="D96" s="81" t="s">
        <v>125</v>
      </c>
      <c r="E96" s="47">
        <v>3</v>
      </c>
      <c r="F96" s="47"/>
      <c r="G96" s="50">
        <v>45279</v>
      </c>
      <c r="H96" s="80" t="s">
        <v>694</v>
      </c>
      <c r="I96" s="135"/>
      <c r="J96" s="136"/>
      <c r="K96" s="168"/>
      <c r="L96" s="43"/>
      <c r="M96" s="53"/>
      <c r="N96" s="54"/>
      <c r="O96" s="43"/>
      <c r="P96" s="54"/>
      <c r="Q96" s="43"/>
      <c r="R96" s="53"/>
      <c r="S96" s="55"/>
    </row>
    <row r="97" spans="1:19" ht="20.25" customHeight="1" x14ac:dyDescent="0.2">
      <c r="A97" s="208"/>
      <c r="B97" s="264"/>
      <c r="C97" s="210"/>
      <c r="D97" s="81" t="s">
        <v>130</v>
      </c>
      <c r="E97" s="47">
        <v>3</v>
      </c>
      <c r="F97" s="47"/>
      <c r="G97" s="50">
        <v>45316</v>
      </c>
      <c r="H97" s="80" t="s">
        <v>712</v>
      </c>
      <c r="I97" s="135"/>
      <c r="J97" s="136"/>
      <c r="K97" s="168"/>
      <c r="L97" s="43"/>
      <c r="M97" s="53"/>
      <c r="N97" s="54"/>
      <c r="O97" s="43"/>
      <c r="P97" s="54"/>
      <c r="Q97" s="43"/>
      <c r="R97" s="53"/>
      <c r="S97" s="55"/>
    </row>
    <row r="98" spans="1:19" ht="20.25" customHeight="1" x14ac:dyDescent="0.2">
      <c r="A98" s="203"/>
      <c r="B98" s="254"/>
      <c r="C98" s="207"/>
      <c r="D98" s="81" t="s">
        <v>291</v>
      </c>
      <c r="E98" s="47">
        <v>3</v>
      </c>
      <c r="F98" s="47"/>
      <c r="G98" s="50">
        <v>45355</v>
      </c>
      <c r="H98" s="80" t="s">
        <v>738</v>
      </c>
      <c r="I98" s="135"/>
      <c r="J98" s="136"/>
      <c r="K98" s="168"/>
      <c r="L98" s="43"/>
      <c r="M98" s="53"/>
      <c r="N98" s="54"/>
      <c r="O98" s="43"/>
      <c r="P98" s="54"/>
      <c r="Q98" s="43"/>
      <c r="R98" s="53"/>
      <c r="S98" s="55"/>
    </row>
    <row r="99" spans="1:19" ht="20.25" customHeight="1" x14ac:dyDescent="0.2">
      <c r="A99" s="202">
        <v>69</v>
      </c>
      <c r="B99" s="253" t="s">
        <v>737</v>
      </c>
      <c r="C99" s="206" t="s">
        <v>691</v>
      </c>
      <c r="D99" s="81" t="s">
        <v>125</v>
      </c>
      <c r="E99" s="47">
        <v>3</v>
      </c>
      <c r="F99" s="47"/>
      <c r="G99" s="50">
        <v>45279</v>
      </c>
      <c r="H99" s="80" t="s">
        <v>694</v>
      </c>
      <c r="I99" s="135"/>
      <c r="J99" s="136"/>
      <c r="K99" s="168"/>
      <c r="L99" s="43"/>
      <c r="M99" s="53"/>
      <c r="N99" s="54"/>
      <c r="O99" s="43"/>
      <c r="P99" s="54"/>
      <c r="Q99" s="43"/>
      <c r="R99" s="53"/>
      <c r="S99" s="55"/>
    </row>
    <row r="100" spans="1:19" ht="20.25" customHeight="1" x14ac:dyDescent="0.2">
      <c r="A100" s="208"/>
      <c r="B100" s="264"/>
      <c r="C100" s="210"/>
      <c r="D100" s="81" t="s">
        <v>130</v>
      </c>
      <c r="E100" s="47">
        <v>3</v>
      </c>
      <c r="F100" s="47"/>
      <c r="G100" s="50">
        <v>45316</v>
      </c>
      <c r="H100" s="80" t="s">
        <v>712</v>
      </c>
      <c r="I100" s="135"/>
      <c r="J100" s="136"/>
      <c r="K100" s="168"/>
      <c r="L100" s="43"/>
      <c r="M100" s="53"/>
      <c r="N100" s="54"/>
      <c r="O100" s="43"/>
      <c r="P100" s="54"/>
      <c r="Q100" s="43"/>
      <c r="R100" s="53"/>
      <c r="S100" s="55"/>
    </row>
    <row r="101" spans="1:19" ht="20.25" customHeight="1" x14ac:dyDescent="0.2">
      <c r="A101" s="203"/>
      <c r="B101" s="254"/>
      <c r="C101" s="207"/>
      <c r="D101" s="81" t="s">
        <v>291</v>
      </c>
      <c r="E101" s="47">
        <v>3</v>
      </c>
      <c r="F101" s="47"/>
      <c r="G101" s="50">
        <v>45355</v>
      </c>
      <c r="H101" s="80" t="s">
        <v>738</v>
      </c>
      <c r="I101" s="135"/>
      <c r="J101" s="136"/>
      <c r="K101" s="168"/>
      <c r="L101" s="43"/>
      <c r="M101" s="53"/>
      <c r="N101" s="54"/>
      <c r="O101" s="43"/>
      <c r="P101" s="54"/>
      <c r="Q101" s="43"/>
      <c r="R101" s="53"/>
      <c r="S101" s="55"/>
    </row>
    <row r="102" spans="1:19" ht="21" customHeight="1" x14ac:dyDescent="0.2">
      <c r="A102" s="202">
        <v>70</v>
      </c>
      <c r="B102" s="253" t="s">
        <v>692</v>
      </c>
      <c r="C102" s="206" t="s">
        <v>693</v>
      </c>
      <c r="D102" s="81" t="s">
        <v>125</v>
      </c>
      <c r="E102" s="47">
        <v>3</v>
      </c>
      <c r="F102" s="47"/>
      <c r="G102" s="50">
        <v>45279</v>
      </c>
      <c r="H102" s="80" t="s">
        <v>695</v>
      </c>
      <c r="I102" s="135"/>
      <c r="J102" s="136"/>
      <c r="K102" s="168"/>
      <c r="L102" s="43"/>
      <c r="M102" s="53"/>
      <c r="N102" s="54"/>
      <c r="O102" s="43"/>
      <c r="P102" s="54"/>
      <c r="Q102" s="43"/>
      <c r="R102" s="53"/>
      <c r="S102" s="55"/>
    </row>
    <row r="103" spans="1:19" ht="21" customHeight="1" x14ac:dyDescent="0.2">
      <c r="A103" s="208"/>
      <c r="B103" s="264"/>
      <c r="C103" s="210"/>
      <c r="D103" s="81" t="s">
        <v>130</v>
      </c>
      <c r="E103" s="47">
        <v>3</v>
      </c>
      <c r="F103" s="47"/>
      <c r="G103" s="50">
        <v>45316</v>
      </c>
      <c r="H103" s="80" t="s">
        <v>712</v>
      </c>
      <c r="I103" s="135"/>
      <c r="J103" s="136"/>
      <c r="K103" s="168"/>
      <c r="L103" s="43"/>
      <c r="M103" s="53"/>
      <c r="N103" s="54"/>
      <c r="O103" s="43"/>
      <c r="P103" s="54"/>
      <c r="Q103" s="43"/>
      <c r="R103" s="53"/>
      <c r="S103" s="55"/>
    </row>
    <row r="104" spans="1:19" ht="21" customHeight="1" x14ac:dyDescent="0.2">
      <c r="A104" s="203"/>
      <c r="B104" s="254"/>
      <c r="C104" s="207"/>
      <c r="D104" s="81" t="s">
        <v>291</v>
      </c>
      <c r="E104" s="47">
        <v>3</v>
      </c>
      <c r="F104" s="47"/>
      <c r="G104" s="50">
        <v>45447</v>
      </c>
      <c r="H104" s="80" t="s">
        <v>782</v>
      </c>
      <c r="I104" s="135"/>
      <c r="J104" s="136"/>
      <c r="K104" s="168"/>
      <c r="L104" s="43"/>
      <c r="M104" s="53"/>
      <c r="N104" s="54"/>
      <c r="O104" s="43"/>
      <c r="P104" s="54"/>
      <c r="Q104" s="43"/>
      <c r="R104" s="53"/>
      <c r="S104" s="55"/>
    </row>
    <row r="105" spans="1:19" ht="22.5" x14ac:dyDescent="0.2">
      <c r="A105" s="39">
        <v>71</v>
      </c>
      <c r="B105" s="109" t="s">
        <v>719</v>
      </c>
      <c r="C105" s="42" t="s">
        <v>701</v>
      </c>
      <c r="D105" s="95" t="s">
        <v>125</v>
      </c>
      <c r="E105" s="47">
        <v>3</v>
      </c>
      <c r="F105" s="47"/>
      <c r="G105" s="50">
        <v>45321</v>
      </c>
      <c r="H105" s="80" t="s">
        <v>704</v>
      </c>
      <c r="I105" s="50">
        <v>45322</v>
      </c>
      <c r="J105" s="140" t="s">
        <v>723</v>
      </c>
      <c r="K105" s="168"/>
      <c r="L105" s="43"/>
      <c r="M105" s="53"/>
      <c r="N105" s="50">
        <v>45322</v>
      </c>
      <c r="O105" s="105" t="s">
        <v>724</v>
      </c>
      <c r="P105" s="54"/>
      <c r="Q105" s="43"/>
      <c r="R105" s="53"/>
      <c r="S105" s="55"/>
    </row>
    <row r="106" spans="1:19" ht="21.75" customHeight="1" x14ac:dyDescent="0.2">
      <c r="A106" s="202">
        <v>72</v>
      </c>
      <c r="B106" s="265" t="s">
        <v>721</v>
      </c>
      <c r="C106" s="206" t="s">
        <v>720</v>
      </c>
      <c r="D106" s="81" t="s">
        <v>125</v>
      </c>
      <c r="E106" s="47">
        <v>3</v>
      </c>
      <c r="F106" s="47"/>
      <c r="G106" s="50">
        <v>45328</v>
      </c>
      <c r="H106" s="80" t="s">
        <v>722</v>
      </c>
      <c r="I106" s="135"/>
      <c r="J106" s="136"/>
      <c r="K106" s="168"/>
      <c r="L106" s="43"/>
      <c r="M106" s="53"/>
      <c r="N106" s="54"/>
      <c r="O106" s="43"/>
      <c r="P106" s="54"/>
      <c r="Q106" s="43"/>
      <c r="R106" s="53"/>
      <c r="S106" s="55"/>
    </row>
    <row r="107" spans="1:19" ht="21.75" customHeight="1" x14ac:dyDescent="0.2">
      <c r="A107" s="203"/>
      <c r="B107" s="266"/>
      <c r="C107" s="207"/>
      <c r="D107" s="81" t="s">
        <v>130</v>
      </c>
      <c r="E107" s="47"/>
      <c r="F107" s="47"/>
      <c r="G107" s="50">
        <v>45404</v>
      </c>
      <c r="H107" s="80" t="s">
        <v>760</v>
      </c>
      <c r="I107" s="50">
        <v>45405</v>
      </c>
      <c r="J107" s="140" t="s">
        <v>771</v>
      </c>
      <c r="K107" s="168"/>
      <c r="L107" s="43"/>
      <c r="M107" s="53"/>
      <c r="N107" s="50">
        <v>45405</v>
      </c>
      <c r="O107" s="105" t="s">
        <v>770</v>
      </c>
      <c r="P107" s="54"/>
      <c r="Q107" s="43"/>
      <c r="R107" s="53"/>
      <c r="S107" s="55"/>
    </row>
    <row r="108" spans="1:19" ht="21.75" customHeight="1" x14ac:dyDescent="0.2">
      <c r="A108" s="39">
        <v>73</v>
      </c>
      <c r="B108" s="109" t="s">
        <v>729</v>
      </c>
      <c r="C108" s="42" t="s">
        <v>733</v>
      </c>
      <c r="D108" s="81" t="s">
        <v>125</v>
      </c>
      <c r="E108" s="47">
        <v>3</v>
      </c>
      <c r="F108" s="47"/>
      <c r="G108" s="50">
        <v>45373</v>
      </c>
      <c r="H108" s="80" t="s">
        <v>755</v>
      </c>
      <c r="I108" s="135"/>
      <c r="J108" s="136"/>
      <c r="K108" s="168"/>
      <c r="L108" s="43"/>
      <c r="M108" s="53"/>
      <c r="N108" s="54"/>
      <c r="O108" s="43"/>
      <c r="P108" s="54"/>
      <c r="Q108" s="43"/>
      <c r="R108" s="53"/>
      <c r="S108" s="55"/>
    </row>
    <row r="109" spans="1:19" ht="21.75" customHeight="1" x14ac:dyDescent="0.2">
      <c r="A109" s="39">
        <v>74</v>
      </c>
      <c r="B109" s="192" t="s">
        <v>730</v>
      </c>
      <c r="C109" s="42" t="s">
        <v>734</v>
      </c>
      <c r="D109" s="81" t="s">
        <v>125</v>
      </c>
      <c r="E109" s="47">
        <v>3</v>
      </c>
      <c r="F109" s="47"/>
      <c r="G109" s="50">
        <v>45373</v>
      </c>
      <c r="H109" s="80" t="s">
        <v>755</v>
      </c>
      <c r="I109" s="135"/>
      <c r="J109" s="136"/>
      <c r="K109" s="168"/>
      <c r="L109" s="43"/>
      <c r="M109" s="53"/>
      <c r="N109" s="54"/>
      <c r="O109" s="43"/>
      <c r="P109" s="54"/>
      <c r="Q109" s="43"/>
      <c r="R109" s="53"/>
      <c r="S109" s="55"/>
    </row>
    <row r="110" spans="1:19" ht="21.75" customHeight="1" x14ac:dyDescent="0.2">
      <c r="A110" s="39">
        <v>75</v>
      </c>
      <c r="B110" s="192" t="s">
        <v>731</v>
      </c>
      <c r="C110" s="42" t="s">
        <v>735</v>
      </c>
      <c r="D110" s="81" t="s">
        <v>125</v>
      </c>
      <c r="E110" s="47">
        <v>3</v>
      </c>
      <c r="F110" s="47"/>
      <c r="G110" s="50">
        <v>45373</v>
      </c>
      <c r="H110" s="80" t="s">
        <v>755</v>
      </c>
      <c r="I110" s="135"/>
      <c r="J110" s="136"/>
      <c r="K110" s="168"/>
      <c r="L110" s="43"/>
      <c r="M110" s="53"/>
      <c r="N110" s="54"/>
      <c r="O110" s="43"/>
      <c r="P110" s="54"/>
      <c r="Q110" s="43"/>
      <c r="R110" s="53"/>
      <c r="S110" s="55"/>
    </row>
    <row r="111" spans="1:19" ht="21.75" customHeight="1" x14ac:dyDescent="0.2">
      <c r="A111" s="39">
        <v>76</v>
      </c>
      <c r="B111" s="192" t="s">
        <v>732</v>
      </c>
      <c r="C111" s="42" t="s">
        <v>736</v>
      </c>
      <c r="D111" s="81" t="s">
        <v>125</v>
      </c>
      <c r="E111" s="47">
        <v>3</v>
      </c>
      <c r="F111" s="47"/>
      <c r="G111" s="50">
        <v>45373</v>
      </c>
      <c r="H111" s="80" t="s">
        <v>755</v>
      </c>
      <c r="I111" s="135"/>
      <c r="J111" s="136"/>
      <c r="K111" s="168"/>
      <c r="L111" s="43"/>
      <c r="M111" s="53"/>
      <c r="N111" s="54"/>
      <c r="O111" s="43"/>
      <c r="P111" s="54"/>
      <c r="Q111" s="43"/>
      <c r="R111" s="53"/>
      <c r="S111" s="55"/>
    </row>
    <row r="112" spans="1:19" ht="21.75" customHeight="1" x14ac:dyDescent="0.2">
      <c r="A112" s="39">
        <v>77</v>
      </c>
      <c r="B112" s="193" t="s">
        <v>751</v>
      </c>
      <c r="C112" s="42" t="s">
        <v>744</v>
      </c>
      <c r="D112" s="81" t="s">
        <v>125</v>
      </c>
      <c r="E112" s="47">
        <v>3</v>
      </c>
      <c r="F112" s="47"/>
      <c r="G112" s="50">
        <v>45373</v>
      </c>
      <c r="H112" s="80" t="s">
        <v>755</v>
      </c>
      <c r="I112" s="135"/>
      <c r="J112" s="136"/>
      <c r="K112" s="168"/>
      <c r="L112" s="43"/>
      <c r="M112" s="53"/>
      <c r="N112" s="54"/>
      <c r="O112" s="43"/>
      <c r="P112" s="54"/>
      <c r="Q112" s="43"/>
      <c r="R112" s="53"/>
      <c r="S112" s="55"/>
    </row>
    <row r="113" spans="1:19" ht="21.75" customHeight="1" x14ac:dyDescent="0.2">
      <c r="A113" s="39">
        <v>78</v>
      </c>
      <c r="B113" s="193" t="s">
        <v>740</v>
      </c>
      <c r="C113" s="42" t="s">
        <v>745</v>
      </c>
      <c r="D113" s="81" t="s">
        <v>125</v>
      </c>
      <c r="E113" s="47">
        <v>3</v>
      </c>
      <c r="F113" s="47"/>
      <c r="G113" s="50">
        <v>45373</v>
      </c>
      <c r="H113" s="80" t="s">
        <v>755</v>
      </c>
      <c r="I113" s="135"/>
      <c r="J113" s="136"/>
      <c r="K113" s="168"/>
      <c r="L113" s="43"/>
      <c r="M113" s="53"/>
      <c r="N113" s="54"/>
      <c r="O113" s="43"/>
      <c r="P113" s="54"/>
      <c r="Q113" s="43"/>
      <c r="R113" s="53"/>
      <c r="S113" s="55"/>
    </row>
    <row r="114" spans="1:19" ht="21.75" customHeight="1" x14ac:dyDescent="0.2">
      <c r="A114" s="39">
        <v>79</v>
      </c>
      <c r="B114" s="193" t="s">
        <v>752</v>
      </c>
      <c r="C114" s="42" t="s">
        <v>746</v>
      </c>
      <c r="D114" s="81" t="s">
        <v>125</v>
      </c>
      <c r="E114" s="47">
        <v>3</v>
      </c>
      <c r="F114" s="47"/>
      <c r="G114" s="50">
        <v>45373</v>
      </c>
      <c r="H114" s="80" t="s">
        <v>755</v>
      </c>
      <c r="I114" s="135"/>
      <c r="J114" s="136"/>
      <c r="K114" s="168"/>
      <c r="L114" s="43"/>
      <c r="M114" s="53"/>
      <c r="N114" s="54"/>
      <c r="O114" s="43"/>
      <c r="P114" s="54"/>
      <c r="Q114" s="43"/>
      <c r="R114" s="53"/>
      <c r="S114" s="55"/>
    </row>
    <row r="115" spans="1:19" ht="21.75" customHeight="1" x14ac:dyDescent="0.2">
      <c r="A115" s="39">
        <v>80</v>
      </c>
      <c r="B115" s="193" t="s">
        <v>753</v>
      </c>
      <c r="C115" s="42" t="s">
        <v>747</v>
      </c>
      <c r="D115" s="81" t="s">
        <v>125</v>
      </c>
      <c r="E115" s="47">
        <v>3</v>
      </c>
      <c r="F115" s="47"/>
      <c r="G115" s="50">
        <v>45373</v>
      </c>
      <c r="H115" s="80" t="s">
        <v>755</v>
      </c>
      <c r="I115" s="135"/>
      <c r="J115" s="136"/>
      <c r="K115" s="168"/>
      <c r="L115" s="43"/>
      <c r="M115" s="53"/>
      <c r="N115" s="54"/>
      <c r="O115" s="43"/>
      <c r="P115" s="54"/>
      <c r="Q115" s="43"/>
      <c r="R115" s="53"/>
      <c r="S115" s="55"/>
    </row>
    <row r="116" spans="1:19" ht="21.75" customHeight="1" x14ac:dyDescent="0.2">
      <c r="A116" s="39">
        <v>81</v>
      </c>
      <c r="B116" s="193" t="s">
        <v>741</v>
      </c>
      <c r="C116" s="42" t="s">
        <v>748</v>
      </c>
      <c r="D116" s="81" t="s">
        <v>125</v>
      </c>
      <c r="E116" s="47">
        <v>3</v>
      </c>
      <c r="F116" s="47"/>
      <c r="G116" s="50">
        <v>45373</v>
      </c>
      <c r="H116" s="80" t="s">
        <v>755</v>
      </c>
      <c r="I116" s="135"/>
      <c r="J116" s="136"/>
      <c r="K116" s="168"/>
      <c r="L116" s="43"/>
      <c r="M116" s="53"/>
      <c r="N116" s="54"/>
      <c r="O116" s="43"/>
      <c r="P116" s="54"/>
      <c r="Q116" s="43"/>
      <c r="R116" s="53"/>
      <c r="S116" s="55"/>
    </row>
    <row r="117" spans="1:19" ht="21.75" customHeight="1" x14ac:dyDescent="0.2">
      <c r="A117" s="39">
        <v>82</v>
      </c>
      <c r="B117" s="129" t="s">
        <v>742</v>
      </c>
      <c r="C117" s="42" t="s">
        <v>749</v>
      </c>
      <c r="D117" s="81"/>
      <c r="E117" s="47"/>
      <c r="F117" s="47"/>
      <c r="G117" s="50"/>
      <c r="H117" s="80"/>
      <c r="I117" s="50"/>
      <c r="J117" s="107"/>
      <c r="K117" s="168"/>
      <c r="L117" s="43"/>
      <c r="M117" s="53"/>
      <c r="N117" s="54"/>
      <c r="O117" s="43"/>
      <c r="P117" s="54"/>
      <c r="Q117" s="43"/>
      <c r="R117" s="53"/>
      <c r="S117" s="55"/>
    </row>
    <row r="118" spans="1:19" ht="21.75" customHeight="1" x14ac:dyDescent="0.2">
      <c r="A118" s="39">
        <v>83</v>
      </c>
      <c r="B118" s="129" t="s">
        <v>743</v>
      </c>
      <c r="C118" s="42" t="s">
        <v>750</v>
      </c>
      <c r="D118" s="81"/>
      <c r="E118" s="47"/>
      <c r="F118" s="47"/>
      <c r="G118" s="50"/>
      <c r="H118" s="80"/>
      <c r="I118" s="50"/>
      <c r="J118" s="107"/>
      <c r="K118" s="168"/>
      <c r="L118" s="43"/>
      <c r="M118" s="53"/>
      <c r="N118" s="54"/>
      <c r="O118" s="43"/>
      <c r="P118" s="54"/>
      <c r="Q118" s="43"/>
      <c r="R118" s="53"/>
      <c r="S118" s="55"/>
    </row>
    <row r="119" spans="1:19" ht="21.75" customHeight="1" x14ac:dyDescent="0.2">
      <c r="A119" s="202">
        <v>84</v>
      </c>
      <c r="B119" s="265" t="s">
        <v>758</v>
      </c>
      <c r="C119" s="206" t="s">
        <v>759</v>
      </c>
      <c r="D119" s="81" t="s">
        <v>125</v>
      </c>
      <c r="E119" s="47">
        <v>3</v>
      </c>
      <c r="F119" s="47"/>
      <c r="G119" s="50">
        <v>45397</v>
      </c>
      <c r="H119" s="80" t="s">
        <v>760</v>
      </c>
      <c r="I119" s="50">
        <v>45403</v>
      </c>
      <c r="J119" s="140" t="s">
        <v>763</v>
      </c>
      <c r="K119" s="168"/>
      <c r="L119" s="43"/>
      <c r="M119" s="53"/>
      <c r="N119" s="50">
        <v>45401</v>
      </c>
      <c r="O119" s="105" t="s">
        <v>762</v>
      </c>
      <c r="P119" s="54"/>
      <c r="Q119" s="43"/>
      <c r="R119" s="53"/>
      <c r="S119" s="55"/>
    </row>
    <row r="120" spans="1:19" ht="21.75" customHeight="1" x14ac:dyDescent="0.2">
      <c r="A120" s="203"/>
      <c r="B120" s="266"/>
      <c r="C120" s="207"/>
      <c r="D120" s="81" t="s">
        <v>130</v>
      </c>
      <c r="E120" s="47">
        <v>3</v>
      </c>
      <c r="F120" s="47"/>
      <c r="G120" s="50">
        <v>45404</v>
      </c>
      <c r="H120" s="80" t="s">
        <v>767</v>
      </c>
      <c r="I120" s="50">
        <v>45405</v>
      </c>
      <c r="J120" s="140" t="s">
        <v>830</v>
      </c>
      <c r="K120" s="168"/>
      <c r="L120" s="43"/>
      <c r="M120" s="53"/>
      <c r="N120" s="144"/>
      <c r="O120" s="105"/>
      <c r="P120" s="54"/>
      <c r="Q120" s="43"/>
      <c r="R120" s="53"/>
      <c r="S120" s="55"/>
    </row>
    <row r="121" spans="1:19" ht="21.75" customHeight="1" x14ac:dyDescent="0.2">
      <c r="A121" s="39">
        <v>85</v>
      </c>
      <c r="B121" s="129" t="s">
        <v>766</v>
      </c>
      <c r="C121" s="42" t="s">
        <v>761</v>
      </c>
      <c r="D121" s="81" t="s">
        <v>125</v>
      </c>
      <c r="E121" s="47">
        <v>3</v>
      </c>
      <c r="F121" s="47"/>
      <c r="G121" s="50">
        <v>45404</v>
      </c>
      <c r="H121" s="80" t="s">
        <v>767</v>
      </c>
      <c r="I121" s="50">
        <v>45405</v>
      </c>
      <c r="J121" s="140" t="s">
        <v>831</v>
      </c>
      <c r="K121" s="168"/>
      <c r="L121" s="43"/>
      <c r="M121" s="53"/>
      <c r="N121" s="54"/>
      <c r="O121" s="43"/>
      <c r="P121" s="54"/>
      <c r="Q121" s="43"/>
      <c r="R121" s="53"/>
      <c r="S121" s="55"/>
    </row>
    <row r="122" spans="1:19" ht="21.75" customHeight="1" x14ac:dyDescent="0.2">
      <c r="A122" s="39">
        <v>86</v>
      </c>
      <c r="B122" s="129" t="s">
        <v>768</v>
      </c>
      <c r="C122" s="42" t="s">
        <v>769</v>
      </c>
      <c r="D122" s="81" t="s">
        <v>125</v>
      </c>
      <c r="E122" s="47">
        <v>3</v>
      </c>
      <c r="F122" s="47"/>
      <c r="G122" s="50">
        <v>45406</v>
      </c>
      <c r="H122" s="80" t="s">
        <v>772</v>
      </c>
      <c r="I122" s="50">
        <v>45408</v>
      </c>
      <c r="J122" s="140" t="s">
        <v>832</v>
      </c>
      <c r="K122" s="168"/>
      <c r="L122" s="43"/>
      <c r="M122" s="53"/>
      <c r="N122" s="54"/>
      <c r="O122" s="43"/>
      <c r="P122" s="54"/>
      <c r="Q122" s="43"/>
      <c r="R122" s="53"/>
      <c r="S122" s="55"/>
    </row>
    <row r="123" spans="1:19" ht="21.75" customHeight="1" x14ac:dyDescent="0.2">
      <c r="A123" s="202">
        <v>87</v>
      </c>
      <c r="B123" s="267" t="s">
        <v>773</v>
      </c>
      <c r="C123" s="206" t="s">
        <v>774</v>
      </c>
      <c r="D123" s="81" t="s">
        <v>130</v>
      </c>
      <c r="E123" s="47">
        <v>3</v>
      </c>
      <c r="F123" s="47"/>
      <c r="G123" s="50">
        <v>45523</v>
      </c>
      <c r="H123" s="80" t="s">
        <v>826</v>
      </c>
      <c r="I123" s="135"/>
      <c r="J123" s="136"/>
      <c r="K123" s="168"/>
      <c r="L123" s="43"/>
      <c r="M123" s="53"/>
      <c r="N123" s="54"/>
      <c r="O123" s="43"/>
      <c r="P123" s="54"/>
      <c r="Q123" s="43"/>
      <c r="R123" s="53"/>
      <c r="S123" s="55"/>
    </row>
    <row r="124" spans="1:19" ht="21.75" customHeight="1" x14ac:dyDescent="0.2">
      <c r="A124" s="203"/>
      <c r="B124" s="268"/>
      <c r="C124" s="207"/>
      <c r="D124" s="81" t="s">
        <v>291</v>
      </c>
      <c r="E124" s="47">
        <v>3</v>
      </c>
      <c r="F124" s="47"/>
      <c r="G124" s="50">
        <v>45527</v>
      </c>
      <c r="H124" s="80" t="s">
        <v>828</v>
      </c>
      <c r="I124" s="135"/>
      <c r="J124" s="136"/>
      <c r="K124" s="168"/>
      <c r="L124" s="43"/>
      <c r="M124" s="53"/>
      <c r="N124" s="54"/>
      <c r="O124" s="43"/>
      <c r="P124" s="54"/>
      <c r="Q124" s="43"/>
      <c r="R124" s="53"/>
      <c r="S124" s="55"/>
    </row>
    <row r="125" spans="1:19" ht="21.75" customHeight="1" x14ac:dyDescent="0.2">
      <c r="A125" s="39">
        <v>88</v>
      </c>
      <c r="B125" s="129" t="s">
        <v>799</v>
      </c>
      <c r="C125" s="42" t="s">
        <v>800</v>
      </c>
      <c r="D125" s="81"/>
      <c r="E125" s="47"/>
      <c r="F125" s="47"/>
      <c r="G125" s="50"/>
      <c r="H125" s="80"/>
      <c r="I125" s="50"/>
      <c r="J125" s="107"/>
      <c r="K125" s="168"/>
      <c r="L125" s="43"/>
      <c r="M125" s="53"/>
      <c r="N125" s="54"/>
      <c r="O125" s="43"/>
      <c r="P125" s="54"/>
      <c r="Q125" s="43"/>
      <c r="R125" s="53"/>
      <c r="S125" s="55"/>
    </row>
    <row r="126" spans="1:19" ht="27.75" customHeight="1" x14ac:dyDescent="0.2">
      <c r="A126" s="39">
        <v>89</v>
      </c>
      <c r="B126" s="197" t="s">
        <v>805</v>
      </c>
      <c r="C126" s="42" t="s">
        <v>807</v>
      </c>
      <c r="D126" s="81"/>
      <c r="E126" s="47"/>
      <c r="F126" s="47"/>
      <c r="G126" s="50"/>
      <c r="H126" s="80"/>
      <c r="I126" s="50"/>
      <c r="J126" s="107"/>
      <c r="K126" s="168"/>
      <c r="L126" s="43"/>
      <c r="M126" s="53"/>
      <c r="N126" s="54"/>
      <c r="O126" s="43"/>
      <c r="P126" s="54"/>
      <c r="Q126" s="43"/>
      <c r="R126" s="53"/>
      <c r="S126" s="55"/>
    </row>
    <row r="127" spans="1:19" ht="21.75" customHeight="1" x14ac:dyDescent="0.2">
      <c r="A127" s="39">
        <v>90</v>
      </c>
      <c r="B127" s="129" t="s">
        <v>806</v>
      </c>
      <c r="C127" s="42" t="s">
        <v>808</v>
      </c>
      <c r="D127" s="81"/>
      <c r="E127" s="47"/>
      <c r="F127" s="47"/>
      <c r="G127" s="50"/>
      <c r="H127" s="80"/>
      <c r="I127" s="50"/>
      <c r="J127" s="107"/>
      <c r="K127" s="168"/>
      <c r="L127" s="43"/>
      <c r="M127" s="53"/>
      <c r="N127" s="54"/>
      <c r="O127" s="43"/>
      <c r="P127" s="54"/>
      <c r="Q127" s="43"/>
      <c r="R127" s="53"/>
      <c r="S127" s="55"/>
    </row>
    <row r="128" spans="1:19" ht="21.75" customHeight="1" x14ac:dyDescent="0.2">
      <c r="A128" s="202">
        <v>91</v>
      </c>
      <c r="B128" s="265" t="s">
        <v>815</v>
      </c>
      <c r="C128" s="206" t="s">
        <v>816</v>
      </c>
      <c r="D128" s="81" t="s">
        <v>125</v>
      </c>
      <c r="E128" s="47">
        <v>3</v>
      </c>
      <c r="F128" s="47"/>
      <c r="G128" s="50">
        <v>45505</v>
      </c>
      <c r="H128" s="80" t="s">
        <v>817</v>
      </c>
      <c r="I128" s="135"/>
      <c r="J128" s="136"/>
      <c r="K128" s="168"/>
      <c r="L128" s="43"/>
      <c r="M128" s="53"/>
      <c r="N128" s="134">
        <v>45527</v>
      </c>
      <c r="O128" s="105" t="s">
        <v>827</v>
      </c>
      <c r="P128" s="54"/>
      <c r="Q128" s="43"/>
      <c r="R128" s="53"/>
      <c r="S128" s="55"/>
    </row>
    <row r="129" spans="1:19" ht="21.75" customHeight="1" x14ac:dyDescent="0.2">
      <c r="A129" s="203"/>
      <c r="B129" s="266"/>
      <c r="C129" s="207"/>
      <c r="D129" s="81" t="s">
        <v>130</v>
      </c>
      <c r="E129" s="47">
        <v>3</v>
      </c>
      <c r="F129" s="47"/>
      <c r="G129" s="117">
        <v>45555</v>
      </c>
      <c r="H129" s="80" t="s">
        <v>836</v>
      </c>
      <c r="I129" s="170"/>
      <c r="J129" s="163"/>
      <c r="K129" s="168"/>
      <c r="L129" s="43"/>
      <c r="M129" s="53"/>
      <c r="N129" s="134"/>
      <c r="O129" s="105"/>
      <c r="P129" s="54"/>
      <c r="Q129" s="43"/>
      <c r="R129" s="53"/>
      <c r="S129" s="55"/>
    </row>
    <row r="130" spans="1:19" ht="30.75" customHeight="1" x14ac:dyDescent="0.2">
      <c r="A130" s="39"/>
      <c r="B130" s="129"/>
      <c r="C130" s="42"/>
      <c r="D130" s="81"/>
      <c r="E130" s="47"/>
      <c r="F130" s="47"/>
      <c r="G130" s="50"/>
      <c r="H130" s="80"/>
      <c r="I130" s="50"/>
      <c r="J130" s="107"/>
      <c r="K130" s="168"/>
      <c r="L130" s="43"/>
      <c r="M130" s="53"/>
      <c r="N130" s="54"/>
      <c r="O130" s="43"/>
      <c r="P130" s="54"/>
      <c r="Q130" s="43"/>
      <c r="R130" s="53"/>
      <c r="S130" s="55"/>
    </row>
    <row r="131" spans="1:19" ht="21.75" customHeight="1" x14ac:dyDescent="0.2">
      <c r="A131" s="39"/>
      <c r="B131" s="129"/>
      <c r="C131" s="42"/>
      <c r="D131" s="81"/>
      <c r="E131" s="47"/>
      <c r="F131" s="47"/>
      <c r="G131" s="50"/>
      <c r="H131" s="80"/>
      <c r="I131" s="50"/>
      <c r="J131" s="107"/>
      <c r="K131" s="168"/>
      <c r="L131" s="43"/>
      <c r="M131" s="53"/>
      <c r="N131" s="54"/>
      <c r="O131" s="43"/>
      <c r="P131" s="54"/>
      <c r="Q131" s="43"/>
      <c r="R131" s="53"/>
      <c r="S131" s="55"/>
    </row>
    <row r="132" spans="1:19" ht="21.75" customHeight="1" x14ac:dyDescent="0.2">
      <c r="A132" s="39"/>
      <c r="B132" s="129"/>
      <c r="C132" s="42"/>
      <c r="D132" s="81"/>
      <c r="E132" s="47"/>
      <c r="F132" s="47"/>
      <c r="G132" s="50"/>
      <c r="H132" s="80"/>
      <c r="I132" s="50"/>
      <c r="J132" s="107"/>
      <c r="K132" s="168"/>
      <c r="L132" s="43"/>
      <c r="M132" s="53"/>
      <c r="N132" s="54"/>
      <c r="O132" s="43"/>
      <c r="P132" s="54"/>
      <c r="Q132" s="43"/>
      <c r="R132" s="53"/>
      <c r="S132" s="55"/>
    </row>
    <row r="133" spans="1:19" ht="21.75" customHeight="1" x14ac:dyDescent="0.2">
      <c r="A133" s="39"/>
      <c r="B133" s="129"/>
      <c r="C133" s="42"/>
      <c r="D133" s="81"/>
      <c r="E133" s="47"/>
      <c r="F133" s="47"/>
      <c r="G133" s="50"/>
      <c r="H133" s="80"/>
      <c r="I133" s="50"/>
      <c r="J133" s="107"/>
      <c r="K133" s="168"/>
      <c r="L133" s="43"/>
      <c r="M133" s="53"/>
      <c r="N133" s="54"/>
      <c r="O133" s="43"/>
      <c r="P133" s="54"/>
      <c r="Q133" s="43"/>
      <c r="R133" s="53"/>
      <c r="S133" s="55"/>
    </row>
    <row r="134" spans="1:19" ht="26.25" customHeight="1" x14ac:dyDescent="0.2">
      <c r="A134" s="39"/>
      <c r="B134" s="84"/>
      <c r="C134" s="42"/>
      <c r="D134" s="81"/>
      <c r="E134" s="47"/>
      <c r="F134" s="47"/>
      <c r="G134" s="50"/>
      <c r="H134" s="140"/>
      <c r="I134" s="166"/>
      <c r="J134" s="167"/>
      <c r="K134" s="168"/>
      <c r="L134" s="43"/>
      <c r="M134" s="53"/>
      <c r="N134" s="54"/>
      <c r="O134" s="43"/>
      <c r="P134" s="54"/>
      <c r="Q134" s="43"/>
      <c r="R134" s="53"/>
      <c r="S134" s="55"/>
    </row>
    <row r="140" spans="1:19" x14ac:dyDescent="0.2">
      <c r="B140" s="6"/>
    </row>
  </sheetData>
  <mergeCells count="101">
    <mergeCell ref="A23:A24"/>
    <mergeCell ref="B23:B24"/>
    <mergeCell ref="C23:C24"/>
    <mergeCell ref="A76:A77"/>
    <mergeCell ref="B76:B77"/>
    <mergeCell ref="C76:C77"/>
    <mergeCell ref="B62:B64"/>
    <mergeCell ref="C62:C64"/>
    <mergeCell ref="A62:A64"/>
    <mergeCell ref="B68:B69"/>
    <mergeCell ref="A68:A69"/>
    <mergeCell ref="A74:A75"/>
    <mergeCell ref="B74:B75"/>
    <mergeCell ref="A55:A56"/>
    <mergeCell ref="R1:S1"/>
    <mergeCell ref="R2:S2"/>
    <mergeCell ref="C3:M3"/>
    <mergeCell ref="R3:S3"/>
    <mergeCell ref="C4:M4"/>
    <mergeCell ref="R4:S4"/>
    <mergeCell ref="C1:M2"/>
    <mergeCell ref="C31:C33"/>
    <mergeCell ref="C74:C75"/>
    <mergeCell ref="S5:S8"/>
    <mergeCell ref="G6:J6"/>
    <mergeCell ref="K6:M6"/>
    <mergeCell ref="N6:O6"/>
    <mergeCell ref="P6:R6"/>
    <mergeCell ref="G7:H7"/>
    <mergeCell ref="I7:J7"/>
    <mergeCell ref="N7:O7"/>
    <mergeCell ref="P7:R7"/>
    <mergeCell ref="G5:J5"/>
    <mergeCell ref="K5:M5"/>
    <mergeCell ref="N5:R5"/>
    <mergeCell ref="F5:F8"/>
    <mergeCell ref="K7:M7"/>
    <mergeCell ref="D5:D8"/>
    <mergeCell ref="B20:B22"/>
    <mergeCell ref="A20:A22"/>
    <mergeCell ref="C20:C22"/>
    <mergeCell ref="A14:A16"/>
    <mergeCell ref="B14:B16"/>
    <mergeCell ref="C14:C16"/>
    <mergeCell ref="A17:A19"/>
    <mergeCell ref="B17:B19"/>
    <mergeCell ref="C17:C19"/>
    <mergeCell ref="A9:A11"/>
    <mergeCell ref="B9:B11"/>
    <mergeCell ref="C9:C11"/>
    <mergeCell ref="A12:A13"/>
    <mergeCell ref="B12:B13"/>
    <mergeCell ref="C12:C13"/>
    <mergeCell ref="A5:A8"/>
    <mergeCell ref="B5:B8"/>
    <mergeCell ref="C5:C8"/>
    <mergeCell ref="E5:E8"/>
    <mergeCell ref="A31:A33"/>
    <mergeCell ref="B31:B33"/>
    <mergeCell ref="A92:A93"/>
    <mergeCell ref="B92:B93"/>
    <mergeCell ref="B55:B56"/>
    <mergeCell ref="C92:C93"/>
    <mergeCell ref="A72:A73"/>
    <mergeCell ref="B72:B73"/>
    <mergeCell ref="C72:C73"/>
    <mergeCell ref="B78:B80"/>
    <mergeCell ref="A78:A80"/>
    <mergeCell ref="C78:C80"/>
    <mergeCell ref="B89:B90"/>
    <mergeCell ref="A89:A90"/>
    <mergeCell ref="C89:C90"/>
    <mergeCell ref="C55:C56"/>
    <mergeCell ref="C68:C69"/>
    <mergeCell ref="A65:A66"/>
    <mergeCell ref="B65:B66"/>
    <mergeCell ref="C65:C66"/>
    <mergeCell ref="A59:A60"/>
    <mergeCell ref="B59:B60"/>
    <mergeCell ref="C59:C60"/>
    <mergeCell ref="B128:B129"/>
    <mergeCell ref="A128:A129"/>
    <mergeCell ref="C128:C129"/>
    <mergeCell ref="C119:C120"/>
    <mergeCell ref="A106:A107"/>
    <mergeCell ref="B106:B107"/>
    <mergeCell ref="C106:C107"/>
    <mergeCell ref="A96:A98"/>
    <mergeCell ref="A99:A101"/>
    <mergeCell ref="A102:A104"/>
    <mergeCell ref="B119:B120"/>
    <mergeCell ref="A119:A120"/>
    <mergeCell ref="B96:B98"/>
    <mergeCell ref="C96:C98"/>
    <mergeCell ref="B99:B101"/>
    <mergeCell ref="C99:C101"/>
    <mergeCell ref="B102:B104"/>
    <mergeCell ref="C102:C104"/>
    <mergeCell ref="A123:A124"/>
    <mergeCell ref="B123:B124"/>
    <mergeCell ref="C123:C124"/>
  </mergeCells>
  <phoneticPr fontId="30" type="noConversion"/>
  <hyperlinks>
    <hyperlink ref="D9" r:id="rId1" xr:uid="{00000000-0004-0000-0200-000000000000}"/>
    <hyperlink ref="D12" r:id="rId2" xr:uid="{00000000-0004-0000-0200-000001000000}"/>
    <hyperlink ref="D14" r:id="rId3" xr:uid="{00000000-0004-0000-0200-000002000000}"/>
    <hyperlink ref="D17" r:id="rId4" xr:uid="{00000000-0004-0000-0200-000003000000}"/>
    <hyperlink ref="D20" r:id="rId5" xr:uid="{00000000-0004-0000-0200-000004000000}"/>
    <hyperlink ref="D45" r:id="rId6" xr:uid="{00000000-0004-0000-0200-000005000000}"/>
    <hyperlink ref="D23" r:id="rId7" xr:uid="{00000000-0004-0000-0200-000006000000}"/>
    <hyperlink ref="D42" r:id="rId8" xr:uid="{00000000-0004-0000-0200-000007000000}"/>
    <hyperlink ref="D46" r:id="rId9" xr:uid="{00000000-0004-0000-0200-000008000000}"/>
    <hyperlink ref="D49" r:id="rId10" xr:uid="{00000000-0004-0000-0200-000009000000}"/>
    <hyperlink ref="D30" r:id="rId11" xr:uid="{00000000-0004-0000-0200-00000A000000}"/>
    <hyperlink ref="D47" r:id="rId12" xr:uid="{00000000-0004-0000-0200-00000B000000}"/>
    <hyperlink ref="D53" r:id="rId13" xr:uid="{00000000-0004-0000-0200-00000C000000}"/>
    <hyperlink ref="D10" r:id="rId14" display="C" xr:uid="{00000000-0004-0000-0200-00000D000000}"/>
    <hyperlink ref="D15" r:id="rId15" display="A" xr:uid="{00000000-0004-0000-0200-00000E000000}"/>
    <hyperlink ref="D18" r:id="rId16" display="A" xr:uid="{00000000-0004-0000-0200-00000F000000}"/>
    <hyperlink ref="Q46" r:id="rId17" xr:uid="{00000000-0004-0000-0200-000010000000}"/>
    <hyperlink ref="Q53" r:id="rId18" xr:uid="{00000000-0004-0000-0200-000011000000}"/>
    <hyperlink ref="Q30" r:id="rId19" display="BAS1178-TRN 009" xr:uid="{00000000-0004-0000-0200-000012000000}"/>
    <hyperlink ref="D11" r:id="rId20" xr:uid="{00000000-0004-0000-0200-000013000000}"/>
    <hyperlink ref="D13" r:id="rId21" display="A" xr:uid="{00000000-0004-0000-0200-000014000000}"/>
    <hyperlink ref="D16" r:id="rId22" display="A" xr:uid="{00000000-0004-0000-0200-000015000000}"/>
    <hyperlink ref="D19" r:id="rId23" display="A" xr:uid="{00000000-0004-0000-0200-000016000000}"/>
    <hyperlink ref="D21:D22" r:id="rId24" display="A" xr:uid="{00000000-0004-0000-0200-000017000000}"/>
    <hyperlink ref="D24" r:id="rId25" display="A" xr:uid="{00000000-0004-0000-0200-000018000000}"/>
    <hyperlink ref="D48" r:id="rId26" xr:uid="{00000000-0004-0000-0200-000019000000}"/>
    <hyperlink ref="D54" r:id="rId27" xr:uid="{00000000-0004-0000-0200-00001A000000}"/>
    <hyperlink ref="Q47" r:id="rId28" xr:uid="{00000000-0004-0000-0200-00001B000000}"/>
    <hyperlink ref="Q48" r:id="rId29" xr:uid="{00000000-0004-0000-0200-00001C000000}"/>
    <hyperlink ref="Q54" r:id="rId30" xr:uid="{00000000-0004-0000-0200-00001D000000}"/>
    <hyperlink ref="D57" r:id="rId31" xr:uid="{00000000-0004-0000-0200-00001E000000}"/>
    <hyperlink ref="D58" r:id="rId32" xr:uid="{00000000-0004-0000-0200-00001F000000}"/>
    <hyperlink ref="D59" r:id="rId33" xr:uid="{00000000-0004-0000-0200-000020000000}"/>
    <hyperlink ref="D55" r:id="rId34" xr:uid="{00000000-0004-0000-0200-000021000000}"/>
    <hyperlink ref="D60" r:id="rId35" display="A" xr:uid="{00000000-0004-0000-0200-000022000000}"/>
    <hyperlink ref="D61" r:id="rId36" xr:uid="{00000000-0004-0000-0200-000023000000}"/>
    <hyperlink ref="D65" r:id="rId37" xr:uid="{00000000-0004-0000-0200-000024000000}"/>
    <hyperlink ref="D62" r:id="rId38" xr:uid="{00000000-0004-0000-0200-000025000000}"/>
    <hyperlink ref="D67" r:id="rId39" xr:uid="{00000000-0004-0000-0200-000026000000}"/>
    <hyperlink ref="D66" r:id="rId40" display="A" xr:uid="{00000000-0004-0000-0200-000027000000}"/>
    <hyperlink ref="D71" r:id="rId41" display="A,0" xr:uid="{00000000-0004-0000-0200-000028000000}"/>
    <hyperlink ref="D68" r:id="rId42" xr:uid="{00000000-0004-0000-0200-000029000000}"/>
    <hyperlink ref="D70" r:id="rId43" xr:uid="{00000000-0004-0000-0200-00002A000000}"/>
    <hyperlink ref="D63" r:id="rId44" display="A" xr:uid="{00000000-0004-0000-0200-00002B000000}"/>
    <hyperlink ref="D72" r:id="rId45" xr:uid="{00000000-0004-0000-0200-00002C000000}"/>
    <hyperlink ref="D74" r:id="rId46" xr:uid="{00000000-0004-0000-0200-00002D000000}"/>
    <hyperlink ref="D56" r:id="rId47" display="A" xr:uid="{00000000-0004-0000-0200-00002E000000}"/>
    <hyperlink ref="D31" r:id="rId48" xr:uid="{00000000-0004-0000-0200-00002F000000}"/>
    <hyperlink ref="D76" r:id="rId49" xr:uid="{00000000-0004-0000-0200-000030000000}"/>
    <hyperlink ref="D78" r:id="rId50" xr:uid="{00000000-0004-0000-0200-000031000000}"/>
    <hyperlink ref="D79" r:id="rId51" display="A" xr:uid="{00000000-0004-0000-0200-000032000000}"/>
    <hyperlink ref="D77" r:id="rId52" display="A" xr:uid="{00000000-0004-0000-0200-000033000000}"/>
    <hyperlink ref="D32" r:id="rId53" display="A" xr:uid="{00000000-0004-0000-0200-000034000000}"/>
    <hyperlink ref="D40" r:id="rId54" xr:uid="{00000000-0004-0000-0200-000035000000}"/>
    <hyperlink ref="D41" r:id="rId55" xr:uid="{00000000-0004-0000-0200-000036000000}"/>
    <hyperlink ref="D81" r:id="rId56" xr:uid="{00000000-0004-0000-0200-000037000000}"/>
    <hyperlink ref="D69" r:id="rId57" display="A" xr:uid="{00000000-0004-0000-0200-000038000000}"/>
    <hyperlink ref="D38" r:id="rId58" xr:uid="{00000000-0004-0000-0200-000039000000}"/>
    <hyperlink ref="D39" r:id="rId59" xr:uid="{00000000-0004-0000-0200-00003A000000}"/>
    <hyperlink ref="D82" r:id="rId60" xr:uid="{00000000-0004-0000-0200-00003B000000}"/>
    <hyperlink ref="D83" r:id="rId61" xr:uid="{00000000-0004-0000-0200-00003C000000}"/>
    <hyperlink ref="D84" r:id="rId62" xr:uid="{00000000-0004-0000-0200-00003D000000}"/>
    <hyperlink ref="D85" r:id="rId63" xr:uid="{00000000-0004-0000-0200-00003E000000}"/>
    <hyperlink ref="D80" r:id="rId64" display="A" xr:uid="{00000000-0004-0000-0200-00003F000000}"/>
    <hyperlink ref="D34" r:id="rId65" xr:uid="{00000000-0004-0000-0200-000040000000}"/>
    <hyperlink ref="D86" r:id="rId66" xr:uid="{00000000-0004-0000-0200-000041000000}"/>
    <hyperlink ref="D87" r:id="rId67" xr:uid="{00000000-0004-0000-0200-000042000000}"/>
    <hyperlink ref="D88" r:id="rId68" xr:uid="{00000000-0004-0000-0200-000043000000}"/>
    <hyperlink ref="D35" r:id="rId69" xr:uid="{00000000-0004-0000-0200-000044000000}"/>
    <hyperlink ref="D37" r:id="rId70" xr:uid="{00000000-0004-0000-0200-000045000000}"/>
    <hyperlink ref="D36" r:id="rId71" xr:uid="{00000000-0004-0000-0200-000046000000}"/>
    <hyperlink ref="D75" r:id="rId72" display="A" xr:uid="{00000000-0004-0000-0200-000047000000}"/>
    <hyperlink ref="D89" r:id="rId73" xr:uid="{00000000-0004-0000-0200-000048000000}"/>
    <hyperlink ref="D33" r:id="rId74" display="A" xr:uid="{00000000-0004-0000-0200-000049000000}"/>
    <hyperlink ref="D92" r:id="rId75" xr:uid="{00000000-0004-0000-0200-00004A000000}"/>
    <hyperlink ref="D93" r:id="rId76" display="A" xr:uid="{00000000-0004-0000-0200-00004B000000}"/>
    <hyperlink ref="D73" r:id="rId77" display="A" xr:uid="{00000000-0004-0000-0200-00004C000000}"/>
    <hyperlink ref="D96" r:id="rId78" xr:uid="{00000000-0004-0000-0200-00004D000000}"/>
    <hyperlink ref="D99" r:id="rId79" xr:uid="{00000000-0004-0000-0200-00004E000000}"/>
    <hyperlink ref="D102" r:id="rId80" xr:uid="{00000000-0004-0000-0200-00004F000000}"/>
    <hyperlink ref="D97" r:id="rId81" display="A" xr:uid="{00000000-0004-0000-0200-000050000000}"/>
    <hyperlink ref="D100" r:id="rId82" display="A" xr:uid="{00000000-0004-0000-0200-000051000000}"/>
    <hyperlink ref="D103" r:id="rId83" display="A" xr:uid="{00000000-0004-0000-0200-000052000000}"/>
    <hyperlink ref="D105" r:id="rId84" xr:uid="{00000000-0004-0000-0200-000053000000}"/>
    <hyperlink ref="D106" r:id="rId85" xr:uid="{00000000-0004-0000-0200-000054000000}"/>
    <hyperlink ref="D98" r:id="rId86" display="A" xr:uid="{00000000-0004-0000-0200-000055000000}"/>
    <hyperlink ref="D101" r:id="rId87" display="A" xr:uid="{00000000-0004-0000-0200-000056000000}"/>
    <hyperlink ref="D108" r:id="rId88" xr:uid="{00000000-0004-0000-0200-000057000000}"/>
    <hyperlink ref="D109" r:id="rId89" xr:uid="{00000000-0004-0000-0200-000058000000}"/>
    <hyperlink ref="D110" r:id="rId90" xr:uid="{00000000-0004-0000-0200-000059000000}"/>
    <hyperlink ref="D111" r:id="rId91" xr:uid="{00000000-0004-0000-0200-00005A000000}"/>
    <hyperlink ref="D112" r:id="rId92" xr:uid="{00000000-0004-0000-0200-00005B000000}"/>
    <hyperlink ref="D113" r:id="rId93" xr:uid="{00000000-0004-0000-0200-00005C000000}"/>
    <hyperlink ref="D114" r:id="rId94" xr:uid="{00000000-0004-0000-0200-00005D000000}"/>
    <hyperlink ref="D115" r:id="rId95" xr:uid="{00000000-0004-0000-0200-00005E000000}"/>
    <hyperlink ref="D116" r:id="rId96" xr:uid="{00000000-0004-0000-0200-00005F000000}"/>
    <hyperlink ref="D107" r:id="rId97" display="A" xr:uid="{00000000-0004-0000-0200-000060000000}"/>
    <hyperlink ref="D119" r:id="rId98" xr:uid="{00000000-0004-0000-0200-000061000000}"/>
    <hyperlink ref="D121" r:id="rId99" xr:uid="{00000000-0004-0000-0200-000062000000}"/>
    <hyperlink ref="D120" r:id="rId100" display="A" xr:uid="{00000000-0004-0000-0200-000063000000}"/>
    <hyperlink ref="D122" r:id="rId101" xr:uid="{00000000-0004-0000-0200-000064000000}"/>
    <hyperlink ref="D90" r:id="rId102" display="A" xr:uid="{00000000-0004-0000-0200-000065000000}"/>
    <hyperlink ref="D104" r:id="rId103" display="A" xr:uid="{00000000-0004-0000-0200-000066000000}"/>
    <hyperlink ref="D128" r:id="rId104" xr:uid="{AAFAD475-D64D-4C0A-A623-DADC19C04663}"/>
    <hyperlink ref="D123" r:id="rId105" xr:uid="{9DB1B3C3-7540-4451-8828-67E6AD6D008D}"/>
    <hyperlink ref="D124" r:id="rId106" display="B" xr:uid="{C401D524-17FF-4EEC-AAD3-648F96AE5060}"/>
    <hyperlink ref="D129" r:id="rId107" display="A" xr:uid="{9185FF03-2F93-467F-8A31-6206C931DBE8}"/>
  </hyperlinks>
  <printOptions horizontalCentered="1"/>
  <pageMargins left="0.25" right="0.25" top="0.5" bottom="0.5" header="0.25" footer="0.25"/>
  <pageSetup paperSize="9" scale="65" orientation="landscape" r:id="rId108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0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1"/>
  <sheetViews>
    <sheetView tabSelected="1" topLeftCell="A109" workbookViewId="0">
      <selection activeCell="E119" sqref="E119"/>
    </sheetView>
  </sheetViews>
  <sheetFormatPr defaultRowHeight="12.75" x14ac:dyDescent="0.2"/>
  <cols>
    <col min="1" max="1" width="6.83203125" customWidth="1"/>
    <col min="2" max="2" width="11" customWidth="1"/>
    <col min="3" max="3" width="20.83203125" customWidth="1"/>
    <col min="4" max="4" width="71.33203125" customWidth="1"/>
    <col min="5" max="8" width="9.83203125" customWidth="1"/>
    <col min="9" max="9" width="13.33203125" customWidth="1"/>
    <col min="10" max="10" width="10.5" bestFit="1" customWidth="1"/>
    <col min="12" max="12" width="21.83203125" customWidth="1"/>
  </cols>
  <sheetData>
    <row r="1" spans="1:12" ht="36.75" customHeight="1" x14ac:dyDescent="0.2">
      <c r="A1" s="269" t="s">
        <v>40</v>
      </c>
      <c r="B1" s="269"/>
      <c r="C1" s="270"/>
      <c r="D1" s="270"/>
      <c r="E1" s="270"/>
      <c r="F1" s="270"/>
      <c r="G1" s="270"/>
      <c r="H1" s="270"/>
      <c r="I1" s="270"/>
      <c r="J1" s="270"/>
      <c r="K1" s="270"/>
      <c r="L1" s="270"/>
    </row>
    <row r="2" spans="1:12" ht="18.75" x14ac:dyDescent="0.2">
      <c r="A2" s="269" t="s">
        <v>25</v>
      </c>
      <c r="B2" s="269"/>
      <c r="C2" s="270"/>
      <c r="D2" s="270"/>
      <c r="E2" s="270"/>
      <c r="F2" s="270"/>
      <c r="G2" s="270"/>
      <c r="H2" s="270"/>
      <c r="I2" s="270"/>
      <c r="J2" s="270"/>
      <c r="K2" s="270"/>
      <c r="L2" s="270"/>
    </row>
    <row r="3" spans="1:12" ht="23.25" customHeight="1" x14ac:dyDescent="0.2">
      <c r="A3" s="271" t="s">
        <v>26</v>
      </c>
      <c r="B3" s="271"/>
      <c r="C3" s="271"/>
      <c r="D3" s="271"/>
      <c r="E3" s="27"/>
      <c r="F3" s="27"/>
      <c r="G3" s="272" t="s">
        <v>27</v>
      </c>
      <c r="H3" s="272"/>
      <c r="I3" s="272" t="s">
        <v>28</v>
      </c>
      <c r="J3" s="272"/>
      <c r="K3" s="27"/>
      <c r="L3" s="272" t="s">
        <v>2</v>
      </c>
    </row>
    <row r="4" spans="1:12" ht="30" customHeight="1" x14ac:dyDescent="0.2">
      <c r="A4" s="28" t="s">
        <v>29</v>
      </c>
      <c r="B4" s="28" t="s">
        <v>30</v>
      </c>
      <c r="C4" s="57" t="s">
        <v>38</v>
      </c>
      <c r="D4" s="28" t="s">
        <v>31</v>
      </c>
      <c r="E4" s="57" t="s">
        <v>39</v>
      </c>
      <c r="F4" s="28" t="s">
        <v>32</v>
      </c>
      <c r="G4" s="28" t="s">
        <v>33</v>
      </c>
      <c r="H4" s="28" t="s">
        <v>34</v>
      </c>
      <c r="I4" s="29" t="s">
        <v>35</v>
      </c>
      <c r="J4" s="28" t="s">
        <v>36</v>
      </c>
      <c r="K4" s="28" t="s">
        <v>37</v>
      </c>
      <c r="L4" s="272"/>
    </row>
    <row r="5" spans="1:12" ht="25.5" customHeight="1" x14ac:dyDescent="0.2">
      <c r="A5" s="64">
        <v>1</v>
      </c>
      <c r="B5" s="64" t="s">
        <v>127</v>
      </c>
      <c r="C5" s="64" t="s">
        <v>116</v>
      </c>
      <c r="D5" s="122" t="s">
        <v>119</v>
      </c>
      <c r="E5" s="123">
        <v>1</v>
      </c>
      <c r="F5" s="124" t="s">
        <v>125</v>
      </c>
      <c r="G5" s="125" t="s">
        <v>124</v>
      </c>
      <c r="H5" s="125" t="s">
        <v>124</v>
      </c>
      <c r="I5" s="126">
        <v>44467</v>
      </c>
      <c r="J5" s="124" t="s">
        <v>122</v>
      </c>
      <c r="K5" s="95" t="s">
        <v>126</v>
      </c>
      <c r="L5" s="30"/>
    </row>
    <row r="6" spans="1:12" ht="25.5" customHeight="1" x14ac:dyDescent="0.2">
      <c r="A6" s="64">
        <v>2</v>
      </c>
      <c r="B6" s="64" t="s">
        <v>127</v>
      </c>
      <c r="C6" s="119" t="s">
        <v>117</v>
      </c>
      <c r="D6" s="77" t="s">
        <v>120</v>
      </c>
      <c r="E6" s="58">
        <v>6</v>
      </c>
      <c r="F6" s="59" t="s">
        <v>130</v>
      </c>
      <c r="G6" s="62" t="s">
        <v>124</v>
      </c>
      <c r="H6" s="62" t="s">
        <v>124</v>
      </c>
      <c r="I6" s="60" t="s">
        <v>131</v>
      </c>
      <c r="J6" s="59" t="s">
        <v>132</v>
      </c>
      <c r="K6" s="66" t="s">
        <v>126</v>
      </c>
      <c r="L6" s="120"/>
    </row>
    <row r="7" spans="1:12" ht="25.5" customHeight="1" x14ac:dyDescent="0.2">
      <c r="A7" s="64">
        <v>3</v>
      </c>
      <c r="B7" s="64" t="s">
        <v>127</v>
      </c>
      <c r="C7" s="119" t="s">
        <v>118</v>
      </c>
      <c r="D7" s="78" t="s">
        <v>121</v>
      </c>
      <c r="E7" s="58">
        <v>1</v>
      </c>
      <c r="F7" s="59" t="s">
        <v>128</v>
      </c>
      <c r="G7" s="62" t="s">
        <v>124</v>
      </c>
      <c r="H7" s="62" t="s">
        <v>124</v>
      </c>
      <c r="I7" s="60">
        <v>44485</v>
      </c>
      <c r="J7" s="59" t="s">
        <v>123</v>
      </c>
      <c r="K7" s="66" t="s">
        <v>126</v>
      </c>
      <c r="L7" s="121"/>
    </row>
    <row r="8" spans="1:12" ht="25.5" customHeight="1" x14ac:dyDescent="0.2">
      <c r="A8" s="64">
        <v>4</v>
      </c>
      <c r="B8" s="64" t="s">
        <v>127</v>
      </c>
      <c r="C8" s="119" t="s">
        <v>133</v>
      </c>
      <c r="D8" s="78" t="s">
        <v>178</v>
      </c>
      <c r="E8" s="58" t="s">
        <v>367</v>
      </c>
      <c r="F8" s="59" t="s">
        <v>368</v>
      </c>
      <c r="G8" s="62" t="s">
        <v>124</v>
      </c>
      <c r="H8" s="62" t="s">
        <v>124</v>
      </c>
      <c r="I8" s="60">
        <v>44718</v>
      </c>
      <c r="J8" s="59" t="s">
        <v>122</v>
      </c>
      <c r="K8" s="66" t="s">
        <v>126</v>
      </c>
      <c r="L8" s="121"/>
    </row>
    <row r="9" spans="1:12" ht="25.5" customHeight="1" x14ac:dyDescent="0.2">
      <c r="A9" s="64">
        <v>5</v>
      </c>
      <c r="B9" s="64" t="s">
        <v>127</v>
      </c>
      <c r="C9" s="119" t="s">
        <v>145</v>
      </c>
      <c r="D9" s="78" t="s">
        <v>322</v>
      </c>
      <c r="E9" s="58">
        <v>11</v>
      </c>
      <c r="F9" s="59" t="s">
        <v>291</v>
      </c>
      <c r="G9" s="62" t="s">
        <v>124</v>
      </c>
      <c r="H9" s="62" t="s">
        <v>124</v>
      </c>
      <c r="I9" s="60">
        <v>44679</v>
      </c>
      <c r="J9" s="59" t="s">
        <v>122</v>
      </c>
      <c r="K9" s="66" t="s">
        <v>126</v>
      </c>
      <c r="L9" s="121"/>
    </row>
    <row r="10" spans="1:12" ht="25.5" customHeight="1" x14ac:dyDescent="0.2">
      <c r="A10" s="64">
        <v>6</v>
      </c>
      <c r="B10" s="64" t="s">
        <v>127</v>
      </c>
      <c r="C10" s="119" t="s">
        <v>147</v>
      </c>
      <c r="D10" s="77" t="s">
        <v>148</v>
      </c>
      <c r="E10" s="58">
        <v>1</v>
      </c>
      <c r="F10" s="59" t="s">
        <v>359</v>
      </c>
      <c r="G10" s="62" t="s">
        <v>124</v>
      </c>
      <c r="H10" s="62" t="s">
        <v>124</v>
      </c>
      <c r="I10" s="60">
        <v>44707</v>
      </c>
      <c r="J10" s="59" t="s">
        <v>122</v>
      </c>
      <c r="K10" s="66" t="s">
        <v>126</v>
      </c>
      <c r="L10" s="121"/>
    </row>
    <row r="11" spans="1:12" ht="25.5" customHeight="1" x14ac:dyDescent="0.2">
      <c r="A11" s="64">
        <v>7</v>
      </c>
      <c r="B11" s="64" t="s">
        <v>127</v>
      </c>
      <c r="C11" s="119" t="s">
        <v>149</v>
      </c>
      <c r="D11" s="78" t="s">
        <v>150</v>
      </c>
      <c r="E11" s="58">
        <v>10</v>
      </c>
      <c r="F11" s="59" t="s">
        <v>291</v>
      </c>
      <c r="G11" s="62" t="s">
        <v>124</v>
      </c>
      <c r="H11" s="62" t="s">
        <v>124</v>
      </c>
      <c r="I11" s="60">
        <v>44679</v>
      </c>
      <c r="J11" s="59" t="s">
        <v>122</v>
      </c>
      <c r="K11" s="66" t="s">
        <v>126</v>
      </c>
      <c r="L11" s="121"/>
    </row>
    <row r="12" spans="1:12" ht="25.5" customHeight="1" x14ac:dyDescent="0.2">
      <c r="A12" s="64">
        <v>8</v>
      </c>
      <c r="B12" s="64" t="s">
        <v>127</v>
      </c>
      <c r="C12" s="119" t="s">
        <v>151</v>
      </c>
      <c r="D12" s="78" t="s">
        <v>152</v>
      </c>
      <c r="E12" s="62">
        <v>1</v>
      </c>
      <c r="F12" s="62" t="s">
        <v>215</v>
      </c>
      <c r="G12" s="62" t="s">
        <v>124</v>
      </c>
      <c r="H12" s="62" t="s">
        <v>124</v>
      </c>
      <c r="I12" s="63">
        <v>44571</v>
      </c>
      <c r="J12" s="59" t="s">
        <v>134</v>
      </c>
      <c r="K12" s="66" t="s">
        <v>126</v>
      </c>
      <c r="L12" s="121"/>
    </row>
    <row r="13" spans="1:12" ht="25.5" customHeight="1" x14ac:dyDescent="0.2">
      <c r="A13" s="64">
        <v>9</v>
      </c>
      <c r="B13" s="64" t="s">
        <v>127</v>
      </c>
      <c r="C13" s="119" t="s">
        <v>153</v>
      </c>
      <c r="D13" s="78" t="s">
        <v>154</v>
      </c>
      <c r="E13" s="62">
        <v>1</v>
      </c>
      <c r="F13" s="62" t="s">
        <v>215</v>
      </c>
      <c r="G13" s="62" t="s">
        <v>124</v>
      </c>
      <c r="H13" s="62" t="s">
        <v>124</v>
      </c>
      <c r="I13" s="63">
        <v>44571</v>
      </c>
      <c r="J13" s="59" t="s">
        <v>134</v>
      </c>
      <c r="K13" s="89" t="s">
        <v>126</v>
      </c>
      <c r="L13" s="121"/>
    </row>
    <row r="14" spans="1:12" ht="25.5" customHeight="1" x14ac:dyDescent="0.2">
      <c r="A14" s="64">
        <v>10</v>
      </c>
      <c r="B14" s="64" t="s">
        <v>127</v>
      </c>
      <c r="C14" s="119" t="s">
        <v>156</v>
      </c>
      <c r="D14" s="78" t="s">
        <v>157</v>
      </c>
      <c r="E14" s="62">
        <v>2</v>
      </c>
      <c r="F14" s="62" t="s">
        <v>125</v>
      </c>
      <c r="G14" s="62" t="s">
        <v>124</v>
      </c>
      <c r="H14" s="62" t="s">
        <v>124</v>
      </c>
      <c r="I14" s="63">
        <v>44574</v>
      </c>
      <c r="J14" s="58" t="s">
        <v>122</v>
      </c>
      <c r="K14" s="66" t="s">
        <v>126</v>
      </c>
      <c r="L14" s="121"/>
    </row>
    <row r="15" spans="1:12" ht="33" customHeight="1" x14ac:dyDescent="0.2">
      <c r="A15" s="64">
        <v>11</v>
      </c>
      <c r="B15" s="64" t="s">
        <v>127</v>
      </c>
      <c r="C15" s="119" t="s">
        <v>159</v>
      </c>
      <c r="D15" s="78" t="s">
        <v>363</v>
      </c>
      <c r="E15" s="62">
        <v>1</v>
      </c>
      <c r="F15" s="62" t="s">
        <v>130</v>
      </c>
      <c r="G15" s="62" t="s">
        <v>124</v>
      </c>
      <c r="H15" s="62" t="s">
        <v>124</v>
      </c>
      <c r="I15" s="63">
        <v>44669</v>
      </c>
      <c r="J15" s="58" t="s">
        <v>123</v>
      </c>
      <c r="K15" s="66" t="s">
        <v>126</v>
      </c>
      <c r="L15" s="121"/>
    </row>
    <row r="16" spans="1:12" ht="33" customHeight="1" x14ac:dyDescent="0.2">
      <c r="A16" s="64">
        <v>12</v>
      </c>
      <c r="B16" s="64" t="s">
        <v>127</v>
      </c>
      <c r="C16" s="119" t="s">
        <v>160</v>
      </c>
      <c r="D16" s="78" t="s">
        <v>364</v>
      </c>
      <c r="E16" s="62">
        <v>1</v>
      </c>
      <c r="F16" s="62" t="s">
        <v>130</v>
      </c>
      <c r="G16" s="62" t="s">
        <v>124</v>
      </c>
      <c r="H16" s="62" t="s">
        <v>124</v>
      </c>
      <c r="I16" s="63">
        <v>44669</v>
      </c>
      <c r="J16" s="58" t="s">
        <v>123</v>
      </c>
      <c r="K16" s="66" t="s">
        <v>126</v>
      </c>
      <c r="L16" s="121"/>
    </row>
    <row r="17" spans="1:15" ht="33" customHeight="1" x14ac:dyDescent="0.2">
      <c r="A17" s="64">
        <v>13</v>
      </c>
      <c r="B17" s="64" t="s">
        <v>127</v>
      </c>
      <c r="C17" s="64" t="s">
        <v>161</v>
      </c>
      <c r="D17" s="127" t="s">
        <v>365</v>
      </c>
      <c r="E17" s="128">
        <v>1</v>
      </c>
      <c r="F17" s="128" t="s">
        <v>130</v>
      </c>
      <c r="G17" s="128" t="s">
        <v>124</v>
      </c>
      <c r="H17" s="128" t="s">
        <v>124</v>
      </c>
      <c r="I17" s="63">
        <v>44669</v>
      </c>
      <c r="J17" s="58" t="s">
        <v>123</v>
      </c>
      <c r="K17" s="66" t="s">
        <v>126</v>
      </c>
      <c r="L17" s="61"/>
    </row>
    <row r="18" spans="1:15" ht="25.5" customHeight="1" x14ac:dyDescent="0.2">
      <c r="A18" s="64">
        <v>14</v>
      </c>
      <c r="B18" s="64" t="s">
        <v>127</v>
      </c>
      <c r="C18" s="64" t="s">
        <v>162</v>
      </c>
      <c r="D18" s="78" t="s">
        <v>366</v>
      </c>
      <c r="E18" s="62">
        <v>1</v>
      </c>
      <c r="F18" s="62" t="s">
        <v>130</v>
      </c>
      <c r="G18" s="62" t="s">
        <v>124</v>
      </c>
      <c r="H18" s="62" t="s">
        <v>124</v>
      </c>
      <c r="I18" s="63">
        <v>44669</v>
      </c>
      <c r="J18" s="58" t="s">
        <v>123</v>
      </c>
      <c r="K18" s="66" t="s">
        <v>126</v>
      </c>
      <c r="L18" s="65"/>
      <c r="O18" s="30"/>
    </row>
    <row r="19" spans="1:15" ht="25.5" customHeight="1" x14ac:dyDescent="0.2">
      <c r="A19" s="64">
        <v>15</v>
      </c>
      <c r="B19" s="64" t="s">
        <v>127</v>
      </c>
      <c r="C19" s="64" t="s">
        <v>163</v>
      </c>
      <c r="D19" s="78" t="s">
        <v>165</v>
      </c>
      <c r="E19" s="62">
        <v>1</v>
      </c>
      <c r="F19" s="62" t="s">
        <v>130</v>
      </c>
      <c r="G19" s="62" t="s">
        <v>124</v>
      </c>
      <c r="H19" s="62" t="s">
        <v>124</v>
      </c>
      <c r="I19" s="63">
        <v>44669</v>
      </c>
      <c r="J19" s="58" t="s">
        <v>123</v>
      </c>
      <c r="K19" s="66" t="s">
        <v>126</v>
      </c>
      <c r="L19" s="65"/>
    </row>
    <row r="20" spans="1:15" ht="25.5" customHeight="1" x14ac:dyDescent="0.2">
      <c r="A20" s="64">
        <v>16</v>
      </c>
      <c r="B20" s="64" t="s">
        <v>127</v>
      </c>
      <c r="C20" s="64" t="s">
        <v>164</v>
      </c>
      <c r="D20" s="78" t="s">
        <v>166</v>
      </c>
      <c r="E20" s="62">
        <v>1</v>
      </c>
      <c r="F20" s="62" t="s">
        <v>130</v>
      </c>
      <c r="G20" s="62" t="s">
        <v>124</v>
      </c>
      <c r="H20" s="62" t="s">
        <v>124</v>
      </c>
      <c r="I20" s="63">
        <v>44669</v>
      </c>
      <c r="J20" s="58" t="s">
        <v>123</v>
      </c>
      <c r="K20" s="66" t="s">
        <v>126</v>
      </c>
      <c r="L20" s="65"/>
    </row>
    <row r="21" spans="1:15" ht="25.5" customHeight="1" x14ac:dyDescent="0.2">
      <c r="A21" s="64">
        <v>17</v>
      </c>
      <c r="B21" s="64" t="s">
        <v>127</v>
      </c>
      <c r="C21" s="64" t="s">
        <v>167</v>
      </c>
      <c r="D21" s="65" t="s">
        <v>168</v>
      </c>
      <c r="E21" s="62">
        <v>2</v>
      </c>
      <c r="F21" s="62" t="s">
        <v>125</v>
      </c>
      <c r="G21" s="62" t="s">
        <v>124</v>
      </c>
      <c r="H21" s="62" t="s">
        <v>124</v>
      </c>
      <c r="I21" s="63">
        <v>44594</v>
      </c>
      <c r="J21" s="58" t="s">
        <v>122</v>
      </c>
      <c r="K21" s="66" t="s">
        <v>126</v>
      </c>
      <c r="L21" s="65"/>
    </row>
    <row r="22" spans="1:15" ht="25.5" customHeight="1" x14ac:dyDescent="0.2">
      <c r="A22" s="64">
        <v>18</v>
      </c>
      <c r="B22" s="64" t="s">
        <v>127</v>
      </c>
      <c r="C22" s="64" t="s">
        <v>169</v>
      </c>
      <c r="D22" s="88" t="s">
        <v>170</v>
      </c>
      <c r="E22" s="62" t="s">
        <v>217</v>
      </c>
      <c r="F22" s="62" t="s">
        <v>218</v>
      </c>
      <c r="G22" s="62" t="s">
        <v>124</v>
      </c>
      <c r="H22" s="62" t="s">
        <v>124</v>
      </c>
      <c r="I22" s="63">
        <v>44621</v>
      </c>
      <c r="J22" s="59" t="s">
        <v>122</v>
      </c>
      <c r="K22" s="66" t="s">
        <v>126</v>
      </c>
      <c r="L22" s="65"/>
    </row>
    <row r="23" spans="1:15" ht="25.5" customHeight="1" x14ac:dyDescent="0.2">
      <c r="A23" s="64">
        <v>19</v>
      </c>
      <c r="B23" s="64" t="s">
        <v>127</v>
      </c>
      <c r="C23" s="64" t="s">
        <v>171</v>
      </c>
      <c r="D23" s="65" t="s">
        <v>172</v>
      </c>
      <c r="E23" s="62" t="s">
        <v>210</v>
      </c>
      <c r="F23" s="62" t="s">
        <v>212</v>
      </c>
      <c r="G23" s="62" t="s">
        <v>124</v>
      </c>
      <c r="H23" s="62" t="s">
        <v>124</v>
      </c>
      <c r="I23" s="63">
        <v>44617</v>
      </c>
      <c r="J23" s="58" t="s">
        <v>211</v>
      </c>
      <c r="K23" s="66" t="s">
        <v>126</v>
      </c>
      <c r="L23" s="65"/>
    </row>
    <row r="24" spans="1:15" ht="25.5" customHeight="1" x14ac:dyDescent="0.2">
      <c r="A24" s="64">
        <v>20</v>
      </c>
      <c r="B24" s="64" t="s">
        <v>127</v>
      </c>
      <c r="C24" s="64" t="s">
        <v>173</v>
      </c>
      <c r="D24" s="65" t="s">
        <v>174</v>
      </c>
      <c r="E24" s="62">
        <v>2</v>
      </c>
      <c r="F24" s="62" t="s">
        <v>125</v>
      </c>
      <c r="G24" s="62" t="s">
        <v>124</v>
      </c>
      <c r="H24" s="62" t="s">
        <v>124</v>
      </c>
      <c r="I24" s="63">
        <v>44606</v>
      </c>
      <c r="J24" s="58" t="s">
        <v>146</v>
      </c>
      <c r="K24" s="65"/>
      <c r="L24" s="65"/>
    </row>
    <row r="25" spans="1:15" ht="25.5" customHeight="1" x14ac:dyDescent="0.2">
      <c r="A25" s="64">
        <v>21</v>
      </c>
      <c r="B25" s="64" t="s">
        <v>127</v>
      </c>
      <c r="C25" s="64" t="s">
        <v>176</v>
      </c>
      <c r="D25" s="65" t="s">
        <v>177</v>
      </c>
      <c r="E25" s="65"/>
      <c r="F25" s="65"/>
      <c r="G25" s="65"/>
      <c r="H25" s="65"/>
      <c r="I25" s="63"/>
      <c r="J25" s="59" t="s">
        <v>134</v>
      </c>
      <c r="K25" s="65"/>
      <c r="L25" s="65"/>
    </row>
    <row r="26" spans="1:15" ht="25.5" customHeight="1" x14ac:dyDescent="0.2">
      <c r="A26" s="64">
        <v>22</v>
      </c>
      <c r="B26" s="64" t="s">
        <v>127</v>
      </c>
      <c r="C26" s="64" t="s">
        <v>179</v>
      </c>
      <c r="D26" s="90" t="s">
        <v>135</v>
      </c>
      <c r="E26" s="62">
        <v>2</v>
      </c>
      <c r="F26" s="62" t="s">
        <v>125</v>
      </c>
      <c r="G26" s="62" t="s">
        <v>124</v>
      </c>
      <c r="H26" s="62" t="s">
        <v>124</v>
      </c>
      <c r="I26" s="63">
        <v>44594</v>
      </c>
      <c r="J26" s="58" t="s">
        <v>122</v>
      </c>
      <c r="K26" s="66" t="s">
        <v>126</v>
      </c>
      <c r="L26" s="65"/>
    </row>
    <row r="27" spans="1:15" ht="25.5" customHeight="1" x14ac:dyDescent="0.2">
      <c r="A27" s="64">
        <v>23</v>
      </c>
      <c r="B27" s="64" t="s">
        <v>127</v>
      </c>
      <c r="C27" s="64" t="s">
        <v>180</v>
      </c>
      <c r="D27" s="90" t="s">
        <v>181</v>
      </c>
      <c r="E27" s="62">
        <v>1</v>
      </c>
      <c r="F27" s="62" t="s">
        <v>125</v>
      </c>
      <c r="G27" s="62" t="s">
        <v>124</v>
      </c>
      <c r="H27" s="62" t="s">
        <v>124</v>
      </c>
      <c r="I27" s="63">
        <v>44595</v>
      </c>
      <c r="J27" s="58" t="s">
        <v>122</v>
      </c>
      <c r="K27" s="66" t="s">
        <v>126</v>
      </c>
      <c r="L27" s="65"/>
    </row>
    <row r="28" spans="1:15" ht="25.5" customHeight="1" x14ac:dyDescent="0.2">
      <c r="A28" s="64">
        <v>24</v>
      </c>
      <c r="B28" s="64" t="s">
        <v>127</v>
      </c>
      <c r="C28" s="64" t="s">
        <v>182</v>
      </c>
      <c r="D28" s="90" t="s">
        <v>183</v>
      </c>
      <c r="E28" s="62">
        <v>2</v>
      </c>
      <c r="F28" s="62" t="s">
        <v>125</v>
      </c>
      <c r="G28" s="62" t="s">
        <v>124</v>
      </c>
      <c r="H28" s="62" t="s">
        <v>124</v>
      </c>
      <c r="I28" s="63">
        <v>44606</v>
      </c>
      <c r="J28" s="58" t="s">
        <v>134</v>
      </c>
      <c r="K28" s="65"/>
      <c r="L28" s="65" t="s">
        <v>216</v>
      </c>
    </row>
    <row r="29" spans="1:15" ht="25.5" customHeight="1" x14ac:dyDescent="0.2">
      <c r="A29" s="64">
        <v>25</v>
      </c>
      <c r="B29" s="64" t="s">
        <v>127</v>
      </c>
      <c r="C29" s="64" t="s">
        <v>184</v>
      </c>
      <c r="D29" s="90" t="s">
        <v>185</v>
      </c>
      <c r="E29" s="62">
        <v>2</v>
      </c>
      <c r="F29" s="62" t="s">
        <v>125</v>
      </c>
      <c r="G29" s="62" t="s">
        <v>124</v>
      </c>
      <c r="H29" s="62" t="s">
        <v>124</v>
      </c>
      <c r="I29" s="63">
        <v>44606</v>
      </c>
      <c r="J29" s="58" t="s">
        <v>134</v>
      </c>
      <c r="K29" s="65"/>
      <c r="L29" s="65" t="s">
        <v>216</v>
      </c>
    </row>
    <row r="30" spans="1:15" ht="25.5" customHeight="1" x14ac:dyDescent="0.2">
      <c r="A30" s="64">
        <v>26</v>
      </c>
      <c r="B30" s="64" t="s">
        <v>127</v>
      </c>
      <c r="C30" s="64" t="s">
        <v>186</v>
      </c>
      <c r="D30" s="90" t="s">
        <v>187</v>
      </c>
      <c r="E30" s="62">
        <v>2</v>
      </c>
      <c r="F30" s="62" t="s">
        <v>125</v>
      </c>
      <c r="G30" s="62" t="s">
        <v>124</v>
      </c>
      <c r="H30" s="62" t="s">
        <v>124</v>
      </c>
      <c r="I30" s="63">
        <v>44606</v>
      </c>
      <c r="J30" s="58" t="s">
        <v>134</v>
      </c>
      <c r="K30" s="65"/>
      <c r="L30" s="65" t="s">
        <v>216</v>
      </c>
    </row>
    <row r="31" spans="1:15" ht="25.5" customHeight="1" x14ac:dyDescent="0.2">
      <c r="A31" s="64">
        <v>27</v>
      </c>
      <c r="B31" s="64" t="s">
        <v>127</v>
      </c>
      <c r="C31" s="64" t="s">
        <v>188</v>
      </c>
      <c r="D31" s="90" t="s">
        <v>189</v>
      </c>
      <c r="E31" s="62">
        <v>1</v>
      </c>
      <c r="F31" s="62" t="s">
        <v>125</v>
      </c>
      <c r="G31" s="62" t="s">
        <v>124</v>
      </c>
      <c r="H31" s="62" t="s">
        <v>124</v>
      </c>
      <c r="I31" s="63">
        <v>44603</v>
      </c>
      <c r="J31" s="58" t="s">
        <v>122</v>
      </c>
      <c r="K31" s="66" t="s">
        <v>126</v>
      </c>
      <c r="L31" s="65"/>
    </row>
    <row r="32" spans="1:15" ht="25.5" customHeight="1" x14ac:dyDescent="0.2">
      <c r="A32" s="64">
        <v>28</v>
      </c>
      <c r="B32" s="64" t="s">
        <v>127</v>
      </c>
      <c r="C32" s="64" t="s">
        <v>190</v>
      </c>
      <c r="D32" s="90" t="s">
        <v>191</v>
      </c>
      <c r="E32" s="62">
        <v>1</v>
      </c>
      <c r="F32" s="62" t="s">
        <v>125</v>
      </c>
      <c r="G32" s="62" t="s">
        <v>124</v>
      </c>
      <c r="H32" s="62" t="s">
        <v>124</v>
      </c>
      <c r="I32" s="63">
        <v>44609</v>
      </c>
      <c r="J32" s="64" t="s">
        <v>132</v>
      </c>
      <c r="K32" s="65"/>
      <c r="L32" s="65"/>
    </row>
    <row r="33" spans="1:12" ht="25.5" customHeight="1" x14ac:dyDescent="0.2">
      <c r="A33" s="64">
        <v>29</v>
      </c>
      <c r="B33" s="64" t="s">
        <v>127</v>
      </c>
      <c r="C33" s="64" t="s">
        <v>192</v>
      </c>
      <c r="D33" s="90" t="s">
        <v>193</v>
      </c>
      <c r="E33" s="62">
        <v>1</v>
      </c>
      <c r="F33" s="62" t="s">
        <v>125</v>
      </c>
      <c r="G33" s="62" t="s">
        <v>124</v>
      </c>
      <c r="H33" s="62" t="s">
        <v>124</v>
      </c>
      <c r="I33" s="63">
        <v>44609</v>
      </c>
      <c r="J33" s="64" t="s">
        <v>132</v>
      </c>
      <c r="K33" s="65"/>
      <c r="L33" s="65"/>
    </row>
    <row r="34" spans="1:12" ht="25.5" customHeight="1" x14ac:dyDescent="0.2">
      <c r="A34" s="64">
        <v>30</v>
      </c>
      <c r="B34" s="64" t="s">
        <v>127</v>
      </c>
      <c r="C34" s="64" t="s">
        <v>194</v>
      </c>
      <c r="D34" s="90" t="s">
        <v>195</v>
      </c>
      <c r="E34" s="62">
        <v>1</v>
      </c>
      <c r="F34" s="62" t="s">
        <v>125</v>
      </c>
      <c r="G34" s="62" t="s">
        <v>124</v>
      </c>
      <c r="H34" s="62" t="s">
        <v>124</v>
      </c>
      <c r="I34" s="63">
        <v>44609</v>
      </c>
      <c r="J34" s="64" t="s">
        <v>132</v>
      </c>
      <c r="K34" s="65"/>
      <c r="L34" s="65"/>
    </row>
    <row r="35" spans="1:12" ht="25.5" customHeight="1" x14ac:dyDescent="0.2">
      <c r="A35" s="64">
        <v>31</v>
      </c>
      <c r="B35" s="64" t="s">
        <v>127</v>
      </c>
      <c r="C35" s="64" t="s">
        <v>220</v>
      </c>
      <c r="D35" s="90" t="s">
        <v>313</v>
      </c>
      <c r="E35" s="62" t="s">
        <v>323</v>
      </c>
      <c r="F35" s="62" t="s">
        <v>328</v>
      </c>
      <c r="G35" s="62" t="s">
        <v>124</v>
      </c>
      <c r="H35" s="62" t="s">
        <v>124</v>
      </c>
      <c r="I35" s="63">
        <v>44691</v>
      </c>
      <c r="J35" s="64" t="s">
        <v>122</v>
      </c>
      <c r="K35" s="66" t="s">
        <v>126</v>
      </c>
      <c r="L35" s="65"/>
    </row>
    <row r="36" spans="1:12" ht="25.5" customHeight="1" x14ac:dyDescent="0.2">
      <c r="A36" s="64">
        <v>32</v>
      </c>
      <c r="B36" s="64" t="s">
        <v>127</v>
      </c>
      <c r="C36" s="64" t="s">
        <v>221</v>
      </c>
      <c r="D36" s="90" t="s">
        <v>222</v>
      </c>
      <c r="E36" s="62">
        <v>1</v>
      </c>
      <c r="F36" s="62" t="s">
        <v>125</v>
      </c>
      <c r="G36" s="62" t="s">
        <v>124</v>
      </c>
      <c r="H36" s="62" t="s">
        <v>124</v>
      </c>
      <c r="I36" s="63">
        <v>44624</v>
      </c>
      <c r="J36" s="64" t="s">
        <v>122</v>
      </c>
      <c r="K36" s="66" t="s">
        <v>126</v>
      </c>
      <c r="L36" s="65"/>
    </row>
    <row r="37" spans="1:12" ht="25.5" customHeight="1" x14ac:dyDescent="0.2">
      <c r="A37" s="64">
        <v>33</v>
      </c>
      <c r="B37" s="64" t="s">
        <v>127</v>
      </c>
      <c r="C37" s="64" t="s">
        <v>234</v>
      </c>
      <c r="D37" s="101" t="s">
        <v>235</v>
      </c>
      <c r="E37" s="62">
        <v>1</v>
      </c>
      <c r="F37" s="62" t="s">
        <v>125</v>
      </c>
      <c r="G37" s="62" t="s">
        <v>124</v>
      </c>
      <c r="H37" s="62" t="s">
        <v>124</v>
      </c>
      <c r="I37" s="63">
        <v>44630</v>
      </c>
      <c r="J37" s="64" t="s">
        <v>134</v>
      </c>
      <c r="K37" s="66" t="s">
        <v>126</v>
      </c>
      <c r="L37" s="65"/>
    </row>
    <row r="38" spans="1:12" ht="25.5" customHeight="1" x14ac:dyDescent="0.2">
      <c r="A38" s="64">
        <v>34</v>
      </c>
      <c r="B38" s="64" t="s">
        <v>127</v>
      </c>
      <c r="C38" s="64" t="s">
        <v>240</v>
      </c>
      <c r="D38" s="90" t="s">
        <v>242</v>
      </c>
      <c r="E38" s="62" t="s">
        <v>367</v>
      </c>
      <c r="F38" s="62" t="s">
        <v>335</v>
      </c>
      <c r="G38" s="62" t="s">
        <v>124</v>
      </c>
      <c r="H38" s="62" t="s">
        <v>124</v>
      </c>
      <c r="I38" s="63">
        <v>44719</v>
      </c>
      <c r="J38" s="64" t="s">
        <v>122</v>
      </c>
      <c r="K38" s="66" t="s">
        <v>126</v>
      </c>
      <c r="L38" s="65"/>
    </row>
    <row r="39" spans="1:12" ht="25.5" customHeight="1" x14ac:dyDescent="0.2">
      <c r="A39" s="64">
        <v>35</v>
      </c>
      <c r="B39" s="64" t="s">
        <v>127</v>
      </c>
      <c r="C39" s="64" t="s">
        <v>241</v>
      </c>
      <c r="D39" s="90" t="s">
        <v>243</v>
      </c>
      <c r="E39" s="62">
        <v>7</v>
      </c>
      <c r="F39" s="62" t="s">
        <v>128</v>
      </c>
      <c r="G39" s="62" t="s">
        <v>124</v>
      </c>
      <c r="H39" s="62" t="s">
        <v>124</v>
      </c>
      <c r="I39" s="63">
        <v>44921</v>
      </c>
      <c r="J39" s="64" t="s">
        <v>122</v>
      </c>
      <c r="K39" s="66" t="s">
        <v>126</v>
      </c>
      <c r="L39" s="65"/>
    </row>
    <row r="40" spans="1:12" ht="25.5" customHeight="1" x14ac:dyDescent="0.2">
      <c r="A40" s="64">
        <v>36</v>
      </c>
      <c r="B40" s="64" t="s">
        <v>127</v>
      </c>
      <c r="C40" s="64" t="s">
        <v>249</v>
      </c>
      <c r="D40" s="90" t="s">
        <v>327</v>
      </c>
      <c r="E40" s="62">
        <v>2</v>
      </c>
      <c r="F40" s="62" t="s">
        <v>125</v>
      </c>
      <c r="G40" s="62" t="s">
        <v>124</v>
      </c>
      <c r="H40" s="62" t="s">
        <v>124</v>
      </c>
      <c r="I40" s="63">
        <v>44650</v>
      </c>
      <c r="J40" s="64" t="s">
        <v>132</v>
      </c>
      <c r="K40" s="66" t="s">
        <v>126</v>
      </c>
      <c r="L40" s="65"/>
    </row>
    <row r="41" spans="1:12" ht="25.5" customHeight="1" x14ac:dyDescent="0.2">
      <c r="A41" s="64">
        <v>37</v>
      </c>
      <c r="B41" s="64" t="s">
        <v>127</v>
      </c>
      <c r="C41" s="64" t="s">
        <v>258</v>
      </c>
      <c r="D41" s="90" t="s">
        <v>259</v>
      </c>
      <c r="E41" s="62">
        <v>1</v>
      </c>
      <c r="F41" s="62" t="s">
        <v>125</v>
      </c>
      <c r="G41" s="62" t="s">
        <v>124</v>
      </c>
      <c r="H41" s="62" t="s">
        <v>124</v>
      </c>
      <c r="I41" s="63">
        <v>44644</v>
      </c>
      <c r="J41" s="64" t="s">
        <v>146</v>
      </c>
      <c r="K41" s="66" t="s">
        <v>126</v>
      </c>
      <c r="L41" s="65"/>
    </row>
    <row r="42" spans="1:12" ht="25.5" customHeight="1" x14ac:dyDescent="0.2">
      <c r="A42" s="64">
        <v>38</v>
      </c>
      <c r="B42" s="64" t="s">
        <v>127</v>
      </c>
      <c r="C42" s="64" t="s">
        <v>283</v>
      </c>
      <c r="D42" s="118" t="s">
        <v>315</v>
      </c>
      <c r="E42" s="62">
        <v>2</v>
      </c>
      <c r="F42" s="62" t="s">
        <v>125</v>
      </c>
      <c r="G42" s="62" t="s">
        <v>124</v>
      </c>
      <c r="H42" s="62" t="s">
        <v>124</v>
      </c>
      <c r="I42" s="63">
        <v>44679</v>
      </c>
      <c r="J42" s="64" t="s">
        <v>122</v>
      </c>
      <c r="K42" s="66" t="s">
        <v>126</v>
      </c>
      <c r="L42" s="65"/>
    </row>
    <row r="43" spans="1:12" ht="25.5" customHeight="1" x14ac:dyDescent="0.2">
      <c r="A43" s="64">
        <v>39</v>
      </c>
      <c r="B43" s="64" t="s">
        <v>127</v>
      </c>
      <c r="C43" s="64" t="s">
        <v>284</v>
      </c>
      <c r="D43" s="129" t="s">
        <v>316</v>
      </c>
      <c r="E43" s="62">
        <v>1</v>
      </c>
      <c r="F43" s="62" t="s">
        <v>125</v>
      </c>
      <c r="G43" s="62" t="s">
        <v>124</v>
      </c>
      <c r="H43" s="62" t="s">
        <v>124</v>
      </c>
      <c r="I43" s="63">
        <v>44679</v>
      </c>
      <c r="J43" s="64" t="s">
        <v>122</v>
      </c>
      <c r="K43" s="66" t="s">
        <v>126</v>
      </c>
      <c r="L43" s="65"/>
    </row>
    <row r="44" spans="1:12" ht="25.5" customHeight="1" x14ac:dyDescent="0.2">
      <c r="A44" s="64">
        <v>40</v>
      </c>
      <c r="B44" s="64" t="s">
        <v>127</v>
      </c>
      <c r="C44" s="64" t="s">
        <v>285</v>
      </c>
      <c r="D44" s="129" t="s">
        <v>314</v>
      </c>
      <c r="E44" s="62" t="s">
        <v>323</v>
      </c>
      <c r="F44" s="62" t="s">
        <v>335</v>
      </c>
      <c r="G44" s="62" t="s">
        <v>124</v>
      </c>
      <c r="H44" s="62" t="s">
        <v>124</v>
      </c>
      <c r="I44" s="63">
        <v>44692</v>
      </c>
      <c r="J44" s="64" t="s">
        <v>122</v>
      </c>
      <c r="K44" s="66" t="s">
        <v>126</v>
      </c>
      <c r="L44" s="65"/>
    </row>
    <row r="45" spans="1:12" ht="25.5" customHeight="1" x14ac:dyDescent="0.2">
      <c r="A45" s="64">
        <v>41</v>
      </c>
      <c r="B45" s="64" t="s">
        <v>127</v>
      </c>
      <c r="C45" s="64" t="s">
        <v>286</v>
      </c>
      <c r="D45" s="129" t="s">
        <v>317</v>
      </c>
      <c r="E45" s="62">
        <v>2</v>
      </c>
      <c r="F45" s="62" t="s">
        <v>324</v>
      </c>
      <c r="G45" s="62" t="s">
        <v>124</v>
      </c>
      <c r="H45" s="62" t="s">
        <v>124</v>
      </c>
      <c r="I45" s="63">
        <v>44686</v>
      </c>
      <c r="J45" s="64" t="s">
        <v>122</v>
      </c>
      <c r="K45" s="66" t="s">
        <v>126</v>
      </c>
      <c r="L45" s="65"/>
    </row>
    <row r="46" spans="1:12" ht="25.5" customHeight="1" x14ac:dyDescent="0.2">
      <c r="A46" s="64">
        <v>42</v>
      </c>
      <c r="B46" s="64" t="s">
        <v>127</v>
      </c>
      <c r="C46" s="64" t="s">
        <v>287</v>
      </c>
      <c r="D46" s="129" t="s">
        <v>318</v>
      </c>
      <c r="E46" s="62">
        <v>2</v>
      </c>
      <c r="F46" s="62" t="s">
        <v>324</v>
      </c>
      <c r="G46" s="62" t="s">
        <v>124</v>
      </c>
      <c r="H46" s="62" t="s">
        <v>124</v>
      </c>
      <c r="I46" s="63">
        <v>44686</v>
      </c>
      <c r="J46" s="64" t="s">
        <v>122</v>
      </c>
      <c r="K46" s="66" t="s">
        <v>126</v>
      </c>
      <c r="L46" s="65"/>
    </row>
    <row r="47" spans="1:12" ht="25.5" customHeight="1" x14ac:dyDescent="0.2">
      <c r="A47" s="64">
        <v>43</v>
      </c>
      <c r="B47" s="64" t="s">
        <v>127</v>
      </c>
      <c r="C47" s="64" t="s">
        <v>288</v>
      </c>
      <c r="D47" s="129" t="s">
        <v>319</v>
      </c>
      <c r="E47" s="62">
        <v>3</v>
      </c>
      <c r="F47" s="62" t="s">
        <v>125</v>
      </c>
      <c r="G47" s="62" t="s">
        <v>124</v>
      </c>
      <c r="H47" s="62" t="s">
        <v>124</v>
      </c>
      <c r="I47" s="63">
        <v>44679</v>
      </c>
      <c r="J47" s="64" t="s">
        <v>122</v>
      </c>
      <c r="K47" s="66" t="s">
        <v>126</v>
      </c>
      <c r="L47" s="65"/>
    </row>
    <row r="48" spans="1:12" ht="25.5" customHeight="1" x14ac:dyDescent="0.2">
      <c r="A48" s="64">
        <v>44</v>
      </c>
      <c r="B48" s="64" t="s">
        <v>127</v>
      </c>
      <c r="C48" s="64" t="s">
        <v>289</v>
      </c>
      <c r="D48" s="129" t="s">
        <v>320</v>
      </c>
      <c r="E48" s="62">
        <v>2</v>
      </c>
      <c r="F48" s="62" t="s">
        <v>125</v>
      </c>
      <c r="G48" s="62" t="s">
        <v>124</v>
      </c>
      <c r="H48" s="62" t="s">
        <v>124</v>
      </c>
      <c r="I48" s="63">
        <v>44679</v>
      </c>
      <c r="J48" s="64" t="s">
        <v>122</v>
      </c>
      <c r="K48" s="66" t="s">
        <v>126</v>
      </c>
      <c r="L48" s="65"/>
    </row>
    <row r="49" spans="1:12" ht="25.5" customHeight="1" x14ac:dyDescent="0.2">
      <c r="A49" s="64">
        <v>45</v>
      </c>
      <c r="B49" s="64" t="s">
        <v>127</v>
      </c>
      <c r="C49" s="64" t="s">
        <v>290</v>
      </c>
      <c r="D49" s="129" t="s">
        <v>321</v>
      </c>
      <c r="E49" s="62">
        <v>2</v>
      </c>
      <c r="F49" s="62" t="s">
        <v>130</v>
      </c>
      <c r="G49" s="62" t="s">
        <v>124</v>
      </c>
      <c r="H49" s="62" t="s">
        <v>124</v>
      </c>
      <c r="I49" s="63">
        <v>44795</v>
      </c>
      <c r="J49" s="64" t="s">
        <v>122</v>
      </c>
      <c r="K49" s="66" t="s">
        <v>126</v>
      </c>
      <c r="L49" s="65"/>
    </row>
    <row r="50" spans="1:12" ht="25.5" customHeight="1" x14ac:dyDescent="0.2">
      <c r="A50" s="64">
        <v>46</v>
      </c>
      <c r="B50" s="64" t="s">
        <v>127</v>
      </c>
      <c r="C50" s="64" t="s">
        <v>294</v>
      </c>
      <c r="D50" s="130" t="s">
        <v>309</v>
      </c>
      <c r="E50" s="62">
        <v>12</v>
      </c>
      <c r="F50" s="62" t="s">
        <v>371</v>
      </c>
      <c r="G50" s="62" t="s">
        <v>124</v>
      </c>
      <c r="H50" s="62" t="s">
        <v>124</v>
      </c>
      <c r="I50" s="63">
        <v>44725</v>
      </c>
      <c r="J50" s="64" t="s">
        <v>146</v>
      </c>
      <c r="K50" s="66" t="s">
        <v>126</v>
      </c>
      <c r="L50" s="65"/>
    </row>
    <row r="51" spans="1:12" ht="25.5" customHeight="1" x14ac:dyDescent="0.2">
      <c r="A51" s="64">
        <v>47</v>
      </c>
      <c r="B51" s="64" t="s">
        <v>127</v>
      </c>
      <c r="C51" s="64" t="s">
        <v>307</v>
      </c>
      <c r="D51" s="90" t="s">
        <v>308</v>
      </c>
      <c r="E51" s="62">
        <v>1</v>
      </c>
      <c r="F51" s="62" t="s">
        <v>125</v>
      </c>
      <c r="G51" s="62" t="s">
        <v>124</v>
      </c>
      <c r="H51" s="62" t="s">
        <v>124</v>
      </c>
      <c r="I51" s="63">
        <v>44671</v>
      </c>
      <c r="J51" s="64" t="s">
        <v>123</v>
      </c>
      <c r="K51" s="66" t="s">
        <v>126</v>
      </c>
      <c r="L51" s="65"/>
    </row>
    <row r="52" spans="1:12" ht="25.5" customHeight="1" x14ac:dyDescent="0.2">
      <c r="A52" s="64">
        <v>48</v>
      </c>
      <c r="B52" s="64" t="s">
        <v>127</v>
      </c>
      <c r="C52" s="64" t="s">
        <v>325</v>
      </c>
      <c r="D52" s="90" t="s">
        <v>329</v>
      </c>
      <c r="E52" s="62" t="s">
        <v>334</v>
      </c>
      <c r="F52" s="62" t="s">
        <v>333</v>
      </c>
      <c r="G52" s="62" t="s">
        <v>124</v>
      </c>
      <c r="H52" s="62" t="s">
        <v>124</v>
      </c>
      <c r="I52" s="63">
        <v>44694</v>
      </c>
      <c r="J52" s="64" t="s">
        <v>146</v>
      </c>
      <c r="K52" s="66" t="s">
        <v>126</v>
      </c>
      <c r="L52" s="65"/>
    </row>
    <row r="53" spans="1:12" ht="25.5" customHeight="1" x14ac:dyDescent="0.2">
      <c r="A53" s="64">
        <v>49</v>
      </c>
      <c r="B53" s="64" t="s">
        <v>127</v>
      </c>
      <c r="C53" s="64" t="s">
        <v>330</v>
      </c>
      <c r="D53" s="90" t="s">
        <v>331</v>
      </c>
      <c r="E53" s="62" t="s">
        <v>430</v>
      </c>
      <c r="F53" s="62" t="s">
        <v>429</v>
      </c>
      <c r="G53" s="62" t="s">
        <v>124</v>
      </c>
      <c r="H53" s="62" t="s">
        <v>124</v>
      </c>
      <c r="I53" s="63">
        <v>44788</v>
      </c>
      <c r="J53" s="64" t="s">
        <v>134</v>
      </c>
      <c r="K53" s="66" t="s">
        <v>126</v>
      </c>
      <c r="L53" s="65"/>
    </row>
    <row r="54" spans="1:12" ht="25.5" customHeight="1" x14ac:dyDescent="0.2">
      <c r="A54" s="64">
        <v>50</v>
      </c>
      <c r="B54" s="64" t="s">
        <v>127</v>
      </c>
      <c r="C54" s="64" t="s">
        <v>338</v>
      </c>
      <c r="D54" s="65" t="s">
        <v>336</v>
      </c>
      <c r="E54" s="62">
        <v>1</v>
      </c>
      <c r="F54" s="62" t="s">
        <v>125</v>
      </c>
      <c r="G54" s="62" t="s">
        <v>124</v>
      </c>
      <c r="H54" s="62" t="s">
        <v>124</v>
      </c>
      <c r="I54" s="63">
        <v>44698</v>
      </c>
      <c r="J54" s="64" t="s">
        <v>134</v>
      </c>
      <c r="K54" s="66" t="s">
        <v>126</v>
      </c>
      <c r="L54" s="65"/>
    </row>
    <row r="55" spans="1:12" ht="25.5" customHeight="1" x14ac:dyDescent="0.2">
      <c r="A55" s="64">
        <v>51</v>
      </c>
      <c r="B55" s="64" t="s">
        <v>127</v>
      </c>
      <c r="C55" s="64" t="s">
        <v>339</v>
      </c>
      <c r="D55" s="90" t="s">
        <v>337</v>
      </c>
      <c r="E55" s="62">
        <v>1</v>
      </c>
      <c r="F55" s="62" t="s">
        <v>125</v>
      </c>
      <c r="G55" s="62" t="s">
        <v>124</v>
      </c>
      <c r="H55" s="62" t="s">
        <v>124</v>
      </c>
      <c r="I55" s="63">
        <v>44698</v>
      </c>
      <c r="J55" s="64" t="s">
        <v>134</v>
      </c>
      <c r="K55" s="66" t="s">
        <v>126</v>
      </c>
      <c r="L55" s="65"/>
    </row>
    <row r="56" spans="1:12" ht="25.5" customHeight="1" x14ac:dyDescent="0.2">
      <c r="A56" s="64">
        <v>52</v>
      </c>
      <c r="B56" s="64" t="s">
        <v>127</v>
      </c>
      <c r="C56" s="64" t="s">
        <v>394</v>
      </c>
      <c r="D56" s="90" t="s">
        <v>395</v>
      </c>
      <c r="E56" s="62">
        <v>1</v>
      </c>
      <c r="F56" s="62" t="s">
        <v>125</v>
      </c>
      <c r="G56" s="62" t="s">
        <v>124</v>
      </c>
      <c r="H56" s="62" t="s">
        <v>124</v>
      </c>
      <c r="I56" s="63">
        <v>44754</v>
      </c>
      <c r="J56" s="64" t="s">
        <v>134</v>
      </c>
      <c r="K56" s="66" t="s">
        <v>126</v>
      </c>
      <c r="L56" s="65"/>
    </row>
    <row r="57" spans="1:12" ht="25.5" customHeight="1" x14ac:dyDescent="0.2">
      <c r="A57" s="64">
        <v>53</v>
      </c>
      <c r="B57" s="64" t="s">
        <v>127</v>
      </c>
      <c r="C57" s="64" t="s">
        <v>396</v>
      </c>
      <c r="D57" s="137" t="s">
        <v>401</v>
      </c>
      <c r="E57" s="62" t="s">
        <v>413</v>
      </c>
      <c r="F57" s="62" t="s">
        <v>412</v>
      </c>
      <c r="G57" s="62" t="s">
        <v>124</v>
      </c>
      <c r="H57" s="62" t="s">
        <v>124</v>
      </c>
      <c r="I57" s="63">
        <v>44776</v>
      </c>
      <c r="J57" s="64" t="s">
        <v>122</v>
      </c>
      <c r="K57" s="66" t="s">
        <v>126</v>
      </c>
      <c r="L57" s="65"/>
    </row>
    <row r="58" spans="1:12" ht="25.5" customHeight="1" x14ac:dyDescent="0.2">
      <c r="A58" s="64">
        <v>54</v>
      </c>
      <c r="B58" s="64" t="s">
        <v>127</v>
      </c>
      <c r="C58" s="64" t="s">
        <v>397</v>
      </c>
      <c r="D58" s="137" t="s">
        <v>402</v>
      </c>
      <c r="E58" s="62">
        <v>1</v>
      </c>
      <c r="F58" s="62" t="s">
        <v>125</v>
      </c>
      <c r="G58" s="62" t="s">
        <v>124</v>
      </c>
      <c r="H58" s="62" t="s">
        <v>124</v>
      </c>
      <c r="I58" s="63">
        <v>44768</v>
      </c>
      <c r="J58" s="64" t="s">
        <v>122</v>
      </c>
      <c r="K58" s="66" t="s">
        <v>126</v>
      </c>
      <c r="L58" s="151"/>
    </row>
    <row r="59" spans="1:12" ht="25.5" customHeight="1" x14ac:dyDescent="0.2">
      <c r="A59" s="64">
        <v>55</v>
      </c>
      <c r="B59" s="64" t="s">
        <v>127</v>
      </c>
      <c r="C59" s="64" t="s">
        <v>398</v>
      </c>
      <c r="D59" s="137" t="s">
        <v>403</v>
      </c>
      <c r="E59" s="62" t="s">
        <v>414</v>
      </c>
      <c r="F59" s="62" t="s">
        <v>412</v>
      </c>
      <c r="G59" s="62" t="s">
        <v>124</v>
      </c>
      <c r="H59" s="62" t="s">
        <v>124</v>
      </c>
      <c r="I59" s="63">
        <v>44776</v>
      </c>
      <c r="J59" s="64" t="s">
        <v>122</v>
      </c>
      <c r="K59" s="66" t="s">
        <v>126</v>
      </c>
      <c r="L59" s="65"/>
    </row>
    <row r="60" spans="1:12" ht="25.5" customHeight="1" x14ac:dyDescent="0.2">
      <c r="A60" s="64">
        <v>56</v>
      </c>
      <c r="B60" s="64" t="s">
        <v>127</v>
      </c>
      <c r="C60" s="64" t="s">
        <v>399</v>
      </c>
      <c r="D60" s="137" t="s">
        <v>404</v>
      </c>
      <c r="E60" s="62">
        <v>1</v>
      </c>
      <c r="F60" s="62" t="s">
        <v>125</v>
      </c>
      <c r="G60" s="62" t="s">
        <v>124</v>
      </c>
      <c r="H60" s="62" t="s">
        <v>124</v>
      </c>
      <c r="I60" s="63">
        <v>44768</v>
      </c>
      <c r="J60" s="64" t="s">
        <v>122</v>
      </c>
      <c r="K60" s="66" t="s">
        <v>126</v>
      </c>
      <c r="L60" s="151"/>
    </row>
    <row r="61" spans="1:12" ht="25.5" customHeight="1" x14ac:dyDescent="0.2">
      <c r="A61" s="64">
        <v>57</v>
      </c>
      <c r="B61" s="64" t="s">
        <v>127</v>
      </c>
      <c r="C61" s="64" t="s">
        <v>400</v>
      </c>
      <c r="D61" s="137" t="s">
        <v>405</v>
      </c>
      <c r="E61" s="62" t="s">
        <v>414</v>
      </c>
      <c r="F61" s="62" t="s">
        <v>412</v>
      </c>
      <c r="G61" s="62" t="s">
        <v>124</v>
      </c>
      <c r="H61" s="62" t="s">
        <v>124</v>
      </c>
      <c r="I61" s="63">
        <v>44776</v>
      </c>
      <c r="J61" s="64" t="s">
        <v>122</v>
      </c>
      <c r="K61" s="66" t="s">
        <v>126</v>
      </c>
      <c r="L61" s="65"/>
    </row>
    <row r="62" spans="1:12" ht="25.5" customHeight="1" x14ac:dyDescent="0.2">
      <c r="A62" s="64">
        <v>58</v>
      </c>
      <c r="B62" s="64" t="s">
        <v>127</v>
      </c>
      <c r="C62" s="138" t="s">
        <v>406</v>
      </c>
      <c r="D62" s="129" t="s">
        <v>451</v>
      </c>
      <c r="E62" s="62">
        <v>14</v>
      </c>
      <c r="F62" s="62" t="s">
        <v>130</v>
      </c>
      <c r="G62" s="62" t="s">
        <v>124</v>
      </c>
      <c r="H62" s="62" t="s">
        <v>124</v>
      </c>
      <c r="I62" s="63">
        <v>44837</v>
      </c>
      <c r="J62" s="64" t="s">
        <v>134</v>
      </c>
      <c r="K62" s="95" t="s">
        <v>126</v>
      </c>
      <c r="L62" s="65"/>
    </row>
    <row r="63" spans="1:12" ht="25.5" customHeight="1" x14ac:dyDescent="0.2">
      <c r="A63" s="64">
        <v>59</v>
      </c>
      <c r="B63" s="64" t="s">
        <v>127</v>
      </c>
      <c r="C63" s="138" t="s">
        <v>407</v>
      </c>
      <c r="D63" s="129" t="s">
        <v>408</v>
      </c>
      <c r="E63" s="62">
        <v>1</v>
      </c>
      <c r="F63" s="62" t="s">
        <v>411</v>
      </c>
      <c r="G63" s="62" t="s">
        <v>124</v>
      </c>
      <c r="H63" s="62" t="s">
        <v>124</v>
      </c>
      <c r="I63" s="63">
        <v>44775</v>
      </c>
      <c r="J63" s="64" t="s">
        <v>123</v>
      </c>
      <c r="K63" s="66" t="s">
        <v>126</v>
      </c>
      <c r="L63" s="65"/>
    </row>
    <row r="64" spans="1:12" ht="25.5" customHeight="1" x14ac:dyDescent="0.2">
      <c r="A64" s="64">
        <v>60</v>
      </c>
      <c r="B64" s="64" t="s">
        <v>127</v>
      </c>
      <c r="C64" s="138" t="s">
        <v>419</v>
      </c>
      <c r="D64" s="129" t="s">
        <v>418</v>
      </c>
      <c r="E64" s="62">
        <v>1</v>
      </c>
      <c r="F64" s="62" t="s">
        <v>130</v>
      </c>
      <c r="G64" s="62" t="s">
        <v>124</v>
      </c>
      <c r="H64" s="62" t="s">
        <v>124</v>
      </c>
      <c r="I64" s="63">
        <v>44977</v>
      </c>
      <c r="J64" s="64" t="s">
        <v>123</v>
      </c>
      <c r="K64" s="66" t="s">
        <v>126</v>
      </c>
      <c r="L64" s="65"/>
    </row>
    <row r="65" spans="1:12" ht="25.5" customHeight="1" x14ac:dyDescent="0.2">
      <c r="A65" s="64">
        <v>61</v>
      </c>
      <c r="B65" s="64" t="s">
        <v>127</v>
      </c>
      <c r="C65" s="138" t="s">
        <v>420</v>
      </c>
      <c r="D65" s="129" t="s">
        <v>452</v>
      </c>
      <c r="E65" s="62">
        <v>13</v>
      </c>
      <c r="F65" s="62" t="s">
        <v>125</v>
      </c>
      <c r="G65" s="62" t="s">
        <v>124</v>
      </c>
      <c r="H65" s="62" t="s">
        <v>124</v>
      </c>
      <c r="I65" s="63">
        <v>44804</v>
      </c>
      <c r="J65" s="64" t="s">
        <v>122</v>
      </c>
      <c r="K65" s="66" t="s">
        <v>126</v>
      </c>
      <c r="L65" s="65"/>
    </row>
    <row r="66" spans="1:12" ht="25.5" customHeight="1" x14ac:dyDescent="0.2">
      <c r="A66" s="64">
        <v>62</v>
      </c>
      <c r="B66" s="64" t="s">
        <v>127</v>
      </c>
      <c r="C66" s="138" t="s">
        <v>426</v>
      </c>
      <c r="D66" s="129" t="s">
        <v>427</v>
      </c>
      <c r="E66" s="62">
        <v>1</v>
      </c>
      <c r="F66" s="62" t="s">
        <v>125</v>
      </c>
      <c r="G66" s="62" t="s">
        <v>124</v>
      </c>
      <c r="H66" s="62" t="s">
        <v>124</v>
      </c>
      <c r="I66" s="63">
        <v>44788</v>
      </c>
      <c r="J66" s="64" t="s">
        <v>428</v>
      </c>
      <c r="K66" s="66" t="s">
        <v>126</v>
      </c>
      <c r="L66" s="65"/>
    </row>
    <row r="67" spans="1:12" ht="25.5" customHeight="1" x14ac:dyDescent="0.2">
      <c r="A67" s="64">
        <v>63</v>
      </c>
      <c r="B67" s="64" t="s">
        <v>127</v>
      </c>
      <c r="C67" s="138" t="s">
        <v>435</v>
      </c>
      <c r="D67" s="129" t="s">
        <v>437</v>
      </c>
      <c r="E67" s="62" t="s">
        <v>323</v>
      </c>
      <c r="F67" s="62" t="s">
        <v>125</v>
      </c>
      <c r="G67" s="62" t="s">
        <v>124</v>
      </c>
      <c r="H67" s="62" t="s">
        <v>124</v>
      </c>
      <c r="I67" s="63">
        <v>44791</v>
      </c>
      <c r="J67" s="64" t="s">
        <v>428</v>
      </c>
      <c r="K67" s="66" t="s">
        <v>126</v>
      </c>
      <c r="L67" s="65"/>
    </row>
    <row r="68" spans="1:12" ht="25.5" customHeight="1" x14ac:dyDescent="0.2">
      <c r="A68" s="64">
        <v>64</v>
      </c>
      <c r="B68" s="64" t="s">
        <v>127</v>
      </c>
      <c r="C68" s="138" t="s">
        <v>436</v>
      </c>
      <c r="D68" s="129" t="s">
        <v>443</v>
      </c>
      <c r="E68" s="62" t="s">
        <v>442</v>
      </c>
      <c r="F68" s="62" t="s">
        <v>125</v>
      </c>
      <c r="G68" s="62" t="s">
        <v>124</v>
      </c>
      <c r="H68" s="62" t="s">
        <v>124</v>
      </c>
      <c r="I68" s="63">
        <v>44792</v>
      </c>
      <c r="J68" s="64" t="s">
        <v>428</v>
      </c>
      <c r="K68" s="66" t="s">
        <v>126</v>
      </c>
      <c r="L68" s="65"/>
    </row>
    <row r="69" spans="1:12" ht="25.5" customHeight="1" x14ac:dyDescent="0.2">
      <c r="A69" s="64">
        <v>65</v>
      </c>
      <c r="B69" s="64" t="s">
        <v>127</v>
      </c>
      <c r="C69" s="138" t="s">
        <v>460</v>
      </c>
      <c r="D69" s="129" t="s">
        <v>461</v>
      </c>
      <c r="E69" s="62">
        <v>2</v>
      </c>
      <c r="F69" s="62" t="s">
        <v>125</v>
      </c>
      <c r="G69" s="62" t="s">
        <v>124</v>
      </c>
      <c r="H69" s="62" t="s">
        <v>124</v>
      </c>
      <c r="I69" s="63">
        <v>44823</v>
      </c>
      <c r="J69" s="64" t="s">
        <v>134</v>
      </c>
      <c r="K69" s="66" t="s">
        <v>126</v>
      </c>
      <c r="L69" s="65"/>
    </row>
    <row r="70" spans="1:12" ht="25.5" customHeight="1" x14ac:dyDescent="0.2">
      <c r="A70" s="64">
        <v>66</v>
      </c>
      <c r="B70" s="64" t="s">
        <v>127</v>
      </c>
      <c r="C70" s="138" t="s">
        <v>486</v>
      </c>
      <c r="D70" s="129" t="s">
        <v>488</v>
      </c>
      <c r="E70" s="62">
        <v>1</v>
      </c>
      <c r="F70" s="62" t="s">
        <v>125</v>
      </c>
      <c r="G70" s="62" t="s">
        <v>124</v>
      </c>
      <c r="H70" s="62" t="s">
        <v>124</v>
      </c>
      <c r="I70" s="63">
        <v>44881</v>
      </c>
      <c r="J70" s="64" t="s">
        <v>123</v>
      </c>
      <c r="K70" s="66" t="s">
        <v>126</v>
      </c>
      <c r="L70" s="65"/>
    </row>
    <row r="71" spans="1:12" ht="25.5" customHeight="1" x14ac:dyDescent="0.2">
      <c r="A71" s="64">
        <v>67</v>
      </c>
      <c r="B71" s="64" t="s">
        <v>127</v>
      </c>
      <c r="C71" s="138" t="s">
        <v>487</v>
      </c>
      <c r="D71" s="129" t="s">
        <v>489</v>
      </c>
      <c r="E71" s="62">
        <v>1</v>
      </c>
      <c r="F71" s="62" t="s">
        <v>125</v>
      </c>
      <c r="G71" s="62" t="s">
        <v>124</v>
      </c>
      <c r="H71" s="62" t="s">
        <v>124</v>
      </c>
      <c r="I71" s="63">
        <v>44881</v>
      </c>
      <c r="J71" s="64" t="s">
        <v>123</v>
      </c>
      <c r="K71" s="66" t="s">
        <v>126</v>
      </c>
      <c r="L71" s="65"/>
    </row>
    <row r="72" spans="1:12" ht="25.5" customHeight="1" x14ac:dyDescent="0.2">
      <c r="A72" s="64">
        <v>68</v>
      </c>
      <c r="B72" s="64" t="s">
        <v>127</v>
      </c>
      <c r="C72" s="138" t="s">
        <v>505</v>
      </c>
      <c r="D72" s="129" t="s">
        <v>506</v>
      </c>
      <c r="E72" s="62">
        <v>1</v>
      </c>
      <c r="F72" s="62" t="s">
        <v>125</v>
      </c>
      <c r="G72" s="62" t="s">
        <v>124</v>
      </c>
      <c r="H72" s="62" t="s">
        <v>124</v>
      </c>
      <c r="I72" s="63">
        <v>44901</v>
      </c>
      <c r="J72" s="64" t="s">
        <v>134</v>
      </c>
      <c r="K72" s="66" t="s">
        <v>126</v>
      </c>
      <c r="L72" s="65"/>
    </row>
    <row r="73" spans="1:12" ht="25.5" customHeight="1" x14ac:dyDescent="0.2">
      <c r="A73" s="64">
        <v>69</v>
      </c>
      <c r="B73" s="64" t="s">
        <v>127</v>
      </c>
      <c r="C73" s="138" t="s">
        <v>516</v>
      </c>
      <c r="D73" s="129" t="s">
        <v>520</v>
      </c>
      <c r="E73" s="62">
        <v>3</v>
      </c>
      <c r="F73" s="62" t="s">
        <v>130</v>
      </c>
      <c r="G73" s="62" t="s">
        <v>124</v>
      </c>
      <c r="H73" s="62" t="s">
        <v>124</v>
      </c>
      <c r="I73" s="63">
        <v>44915</v>
      </c>
      <c r="J73" s="64" t="s">
        <v>122</v>
      </c>
      <c r="K73" s="66" t="s">
        <v>126</v>
      </c>
      <c r="L73" s="65"/>
    </row>
    <row r="74" spans="1:12" ht="25.5" customHeight="1" x14ac:dyDescent="0.2">
      <c r="A74" s="64">
        <v>70</v>
      </c>
      <c r="B74" s="64" t="s">
        <v>127</v>
      </c>
      <c r="C74" s="138" t="s">
        <v>517</v>
      </c>
      <c r="D74" s="129" t="s">
        <v>521</v>
      </c>
      <c r="E74" s="62">
        <v>3</v>
      </c>
      <c r="F74" s="62" t="s">
        <v>130</v>
      </c>
      <c r="G74" s="62" t="s">
        <v>124</v>
      </c>
      <c r="H74" s="62" t="s">
        <v>124</v>
      </c>
      <c r="I74" s="63">
        <v>44915</v>
      </c>
      <c r="J74" s="64" t="s">
        <v>122</v>
      </c>
      <c r="K74" s="66" t="s">
        <v>126</v>
      </c>
      <c r="L74" s="65"/>
    </row>
    <row r="75" spans="1:12" ht="25.5" customHeight="1" x14ac:dyDescent="0.2">
      <c r="A75" s="64">
        <v>71</v>
      </c>
      <c r="B75" s="64" t="s">
        <v>127</v>
      </c>
      <c r="C75" s="138" t="s">
        <v>607</v>
      </c>
      <c r="D75" s="129" t="s">
        <v>608</v>
      </c>
      <c r="E75" s="62"/>
      <c r="F75" s="62"/>
      <c r="G75" s="62"/>
      <c r="H75" s="62"/>
      <c r="I75" s="63"/>
      <c r="J75" s="64" t="s">
        <v>134</v>
      </c>
      <c r="K75" s="66"/>
      <c r="L75" s="65"/>
    </row>
    <row r="76" spans="1:12" ht="25.5" customHeight="1" x14ac:dyDescent="0.2">
      <c r="A76" s="64">
        <v>72</v>
      </c>
      <c r="B76" s="64" t="s">
        <v>127</v>
      </c>
      <c r="C76" s="138" t="s">
        <v>616</v>
      </c>
      <c r="D76" s="129" t="s">
        <v>617</v>
      </c>
      <c r="E76" s="62">
        <v>1</v>
      </c>
      <c r="F76" s="62" t="s">
        <v>125</v>
      </c>
      <c r="G76" s="62" t="s">
        <v>124</v>
      </c>
      <c r="H76" s="62" t="s">
        <v>124</v>
      </c>
      <c r="I76" s="63">
        <v>45068</v>
      </c>
      <c r="J76" s="64" t="s">
        <v>123</v>
      </c>
      <c r="K76" s="66" t="s">
        <v>126</v>
      </c>
      <c r="L76" s="65"/>
    </row>
    <row r="77" spans="1:12" ht="25.5" customHeight="1" x14ac:dyDescent="0.2">
      <c r="A77" s="64">
        <v>73</v>
      </c>
      <c r="B77" s="64" t="s">
        <v>127</v>
      </c>
      <c r="C77" s="138" t="s">
        <v>638</v>
      </c>
      <c r="D77" s="129" t="s">
        <v>642</v>
      </c>
      <c r="E77" s="62">
        <v>1</v>
      </c>
      <c r="F77" s="62" t="s">
        <v>125</v>
      </c>
      <c r="G77" s="62" t="s">
        <v>124</v>
      </c>
      <c r="H77" s="62" t="s">
        <v>124</v>
      </c>
      <c r="I77" s="63">
        <v>45119</v>
      </c>
      <c r="J77" s="64" t="s">
        <v>122</v>
      </c>
      <c r="K77" s="66" t="s">
        <v>126</v>
      </c>
      <c r="L77" s="65"/>
    </row>
    <row r="78" spans="1:12" ht="25.5" customHeight="1" x14ac:dyDescent="0.2">
      <c r="A78" s="64">
        <v>74</v>
      </c>
      <c r="B78" s="64" t="s">
        <v>127</v>
      </c>
      <c r="C78" s="138" t="s">
        <v>641</v>
      </c>
      <c r="D78" s="129" t="s">
        <v>643</v>
      </c>
      <c r="E78" s="62">
        <v>1</v>
      </c>
      <c r="F78" s="62" t="s">
        <v>125</v>
      </c>
      <c r="G78" s="62" t="s">
        <v>124</v>
      </c>
      <c r="H78" s="62" t="s">
        <v>124</v>
      </c>
      <c r="I78" s="63">
        <v>45124</v>
      </c>
      <c r="J78" s="64" t="s">
        <v>122</v>
      </c>
      <c r="K78" s="66" t="s">
        <v>126</v>
      </c>
      <c r="L78" s="65"/>
    </row>
    <row r="79" spans="1:12" ht="25.5" customHeight="1" x14ac:dyDescent="0.2">
      <c r="A79" s="64">
        <v>75</v>
      </c>
      <c r="B79" s="64" t="s">
        <v>127</v>
      </c>
      <c r="C79" s="138" t="s">
        <v>646</v>
      </c>
      <c r="D79" s="129" t="s">
        <v>647</v>
      </c>
      <c r="E79" s="62">
        <v>3</v>
      </c>
      <c r="F79" s="62" t="s">
        <v>125</v>
      </c>
      <c r="G79" s="62" t="s">
        <v>124</v>
      </c>
      <c r="H79" s="62" t="s">
        <v>124</v>
      </c>
      <c r="I79" s="63">
        <v>45122</v>
      </c>
      <c r="J79" s="64" t="s">
        <v>122</v>
      </c>
      <c r="K79" s="66" t="s">
        <v>126</v>
      </c>
      <c r="L79" s="65"/>
    </row>
    <row r="80" spans="1:12" ht="25.5" customHeight="1" x14ac:dyDescent="0.2">
      <c r="A80" s="64">
        <v>76</v>
      </c>
      <c r="B80" s="64" t="s">
        <v>127</v>
      </c>
      <c r="C80" s="138" t="s">
        <v>648</v>
      </c>
      <c r="D80" s="129" t="s">
        <v>649</v>
      </c>
      <c r="E80" s="62" t="s">
        <v>656</v>
      </c>
      <c r="F80" s="62" t="s">
        <v>657</v>
      </c>
      <c r="G80" s="62" t="s">
        <v>124</v>
      </c>
      <c r="H80" s="62" t="s">
        <v>124</v>
      </c>
      <c r="I80" s="63">
        <v>45138</v>
      </c>
      <c r="J80" s="64" t="s">
        <v>122</v>
      </c>
      <c r="K80" s="66" t="s">
        <v>126</v>
      </c>
      <c r="L80" s="178" t="s">
        <v>658</v>
      </c>
    </row>
    <row r="81" spans="1:12" ht="25.5" customHeight="1" x14ac:dyDescent="0.2">
      <c r="A81" s="64">
        <v>77</v>
      </c>
      <c r="B81" s="64" t="s">
        <v>127</v>
      </c>
      <c r="C81" s="138" t="s">
        <v>652</v>
      </c>
      <c r="D81" s="129" t="s">
        <v>651</v>
      </c>
      <c r="E81" s="62">
        <v>1</v>
      </c>
      <c r="F81" s="62" t="s">
        <v>125</v>
      </c>
      <c r="G81" s="62" t="s">
        <v>124</v>
      </c>
      <c r="H81" s="62" t="s">
        <v>124</v>
      </c>
      <c r="I81" s="63">
        <v>45132</v>
      </c>
      <c r="J81" s="64" t="s">
        <v>122</v>
      </c>
      <c r="K81" s="66" t="s">
        <v>126</v>
      </c>
      <c r="L81" s="178"/>
    </row>
    <row r="82" spans="1:12" ht="25.5" customHeight="1" x14ac:dyDescent="0.2">
      <c r="A82" s="64">
        <v>78</v>
      </c>
      <c r="B82" s="64" t="s">
        <v>127</v>
      </c>
      <c r="C82" s="138" t="s">
        <v>660</v>
      </c>
      <c r="D82" s="129" t="s">
        <v>669</v>
      </c>
      <c r="E82" s="62">
        <v>1</v>
      </c>
      <c r="F82" s="62" t="s">
        <v>125</v>
      </c>
      <c r="G82" s="62" t="s">
        <v>124</v>
      </c>
      <c r="H82" s="62" t="s">
        <v>124</v>
      </c>
      <c r="I82" s="180">
        <v>45226</v>
      </c>
      <c r="J82" s="181" t="s">
        <v>134</v>
      </c>
      <c r="K82" s="66" t="s">
        <v>126</v>
      </c>
      <c r="L82" s="178"/>
    </row>
    <row r="83" spans="1:12" ht="25.5" customHeight="1" x14ac:dyDescent="0.2">
      <c r="A83" s="64">
        <v>79</v>
      </c>
      <c r="B83" s="64" t="s">
        <v>127</v>
      </c>
      <c r="C83" s="138" t="s">
        <v>661</v>
      </c>
      <c r="D83" s="129" t="s">
        <v>665</v>
      </c>
      <c r="E83" s="62" t="s">
        <v>668</v>
      </c>
      <c r="F83" s="62" t="s">
        <v>664</v>
      </c>
      <c r="G83" s="62" t="s">
        <v>124</v>
      </c>
      <c r="H83" s="62" t="s">
        <v>124</v>
      </c>
      <c r="I83" s="180">
        <v>45226</v>
      </c>
      <c r="J83" s="181" t="s">
        <v>134</v>
      </c>
      <c r="K83" s="66" t="s">
        <v>126</v>
      </c>
      <c r="L83" s="178" t="s">
        <v>678</v>
      </c>
    </row>
    <row r="84" spans="1:12" ht="25.5" customHeight="1" x14ac:dyDescent="0.2">
      <c r="A84" s="64">
        <v>80</v>
      </c>
      <c r="B84" s="64" t="s">
        <v>127</v>
      </c>
      <c r="C84" s="138" t="s">
        <v>662</v>
      </c>
      <c r="D84" s="129" t="s">
        <v>666</v>
      </c>
      <c r="E84" s="62" t="s">
        <v>323</v>
      </c>
      <c r="F84" s="62" t="s">
        <v>664</v>
      </c>
      <c r="G84" s="62" t="s">
        <v>124</v>
      </c>
      <c r="H84" s="62" t="s">
        <v>124</v>
      </c>
      <c r="I84" s="180">
        <v>45226</v>
      </c>
      <c r="J84" s="181" t="s">
        <v>134</v>
      </c>
      <c r="K84" s="66" t="s">
        <v>126</v>
      </c>
      <c r="L84" s="178" t="s">
        <v>678</v>
      </c>
    </row>
    <row r="85" spans="1:12" ht="25.5" customHeight="1" x14ac:dyDescent="0.2">
      <c r="A85" s="64">
        <v>81</v>
      </c>
      <c r="B85" s="64" t="s">
        <v>127</v>
      </c>
      <c r="C85" s="138" t="s">
        <v>663</v>
      </c>
      <c r="D85" s="129" t="s">
        <v>667</v>
      </c>
      <c r="E85" s="62" t="s">
        <v>323</v>
      </c>
      <c r="F85" s="62" t="s">
        <v>664</v>
      </c>
      <c r="G85" s="62" t="s">
        <v>124</v>
      </c>
      <c r="H85" s="62" t="s">
        <v>124</v>
      </c>
      <c r="I85" s="180">
        <v>45226</v>
      </c>
      <c r="J85" s="181" t="s">
        <v>134</v>
      </c>
      <c r="K85" s="66" t="s">
        <v>126</v>
      </c>
      <c r="L85" s="178" t="s">
        <v>678</v>
      </c>
    </row>
    <row r="86" spans="1:12" ht="25.5" customHeight="1" x14ac:dyDescent="0.2">
      <c r="A86" s="64">
        <v>82</v>
      </c>
      <c r="B86" s="64" t="s">
        <v>127</v>
      </c>
      <c r="C86" s="138" t="s">
        <v>674</v>
      </c>
      <c r="D86" s="129" t="s">
        <v>670</v>
      </c>
      <c r="E86" s="62">
        <v>1</v>
      </c>
      <c r="F86" s="62" t="s">
        <v>125</v>
      </c>
      <c r="G86" s="62" t="s">
        <v>124</v>
      </c>
      <c r="H86" s="62" t="s">
        <v>124</v>
      </c>
      <c r="I86" s="180">
        <v>45232</v>
      </c>
      <c r="J86" s="64" t="s">
        <v>134</v>
      </c>
      <c r="K86" s="66" t="s">
        <v>126</v>
      </c>
      <c r="L86" s="178"/>
    </row>
    <row r="87" spans="1:12" ht="25.5" customHeight="1" x14ac:dyDescent="0.2">
      <c r="A87" s="64">
        <v>83</v>
      </c>
      <c r="B87" s="64" t="s">
        <v>127</v>
      </c>
      <c r="C87" s="138" t="s">
        <v>675</v>
      </c>
      <c r="D87" s="129" t="s">
        <v>671</v>
      </c>
      <c r="E87" s="62" t="s">
        <v>668</v>
      </c>
      <c r="F87" s="62" t="s">
        <v>664</v>
      </c>
      <c r="G87" s="62" t="s">
        <v>124</v>
      </c>
      <c r="H87" s="62" t="s">
        <v>124</v>
      </c>
      <c r="I87" s="180">
        <v>45232</v>
      </c>
      <c r="J87" s="64" t="s">
        <v>134</v>
      </c>
      <c r="K87" s="66" t="s">
        <v>126</v>
      </c>
      <c r="L87" s="178" t="s">
        <v>679</v>
      </c>
    </row>
    <row r="88" spans="1:12" ht="25.5" customHeight="1" x14ac:dyDescent="0.2">
      <c r="A88" s="64">
        <v>84</v>
      </c>
      <c r="B88" s="64" t="s">
        <v>127</v>
      </c>
      <c r="C88" s="138" t="s">
        <v>676</v>
      </c>
      <c r="D88" s="129" t="s">
        <v>672</v>
      </c>
      <c r="E88" s="62" t="s">
        <v>323</v>
      </c>
      <c r="F88" s="62" t="s">
        <v>664</v>
      </c>
      <c r="G88" s="62" t="s">
        <v>124</v>
      </c>
      <c r="H88" s="62" t="s">
        <v>124</v>
      </c>
      <c r="I88" s="180">
        <v>45232</v>
      </c>
      <c r="J88" s="64" t="s">
        <v>134</v>
      </c>
      <c r="K88" s="66" t="s">
        <v>126</v>
      </c>
      <c r="L88" s="178" t="s">
        <v>679</v>
      </c>
    </row>
    <row r="89" spans="1:12" ht="25.5" customHeight="1" x14ac:dyDescent="0.2">
      <c r="A89" s="64">
        <v>85</v>
      </c>
      <c r="B89" s="64" t="s">
        <v>127</v>
      </c>
      <c r="C89" s="138" t="s">
        <v>677</v>
      </c>
      <c r="D89" s="129" t="s">
        <v>673</v>
      </c>
      <c r="E89" s="62" t="s">
        <v>323</v>
      </c>
      <c r="F89" s="62" t="s">
        <v>664</v>
      </c>
      <c r="G89" s="62" t="s">
        <v>124</v>
      </c>
      <c r="H89" s="62" t="s">
        <v>124</v>
      </c>
      <c r="I89" s="180">
        <v>45232</v>
      </c>
      <c r="J89" s="64" t="s">
        <v>134</v>
      </c>
      <c r="K89" s="66" t="s">
        <v>126</v>
      </c>
      <c r="L89" s="178" t="s">
        <v>679</v>
      </c>
    </row>
    <row r="90" spans="1:12" ht="25.5" customHeight="1" x14ac:dyDescent="0.2">
      <c r="A90" s="64">
        <v>86</v>
      </c>
      <c r="B90" s="64" t="s">
        <v>127</v>
      </c>
      <c r="C90" s="138" t="s">
        <v>680</v>
      </c>
      <c r="D90" s="129" t="s">
        <v>681</v>
      </c>
      <c r="E90" s="62">
        <v>1</v>
      </c>
      <c r="F90" s="62" t="s">
        <v>291</v>
      </c>
      <c r="G90" s="62" t="s">
        <v>124</v>
      </c>
      <c r="H90" s="62" t="s">
        <v>124</v>
      </c>
      <c r="I90" s="180">
        <v>45243</v>
      </c>
      <c r="J90" s="64" t="s">
        <v>123</v>
      </c>
      <c r="K90" s="66" t="s">
        <v>126</v>
      </c>
      <c r="L90" s="178"/>
    </row>
    <row r="91" spans="1:12" ht="25.5" customHeight="1" x14ac:dyDescent="0.2">
      <c r="A91" s="64">
        <v>87</v>
      </c>
      <c r="B91" s="64" t="s">
        <v>127</v>
      </c>
      <c r="C91" s="138" t="s">
        <v>683</v>
      </c>
      <c r="D91" s="129" t="s">
        <v>682</v>
      </c>
      <c r="E91" s="62">
        <v>3</v>
      </c>
      <c r="F91" s="62" t="s">
        <v>412</v>
      </c>
      <c r="G91" s="62" t="s">
        <v>124</v>
      </c>
      <c r="H91" s="62" t="s">
        <v>124</v>
      </c>
      <c r="I91" s="180">
        <v>45246</v>
      </c>
      <c r="J91" s="64" t="s">
        <v>134</v>
      </c>
      <c r="K91" s="66" t="s">
        <v>126</v>
      </c>
      <c r="L91" s="178" t="s">
        <v>684</v>
      </c>
    </row>
    <row r="92" spans="1:12" ht="25.5" customHeight="1" x14ac:dyDescent="0.2">
      <c r="A92" s="64">
        <v>88</v>
      </c>
      <c r="B92" s="64" t="s">
        <v>127</v>
      </c>
      <c r="C92" s="138" t="s">
        <v>685</v>
      </c>
      <c r="D92" s="129" t="s">
        <v>686</v>
      </c>
      <c r="E92" s="62">
        <v>2</v>
      </c>
      <c r="F92" s="62" t="s">
        <v>130</v>
      </c>
      <c r="G92" s="62" t="s">
        <v>124</v>
      </c>
      <c r="H92" s="62" t="s">
        <v>124</v>
      </c>
      <c r="I92" s="180">
        <v>45310</v>
      </c>
      <c r="J92" s="64" t="s">
        <v>122</v>
      </c>
      <c r="K92" s="66" t="s">
        <v>126</v>
      </c>
      <c r="L92" s="178"/>
    </row>
    <row r="93" spans="1:12" ht="25.5" customHeight="1" x14ac:dyDescent="0.2">
      <c r="A93" s="64">
        <v>89</v>
      </c>
      <c r="B93" s="64" t="s">
        <v>127</v>
      </c>
      <c r="C93" s="138" t="s">
        <v>687</v>
      </c>
      <c r="D93" s="129" t="s">
        <v>688</v>
      </c>
      <c r="E93" s="62">
        <v>2</v>
      </c>
      <c r="F93" s="62" t="s">
        <v>291</v>
      </c>
      <c r="G93" s="62" t="s">
        <v>124</v>
      </c>
      <c r="H93" s="62" t="s">
        <v>124</v>
      </c>
      <c r="I93" s="180">
        <v>45351</v>
      </c>
      <c r="J93" s="64" t="s">
        <v>122</v>
      </c>
      <c r="K93" s="66" t="s">
        <v>126</v>
      </c>
      <c r="L93" s="178"/>
    </row>
    <row r="94" spans="1:12" ht="25.5" customHeight="1" x14ac:dyDescent="0.2">
      <c r="A94" s="64">
        <v>90</v>
      </c>
      <c r="B94" s="64" t="s">
        <v>127</v>
      </c>
      <c r="C94" s="138" t="s">
        <v>696</v>
      </c>
      <c r="D94" s="129" t="s">
        <v>725</v>
      </c>
      <c r="E94" s="62">
        <v>3</v>
      </c>
      <c r="F94" s="62" t="s">
        <v>125</v>
      </c>
      <c r="G94" s="62" t="s">
        <v>124</v>
      </c>
      <c r="H94" s="62" t="s">
        <v>124</v>
      </c>
      <c r="I94" s="180">
        <v>45309</v>
      </c>
      <c r="J94" s="64" t="s">
        <v>134</v>
      </c>
      <c r="K94" s="66" t="s">
        <v>126</v>
      </c>
      <c r="L94" s="65"/>
    </row>
    <row r="95" spans="1:12" ht="25.5" customHeight="1" x14ac:dyDescent="0.2">
      <c r="A95" s="64">
        <v>91</v>
      </c>
      <c r="B95" s="64" t="s">
        <v>127</v>
      </c>
      <c r="C95" s="138" t="s">
        <v>697</v>
      </c>
      <c r="D95" s="129" t="s">
        <v>698</v>
      </c>
      <c r="E95" s="62">
        <v>1</v>
      </c>
      <c r="F95" s="62" t="s">
        <v>125</v>
      </c>
      <c r="G95" s="62" t="s">
        <v>124</v>
      </c>
      <c r="H95" s="62" t="s">
        <v>124</v>
      </c>
      <c r="I95" s="180">
        <v>45306</v>
      </c>
      <c r="J95" s="64" t="s">
        <v>123</v>
      </c>
      <c r="K95" s="66" t="s">
        <v>126</v>
      </c>
      <c r="L95" s="178"/>
    </row>
    <row r="96" spans="1:12" ht="25.5" customHeight="1" x14ac:dyDescent="0.2">
      <c r="A96" s="64">
        <v>92</v>
      </c>
      <c r="B96" s="64" t="s">
        <v>127</v>
      </c>
      <c r="C96" s="138" t="s">
        <v>706</v>
      </c>
      <c r="D96" s="129" t="s">
        <v>705</v>
      </c>
      <c r="E96" s="62">
        <v>1</v>
      </c>
      <c r="F96" s="62" t="s">
        <v>125</v>
      </c>
      <c r="G96" s="62" t="s">
        <v>124</v>
      </c>
      <c r="H96" s="62" t="s">
        <v>124</v>
      </c>
      <c r="I96" s="180">
        <v>45310</v>
      </c>
      <c r="J96" s="64" t="s">
        <v>123</v>
      </c>
      <c r="K96" s="66" t="s">
        <v>126</v>
      </c>
      <c r="L96" s="178"/>
    </row>
    <row r="97" spans="1:12" ht="25.5" customHeight="1" x14ac:dyDescent="0.2">
      <c r="A97" s="64">
        <v>93</v>
      </c>
      <c r="B97" s="64" t="s">
        <v>127</v>
      </c>
      <c r="C97" s="138" t="s">
        <v>708</v>
      </c>
      <c r="D97" s="129" t="s">
        <v>707</v>
      </c>
      <c r="E97" s="62">
        <v>1</v>
      </c>
      <c r="F97" s="62" t="s">
        <v>125</v>
      </c>
      <c r="G97" s="62" t="s">
        <v>124</v>
      </c>
      <c r="H97" s="62" t="s">
        <v>124</v>
      </c>
      <c r="I97" s="180">
        <v>45314</v>
      </c>
      <c r="J97" s="64" t="s">
        <v>134</v>
      </c>
      <c r="K97" s="66" t="s">
        <v>126</v>
      </c>
      <c r="L97" s="178"/>
    </row>
    <row r="98" spans="1:12" ht="25.5" customHeight="1" x14ac:dyDescent="0.2">
      <c r="A98" s="64">
        <v>94</v>
      </c>
      <c r="B98" s="64" t="s">
        <v>127</v>
      </c>
      <c r="C98" s="138" t="s">
        <v>710</v>
      </c>
      <c r="D98" s="129" t="s">
        <v>709</v>
      </c>
      <c r="E98" s="62">
        <v>1</v>
      </c>
      <c r="F98" s="62" t="s">
        <v>125</v>
      </c>
      <c r="G98" s="62" t="s">
        <v>124</v>
      </c>
      <c r="H98" s="62" t="s">
        <v>124</v>
      </c>
      <c r="I98" s="180">
        <v>45315</v>
      </c>
      <c r="J98" s="64" t="s">
        <v>134</v>
      </c>
      <c r="K98" s="66" t="s">
        <v>126</v>
      </c>
      <c r="L98" s="178"/>
    </row>
    <row r="99" spans="1:12" ht="25.5" customHeight="1" x14ac:dyDescent="0.2">
      <c r="A99" s="64">
        <v>95</v>
      </c>
      <c r="B99" s="64" t="s">
        <v>127</v>
      </c>
      <c r="C99" s="138" t="s">
        <v>711</v>
      </c>
      <c r="D99" s="129" t="s">
        <v>728</v>
      </c>
      <c r="E99" s="62">
        <v>2</v>
      </c>
      <c r="F99" s="62" t="s">
        <v>125</v>
      </c>
      <c r="G99" s="62" t="s">
        <v>124</v>
      </c>
      <c r="H99" s="62" t="s">
        <v>124</v>
      </c>
      <c r="I99" s="180">
        <v>45338</v>
      </c>
      <c r="J99" s="64" t="s">
        <v>134</v>
      </c>
      <c r="K99" s="158" t="s">
        <v>126</v>
      </c>
      <c r="L99" s="178"/>
    </row>
    <row r="100" spans="1:12" ht="25.5" customHeight="1" x14ac:dyDescent="0.2">
      <c r="A100" s="64">
        <v>96</v>
      </c>
      <c r="B100" s="64" t="s">
        <v>127</v>
      </c>
      <c r="C100" s="138" t="s">
        <v>714</v>
      </c>
      <c r="D100" s="129" t="s">
        <v>713</v>
      </c>
      <c r="E100" s="62">
        <v>1</v>
      </c>
      <c r="F100" s="62" t="s">
        <v>125</v>
      </c>
      <c r="G100" s="62" t="s">
        <v>124</v>
      </c>
      <c r="H100" s="62" t="s">
        <v>124</v>
      </c>
      <c r="I100" s="180">
        <v>45317</v>
      </c>
      <c r="J100" s="64" t="s">
        <v>123</v>
      </c>
      <c r="K100" s="66" t="s">
        <v>126</v>
      </c>
      <c r="L100" s="178"/>
    </row>
    <row r="101" spans="1:12" ht="25.5" customHeight="1" x14ac:dyDescent="0.2">
      <c r="A101" s="64">
        <v>97</v>
      </c>
      <c r="B101" s="64" t="s">
        <v>127</v>
      </c>
      <c r="C101" s="138" t="s">
        <v>739</v>
      </c>
      <c r="D101" s="129" t="s">
        <v>754</v>
      </c>
      <c r="E101" s="62">
        <v>8</v>
      </c>
      <c r="F101" s="62" t="s">
        <v>125</v>
      </c>
      <c r="G101" s="62" t="s">
        <v>124</v>
      </c>
      <c r="H101" s="62" t="s">
        <v>124</v>
      </c>
      <c r="I101" s="180">
        <v>45365</v>
      </c>
      <c r="J101" s="64" t="s">
        <v>132</v>
      </c>
      <c r="K101" s="66" t="s">
        <v>126</v>
      </c>
      <c r="L101" s="178"/>
    </row>
    <row r="102" spans="1:12" ht="25.5" customHeight="1" x14ac:dyDescent="0.2">
      <c r="A102" s="64">
        <v>98</v>
      </c>
      <c r="B102" s="64" t="s">
        <v>127</v>
      </c>
      <c r="C102" s="138" t="s">
        <v>757</v>
      </c>
      <c r="D102" s="129" t="s">
        <v>756</v>
      </c>
      <c r="E102" s="62">
        <v>8</v>
      </c>
      <c r="F102" s="62" t="s">
        <v>125</v>
      </c>
      <c r="G102" s="62" t="s">
        <v>124</v>
      </c>
      <c r="H102" s="62" t="s">
        <v>124</v>
      </c>
      <c r="I102" s="180">
        <v>45380</v>
      </c>
      <c r="J102" s="64" t="s">
        <v>123</v>
      </c>
      <c r="K102" s="66" t="s">
        <v>126</v>
      </c>
      <c r="L102" s="178"/>
    </row>
    <row r="103" spans="1:12" ht="25.5" customHeight="1" x14ac:dyDescent="0.2">
      <c r="A103" s="64">
        <v>99</v>
      </c>
      <c r="B103" s="64" t="s">
        <v>127</v>
      </c>
      <c r="C103" s="138" t="s">
        <v>777</v>
      </c>
      <c r="D103" s="129" t="s">
        <v>778</v>
      </c>
      <c r="E103" s="62">
        <v>1</v>
      </c>
      <c r="F103" s="62" t="s">
        <v>125</v>
      </c>
      <c r="G103" s="62" t="s">
        <v>124</v>
      </c>
      <c r="H103" s="62" t="s">
        <v>124</v>
      </c>
      <c r="I103" s="180">
        <v>45418</v>
      </c>
      <c r="J103" s="64" t="s">
        <v>132</v>
      </c>
      <c r="K103" s="66" t="s">
        <v>126</v>
      </c>
      <c r="L103" s="178"/>
    </row>
    <row r="104" spans="1:12" ht="25.5" customHeight="1" x14ac:dyDescent="0.2">
      <c r="A104" s="64">
        <v>100</v>
      </c>
      <c r="B104" s="64" t="s">
        <v>127</v>
      </c>
      <c r="C104" s="138" t="s">
        <v>781</v>
      </c>
      <c r="D104" s="129" t="s">
        <v>780</v>
      </c>
      <c r="E104" s="62">
        <v>1</v>
      </c>
      <c r="F104" s="62" t="s">
        <v>125</v>
      </c>
      <c r="G104" s="62" t="s">
        <v>124</v>
      </c>
      <c r="H104" s="62" t="s">
        <v>124</v>
      </c>
      <c r="I104" s="180">
        <v>45436</v>
      </c>
      <c r="J104" s="64" t="s">
        <v>132</v>
      </c>
      <c r="K104" s="66" t="s">
        <v>126</v>
      </c>
      <c r="L104" s="178"/>
    </row>
    <row r="105" spans="1:12" ht="25.5" customHeight="1" x14ac:dyDescent="0.2">
      <c r="A105" s="64">
        <v>101</v>
      </c>
      <c r="B105" s="64" t="s">
        <v>127</v>
      </c>
      <c r="C105" s="138" t="s">
        <v>784</v>
      </c>
      <c r="D105" s="129" t="s">
        <v>783</v>
      </c>
      <c r="E105" s="62">
        <v>1</v>
      </c>
      <c r="F105" s="62" t="s">
        <v>125</v>
      </c>
      <c r="G105" s="62" t="s">
        <v>124</v>
      </c>
      <c r="H105" s="62" t="s">
        <v>124</v>
      </c>
      <c r="I105" s="180">
        <v>45457</v>
      </c>
      <c r="J105" s="64" t="s">
        <v>123</v>
      </c>
      <c r="K105" s="66" t="s">
        <v>126</v>
      </c>
      <c r="L105" s="178"/>
    </row>
    <row r="106" spans="1:12" ht="25.5" customHeight="1" x14ac:dyDescent="0.2">
      <c r="A106" s="64">
        <v>102</v>
      </c>
      <c r="B106" s="64" t="s">
        <v>127</v>
      </c>
      <c r="C106" s="138" t="s">
        <v>785</v>
      </c>
      <c r="D106" s="194" t="s">
        <v>787</v>
      </c>
      <c r="E106" s="62">
        <v>1</v>
      </c>
      <c r="F106" s="62" t="s">
        <v>125</v>
      </c>
      <c r="G106" s="62" t="s">
        <v>124</v>
      </c>
      <c r="H106" s="62" t="s">
        <v>124</v>
      </c>
      <c r="I106" s="180">
        <v>45457</v>
      </c>
      <c r="J106" s="64" t="s">
        <v>134</v>
      </c>
      <c r="K106" s="66" t="s">
        <v>126</v>
      </c>
      <c r="L106" s="178"/>
    </row>
    <row r="107" spans="1:12" ht="25.5" customHeight="1" x14ac:dyDescent="0.2">
      <c r="A107" s="64">
        <v>103</v>
      </c>
      <c r="B107" s="64" t="s">
        <v>127</v>
      </c>
      <c r="C107" s="138" t="s">
        <v>786</v>
      </c>
      <c r="D107" s="129" t="s">
        <v>788</v>
      </c>
      <c r="E107" s="62">
        <v>1</v>
      </c>
      <c r="F107" s="62" t="s">
        <v>125</v>
      </c>
      <c r="G107" s="62" t="s">
        <v>124</v>
      </c>
      <c r="H107" s="62" t="s">
        <v>124</v>
      </c>
      <c r="I107" s="180">
        <v>45463</v>
      </c>
      <c r="J107" s="64" t="s">
        <v>132</v>
      </c>
      <c r="K107" s="66" t="s">
        <v>126</v>
      </c>
      <c r="L107" s="178"/>
    </row>
    <row r="108" spans="1:12" ht="25.5" customHeight="1" x14ac:dyDescent="0.2">
      <c r="A108" s="64">
        <v>104</v>
      </c>
      <c r="B108" s="64" t="s">
        <v>127</v>
      </c>
      <c r="C108" s="138" t="s">
        <v>789</v>
      </c>
      <c r="D108" s="118" t="s">
        <v>791</v>
      </c>
      <c r="E108" s="62">
        <v>1</v>
      </c>
      <c r="F108" s="62" t="s">
        <v>125</v>
      </c>
      <c r="G108" s="62" t="s">
        <v>124</v>
      </c>
      <c r="H108" s="62" t="s">
        <v>124</v>
      </c>
      <c r="I108" s="180">
        <v>45463</v>
      </c>
      <c r="J108" s="64" t="s">
        <v>132</v>
      </c>
      <c r="K108" s="66" t="s">
        <v>126</v>
      </c>
      <c r="L108" s="178"/>
    </row>
    <row r="109" spans="1:12" ht="25.5" customHeight="1" x14ac:dyDescent="0.2">
      <c r="A109" s="64">
        <v>105</v>
      </c>
      <c r="B109" s="64" t="s">
        <v>127</v>
      </c>
      <c r="C109" s="138" t="s">
        <v>790</v>
      </c>
      <c r="D109" s="195" t="s">
        <v>792</v>
      </c>
      <c r="E109" s="62">
        <v>1</v>
      </c>
      <c r="F109" s="62" t="s">
        <v>125</v>
      </c>
      <c r="G109" s="62" t="s">
        <v>124</v>
      </c>
      <c r="H109" s="62" t="s">
        <v>124</v>
      </c>
      <c r="I109" s="180">
        <v>45463</v>
      </c>
      <c r="J109" s="64" t="s">
        <v>132</v>
      </c>
      <c r="K109" s="66" t="s">
        <v>126</v>
      </c>
      <c r="L109" s="178"/>
    </row>
    <row r="110" spans="1:12" ht="25.5" customHeight="1" x14ac:dyDescent="0.2">
      <c r="A110" s="64">
        <v>106</v>
      </c>
      <c r="B110" s="64" t="s">
        <v>127</v>
      </c>
      <c r="C110" s="138" t="s">
        <v>795</v>
      </c>
      <c r="D110" s="129" t="s">
        <v>793</v>
      </c>
      <c r="E110" s="62">
        <v>1</v>
      </c>
      <c r="F110" s="62" t="s">
        <v>125</v>
      </c>
      <c r="G110" s="62" t="s">
        <v>124</v>
      </c>
      <c r="H110" s="62" t="s">
        <v>124</v>
      </c>
      <c r="I110" s="180">
        <v>45475</v>
      </c>
      <c r="J110" s="64" t="s">
        <v>132</v>
      </c>
      <c r="K110" s="66" t="s">
        <v>126</v>
      </c>
      <c r="L110" s="178"/>
    </row>
    <row r="111" spans="1:12" ht="25.5" customHeight="1" x14ac:dyDescent="0.2">
      <c r="A111" s="64">
        <v>107</v>
      </c>
      <c r="B111" s="64" t="s">
        <v>127</v>
      </c>
      <c r="C111" s="138" t="s">
        <v>796</v>
      </c>
      <c r="D111" s="129" t="s">
        <v>794</v>
      </c>
      <c r="E111" s="62">
        <v>1</v>
      </c>
      <c r="F111" s="62" t="s">
        <v>130</v>
      </c>
      <c r="G111" s="62" t="s">
        <v>124</v>
      </c>
      <c r="H111" s="62" t="s">
        <v>124</v>
      </c>
      <c r="I111" s="180">
        <v>45490</v>
      </c>
      <c r="J111" s="64" t="s">
        <v>132</v>
      </c>
      <c r="K111" s="196" t="s">
        <v>126</v>
      </c>
      <c r="L111" s="178"/>
    </row>
    <row r="112" spans="1:12" ht="25.5" customHeight="1" x14ac:dyDescent="0.2">
      <c r="A112" s="64">
        <v>108</v>
      </c>
      <c r="B112" s="64" t="s">
        <v>127</v>
      </c>
      <c r="C112" s="138" t="s">
        <v>797</v>
      </c>
      <c r="D112" s="194" t="s">
        <v>798</v>
      </c>
      <c r="E112" s="62">
        <v>1</v>
      </c>
      <c r="F112" s="62" t="s">
        <v>125</v>
      </c>
      <c r="G112" s="62" t="s">
        <v>124</v>
      </c>
      <c r="H112" s="62" t="s">
        <v>124</v>
      </c>
      <c r="I112" s="180">
        <v>45482</v>
      </c>
      <c r="J112" s="64" t="s">
        <v>132</v>
      </c>
      <c r="K112" s="66" t="s">
        <v>126</v>
      </c>
      <c r="L112" s="178"/>
    </row>
    <row r="113" spans="1:12" ht="25.5" customHeight="1" x14ac:dyDescent="0.2">
      <c r="A113" s="64">
        <v>109</v>
      </c>
      <c r="B113" s="64" t="s">
        <v>127</v>
      </c>
      <c r="C113" s="138" t="s">
        <v>801</v>
      </c>
      <c r="D113" s="129" t="s">
        <v>802</v>
      </c>
      <c r="E113" s="62">
        <v>1</v>
      </c>
      <c r="F113" s="62" t="s">
        <v>125</v>
      </c>
      <c r="G113" s="62" t="s">
        <v>124</v>
      </c>
      <c r="H113" s="62" t="s">
        <v>124</v>
      </c>
      <c r="I113" s="180">
        <v>45463</v>
      </c>
      <c r="J113" s="64" t="s">
        <v>132</v>
      </c>
      <c r="K113" s="198" t="s">
        <v>126</v>
      </c>
      <c r="L113" s="178"/>
    </row>
    <row r="114" spans="1:12" ht="25.5" customHeight="1" x14ac:dyDescent="0.2">
      <c r="A114" s="64">
        <v>110</v>
      </c>
      <c r="B114" s="64" t="s">
        <v>127</v>
      </c>
      <c r="C114" s="138" t="s">
        <v>803</v>
      </c>
      <c r="D114" s="129" t="s">
        <v>804</v>
      </c>
      <c r="E114" s="62">
        <v>1</v>
      </c>
      <c r="F114" s="62" t="s">
        <v>130</v>
      </c>
      <c r="G114" s="62" t="s">
        <v>124</v>
      </c>
      <c r="H114" s="62" t="s">
        <v>124</v>
      </c>
      <c r="I114" s="180">
        <v>45500</v>
      </c>
      <c r="J114" s="64" t="s">
        <v>123</v>
      </c>
      <c r="K114" s="198" t="s">
        <v>126</v>
      </c>
      <c r="L114" s="178"/>
    </row>
    <row r="115" spans="1:12" ht="25.5" customHeight="1" x14ac:dyDescent="0.2">
      <c r="A115" s="64">
        <v>111</v>
      </c>
      <c r="B115" s="64" t="s">
        <v>127</v>
      </c>
      <c r="C115" s="138" t="s">
        <v>809</v>
      </c>
      <c r="D115" s="129" t="s">
        <v>811</v>
      </c>
      <c r="E115" s="62">
        <v>1</v>
      </c>
      <c r="F115" s="62" t="s">
        <v>125</v>
      </c>
      <c r="G115" s="62" t="s">
        <v>124</v>
      </c>
      <c r="H115" s="62" t="s">
        <v>124</v>
      </c>
      <c r="I115" s="180">
        <v>45490</v>
      </c>
      <c r="J115" s="64" t="s">
        <v>132</v>
      </c>
      <c r="K115" s="198" t="s">
        <v>126</v>
      </c>
      <c r="L115" s="178"/>
    </row>
    <row r="116" spans="1:12" ht="25.5" customHeight="1" x14ac:dyDescent="0.2">
      <c r="A116" s="64">
        <v>112</v>
      </c>
      <c r="B116" s="64" t="s">
        <v>127</v>
      </c>
      <c r="C116" s="138" t="s">
        <v>810</v>
      </c>
      <c r="D116" s="129" t="s">
        <v>812</v>
      </c>
      <c r="E116" s="62">
        <v>1</v>
      </c>
      <c r="F116" s="62" t="s">
        <v>125</v>
      </c>
      <c r="G116" s="62" t="s">
        <v>124</v>
      </c>
      <c r="H116" s="62" t="s">
        <v>124</v>
      </c>
      <c r="I116" s="180">
        <v>45490</v>
      </c>
      <c r="J116" s="64" t="s">
        <v>132</v>
      </c>
      <c r="K116" s="198" t="s">
        <v>126</v>
      </c>
      <c r="L116" s="178"/>
    </row>
    <row r="117" spans="1:12" ht="25.5" customHeight="1" x14ac:dyDescent="0.2">
      <c r="A117" s="64">
        <v>113</v>
      </c>
      <c r="B117" s="64" t="s">
        <v>127</v>
      </c>
      <c r="C117" s="138" t="s">
        <v>813</v>
      </c>
      <c r="D117" s="129" t="s">
        <v>814</v>
      </c>
      <c r="E117" s="62">
        <v>1</v>
      </c>
      <c r="F117" s="62" t="s">
        <v>125</v>
      </c>
      <c r="G117" s="62" t="s">
        <v>124</v>
      </c>
      <c r="H117" s="62" t="s">
        <v>124</v>
      </c>
      <c r="I117" s="180">
        <v>45492</v>
      </c>
      <c r="J117" s="64" t="s">
        <v>122</v>
      </c>
      <c r="K117" s="198" t="s">
        <v>126</v>
      </c>
      <c r="L117" s="178"/>
    </row>
    <row r="118" spans="1:12" ht="25.5" customHeight="1" x14ac:dyDescent="0.2">
      <c r="A118" s="64">
        <v>114</v>
      </c>
      <c r="B118" s="64" t="s">
        <v>127</v>
      </c>
      <c r="C118" s="138" t="s">
        <v>824</v>
      </c>
      <c r="D118" s="129" t="s">
        <v>825</v>
      </c>
      <c r="E118" s="62">
        <v>1</v>
      </c>
      <c r="F118" s="62" t="s">
        <v>291</v>
      </c>
      <c r="G118" s="62" t="s">
        <v>124</v>
      </c>
      <c r="H118" s="62" t="s">
        <v>124</v>
      </c>
      <c r="I118" s="180">
        <v>45541</v>
      </c>
      <c r="J118" s="64" t="s">
        <v>123</v>
      </c>
      <c r="K118" s="198" t="s">
        <v>126</v>
      </c>
      <c r="L118" s="178"/>
    </row>
    <row r="119" spans="1:12" ht="25.5" customHeight="1" x14ac:dyDescent="0.2">
      <c r="A119" s="64">
        <v>115</v>
      </c>
      <c r="B119" s="64" t="s">
        <v>127</v>
      </c>
      <c r="C119" s="138" t="s">
        <v>837</v>
      </c>
      <c r="D119" s="129" t="s">
        <v>838</v>
      </c>
      <c r="E119" s="62"/>
      <c r="F119" s="62"/>
      <c r="G119" s="62"/>
      <c r="H119" s="62"/>
      <c r="I119" s="180">
        <v>46261</v>
      </c>
      <c r="J119" s="64" t="s">
        <v>134</v>
      </c>
      <c r="K119" s="66"/>
      <c r="L119" s="178"/>
    </row>
    <row r="120" spans="1:12" ht="25.5" customHeight="1" x14ac:dyDescent="0.2">
      <c r="A120" s="64"/>
      <c r="B120" s="64"/>
      <c r="C120" s="138"/>
      <c r="D120" s="129"/>
      <c r="E120" s="62"/>
      <c r="F120" s="62"/>
      <c r="G120" s="62"/>
      <c r="H120" s="62"/>
      <c r="I120" s="180"/>
      <c r="J120" s="64"/>
      <c r="K120" s="66"/>
      <c r="L120" s="178"/>
    </row>
    <row r="121" spans="1:12" ht="25.5" customHeight="1" x14ac:dyDescent="0.2">
      <c r="A121" s="64"/>
      <c r="B121" s="64"/>
      <c r="C121" s="138"/>
      <c r="D121" s="129"/>
      <c r="E121" s="65"/>
      <c r="F121" s="65"/>
      <c r="G121" s="65"/>
      <c r="H121" s="65"/>
      <c r="I121" s="65"/>
      <c r="J121" s="64"/>
      <c r="K121" s="65"/>
      <c r="L121" s="65"/>
    </row>
  </sheetData>
  <mergeCells count="6">
    <mergeCell ref="A1:L1"/>
    <mergeCell ref="A2:L2"/>
    <mergeCell ref="A3:D3"/>
    <mergeCell ref="G3:H3"/>
    <mergeCell ref="I3:J3"/>
    <mergeCell ref="L3:L4"/>
  </mergeCells>
  <phoneticPr fontId="30" type="noConversion"/>
  <hyperlinks>
    <hyperlink ref="K7" r:id="rId1" xr:uid="{00000000-0004-0000-0300-000000000000}"/>
    <hyperlink ref="K6" r:id="rId2" xr:uid="{00000000-0004-0000-0300-000001000000}"/>
    <hyperlink ref="K14" r:id="rId3" display="..\SKETCHES\OFO-P2171-SK-010" xr:uid="{00000000-0004-0000-0300-000002000000}"/>
    <hyperlink ref="K22" r:id="rId4" xr:uid="{00000000-0004-0000-0300-000003000000}"/>
    <hyperlink ref="K21" r:id="rId5" xr:uid="{00000000-0004-0000-0300-000004000000}"/>
    <hyperlink ref="K12" r:id="rId6" xr:uid="{00000000-0004-0000-0300-000005000000}"/>
    <hyperlink ref="K13" r:id="rId7" display="..\SKETCHES\OFO-P2171-SK-009" xr:uid="{00000000-0004-0000-0300-000006000000}"/>
    <hyperlink ref="K23" r:id="rId8" xr:uid="{00000000-0004-0000-0300-000007000000}"/>
    <hyperlink ref="K26" r:id="rId9" xr:uid="{00000000-0004-0000-0300-000008000000}"/>
    <hyperlink ref="K27" r:id="rId10" xr:uid="{00000000-0004-0000-0300-000009000000}"/>
    <hyperlink ref="K31" r:id="rId11" xr:uid="{00000000-0004-0000-0300-00000A000000}"/>
    <hyperlink ref="K5" r:id="rId12" xr:uid="{00000000-0004-0000-0300-00000B000000}"/>
    <hyperlink ref="K8" r:id="rId13" xr:uid="{00000000-0004-0000-0300-00000C000000}"/>
    <hyperlink ref="K9" r:id="rId14" xr:uid="{00000000-0004-0000-0300-00000D000000}"/>
    <hyperlink ref="K10" r:id="rId15" xr:uid="{00000000-0004-0000-0300-00000E000000}"/>
    <hyperlink ref="K11" r:id="rId16" xr:uid="{00000000-0004-0000-0300-00000F000000}"/>
    <hyperlink ref="K35" r:id="rId17" xr:uid="{00000000-0004-0000-0300-000010000000}"/>
    <hyperlink ref="K36" r:id="rId18" xr:uid="{00000000-0004-0000-0300-000011000000}"/>
    <hyperlink ref="K39" r:id="rId19" xr:uid="{00000000-0004-0000-0300-000012000000}"/>
    <hyperlink ref="K41" r:id="rId20" xr:uid="{00000000-0004-0000-0300-000013000000}"/>
    <hyperlink ref="K50" r:id="rId21" xr:uid="{00000000-0004-0000-0300-000014000000}"/>
    <hyperlink ref="K42" r:id="rId22" xr:uid="{00000000-0004-0000-0300-000015000000}"/>
    <hyperlink ref="K43" r:id="rId23" xr:uid="{00000000-0004-0000-0300-000016000000}"/>
    <hyperlink ref="K45" r:id="rId24" xr:uid="{00000000-0004-0000-0300-000017000000}"/>
    <hyperlink ref="K46" r:id="rId25" xr:uid="{00000000-0004-0000-0300-000018000000}"/>
    <hyperlink ref="K47" r:id="rId26" xr:uid="{00000000-0004-0000-0300-000019000000}"/>
    <hyperlink ref="K48" r:id="rId27" xr:uid="{00000000-0004-0000-0300-00001A000000}"/>
    <hyperlink ref="K49" r:id="rId28" xr:uid="{00000000-0004-0000-0300-00001B000000}"/>
    <hyperlink ref="K44" r:id="rId29" xr:uid="{00000000-0004-0000-0300-00001C000000}"/>
    <hyperlink ref="K51" r:id="rId30" xr:uid="{00000000-0004-0000-0300-00001D000000}"/>
    <hyperlink ref="K37" r:id="rId31" xr:uid="{00000000-0004-0000-0300-00001E000000}"/>
    <hyperlink ref="K40" r:id="rId32" xr:uid="{00000000-0004-0000-0300-00001F000000}"/>
    <hyperlink ref="K38" r:id="rId33" xr:uid="{00000000-0004-0000-0300-000020000000}"/>
    <hyperlink ref="K52" r:id="rId34" xr:uid="{00000000-0004-0000-0300-000021000000}"/>
    <hyperlink ref="K54" r:id="rId35" xr:uid="{00000000-0004-0000-0300-000022000000}"/>
    <hyperlink ref="K55" r:id="rId36" xr:uid="{00000000-0004-0000-0300-000023000000}"/>
    <hyperlink ref="K15" r:id="rId37" xr:uid="{00000000-0004-0000-0300-000024000000}"/>
    <hyperlink ref="K16" r:id="rId38" xr:uid="{00000000-0004-0000-0300-000025000000}"/>
    <hyperlink ref="K17" r:id="rId39" xr:uid="{00000000-0004-0000-0300-000026000000}"/>
    <hyperlink ref="K18" r:id="rId40" xr:uid="{00000000-0004-0000-0300-000027000000}"/>
    <hyperlink ref="K19" r:id="rId41" xr:uid="{00000000-0004-0000-0300-000028000000}"/>
    <hyperlink ref="K20" r:id="rId42" xr:uid="{00000000-0004-0000-0300-000029000000}"/>
    <hyperlink ref="K53" r:id="rId43" xr:uid="{00000000-0004-0000-0300-00002A000000}"/>
    <hyperlink ref="K63" r:id="rId44" xr:uid="{00000000-0004-0000-0300-00002B000000}"/>
    <hyperlink ref="K57" r:id="rId45" xr:uid="{00000000-0004-0000-0300-00002C000000}"/>
    <hyperlink ref="K59" r:id="rId46" xr:uid="{00000000-0004-0000-0300-00002D000000}"/>
    <hyperlink ref="K61" r:id="rId47" xr:uid="{00000000-0004-0000-0300-00002E000000}"/>
    <hyperlink ref="K66" r:id="rId48" xr:uid="{00000000-0004-0000-0300-00002F000000}"/>
    <hyperlink ref="K67" r:id="rId49" xr:uid="{00000000-0004-0000-0300-000030000000}"/>
    <hyperlink ref="K68" r:id="rId50" xr:uid="{00000000-0004-0000-0300-000031000000}"/>
    <hyperlink ref="K65" r:id="rId51" xr:uid="{00000000-0004-0000-0300-000032000000}"/>
    <hyperlink ref="K62" r:id="rId52" xr:uid="{00000000-0004-0000-0300-000033000000}"/>
    <hyperlink ref="K56" r:id="rId53" xr:uid="{00000000-0004-0000-0300-000034000000}"/>
    <hyperlink ref="K64" r:id="rId54" xr:uid="{00000000-0004-0000-0300-000035000000}"/>
    <hyperlink ref="K69" r:id="rId55" xr:uid="{00000000-0004-0000-0300-000036000000}"/>
    <hyperlink ref="K70" r:id="rId56" xr:uid="{00000000-0004-0000-0300-000037000000}"/>
    <hyperlink ref="K71" r:id="rId57" xr:uid="{00000000-0004-0000-0300-000038000000}"/>
    <hyperlink ref="K72" r:id="rId58" xr:uid="{00000000-0004-0000-0300-000039000000}"/>
    <hyperlink ref="K73" r:id="rId59" xr:uid="{00000000-0004-0000-0300-00003A000000}"/>
    <hyperlink ref="K74" r:id="rId60" xr:uid="{00000000-0004-0000-0300-00003B000000}"/>
    <hyperlink ref="K76" r:id="rId61" xr:uid="{00000000-0004-0000-0300-00003C000000}"/>
    <hyperlink ref="K77" r:id="rId62" xr:uid="{00000000-0004-0000-0300-00003D000000}"/>
    <hyperlink ref="K78" r:id="rId63" xr:uid="{00000000-0004-0000-0300-00003E000000}"/>
    <hyperlink ref="K79" r:id="rId64" xr:uid="{00000000-0004-0000-0300-00003F000000}"/>
    <hyperlink ref="K80" r:id="rId65" xr:uid="{00000000-0004-0000-0300-000040000000}"/>
    <hyperlink ref="K81" r:id="rId66" xr:uid="{00000000-0004-0000-0300-000041000000}"/>
    <hyperlink ref="K58" r:id="rId67" xr:uid="{00000000-0004-0000-0300-000042000000}"/>
    <hyperlink ref="K60" r:id="rId68" xr:uid="{00000000-0004-0000-0300-000043000000}"/>
    <hyperlink ref="K82" r:id="rId69" xr:uid="{00000000-0004-0000-0300-000044000000}"/>
    <hyperlink ref="K83" r:id="rId70" xr:uid="{00000000-0004-0000-0300-000045000000}"/>
    <hyperlink ref="K84" r:id="rId71" xr:uid="{00000000-0004-0000-0300-000046000000}"/>
    <hyperlink ref="K85" r:id="rId72" xr:uid="{00000000-0004-0000-0300-000047000000}"/>
    <hyperlink ref="K86" r:id="rId73" xr:uid="{00000000-0004-0000-0300-000048000000}"/>
    <hyperlink ref="K87" r:id="rId74" xr:uid="{00000000-0004-0000-0300-000049000000}"/>
    <hyperlink ref="K88" r:id="rId75" xr:uid="{00000000-0004-0000-0300-00004A000000}"/>
    <hyperlink ref="K89" r:id="rId76" xr:uid="{00000000-0004-0000-0300-00004B000000}"/>
    <hyperlink ref="K91" r:id="rId77" xr:uid="{00000000-0004-0000-0300-00004C000000}"/>
    <hyperlink ref="K92" r:id="rId78" xr:uid="{00000000-0004-0000-0300-00004D000000}"/>
    <hyperlink ref="K93" r:id="rId79" xr:uid="{00000000-0004-0000-0300-00004E000000}"/>
    <hyperlink ref="K95" r:id="rId80" xr:uid="{00000000-0004-0000-0300-00004F000000}"/>
    <hyperlink ref="K90" r:id="rId81" xr:uid="{00000000-0004-0000-0300-000050000000}"/>
    <hyperlink ref="K100" r:id="rId82" xr:uid="{00000000-0004-0000-0300-000051000000}"/>
    <hyperlink ref="K94" r:id="rId83" xr:uid="{00000000-0004-0000-0300-000052000000}"/>
    <hyperlink ref="K97" r:id="rId84" xr:uid="{00000000-0004-0000-0300-000053000000}"/>
    <hyperlink ref="K98" r:id="rId85" xr:uid="{00000000-0004-0000-0300-000054000000}"/>
    <hyperlink ref="K99" r:id="rId86" xr:uid="{00000000-0004-0000-0300-000055000000}"/>
    <hyperlink ref="K101" r:id="rId87" xr:uid="{00000000-0004-0000-0300-000056000000}"/>
    <hyperlink ref="K102" r:id="rId88" xr:uid="{00000000-0004-0000-0300-000057000000}"/>
    <hyperlink ref="K103" r:id="rId89" xr:uid="{00000000-0004-0000-0300-000058000000}"/>
    <hyperlink ref="K104" r:id="rId90" xr:uid="{00000000-0004-0000-0300-000059000000}"/>
    <hyperlink ref="K96" r:id="rId91" xr:uid="{00000000-0004-0000-0300-00005A000000}"/>
    <hyperlink ref="K105" r:id="rId92" xr:uid="{00000000-0004-0000-0300-00005B000000}"/>
    <hyperlink ref="K107" r:id="rId93" xr:uid="{00000000-0004-0000-0300-00005C000000}"/>
    <hyperlink ref="K108" r:id="rId94" xr:uid="{00000000-0004-0000-0300-00005D000000}"/>
    <hyperlink ref="K109" r:id="rId95" xr:uid="{00000000-0004-0000-0300-00005E000000}"/>
    <hyperlink ref="K106" r:id="rId96" xr:uid="{00000000-0004-0000-0300-00005F000000}"/>
    <hyperlink ref="K110" r:id="rId97" xr:uid="{00000000-0004-0000-0300-000060000000}"/>
    <hyperlink ref="K111" r:id="rId98" xr:uid="{00000000-0004-0000-0300-000061000000}"/>
    <hyperlink ref="K112" r:id="rId99" xr:uid="{00000000-0004-0000-0300-000062000000}"/>
    <hyperlink ref="K113" r:id="rId100" xr:uid="{7F39AF59-BFAF-4E31-9DA0-1CA85ED396F3}"/>
    <hyperlink ref="K115" r:id="rId101" xr:uid="{E70B0431-05B0-41E9-B067-5DBE0248D349}"/>
    <hyperlink ref="K117" r:id="rId102" xr:uid="{54386400-6235-4EB4-9DF0-AB053833CFDF}"/>
    <hyperlink ref="K114" r:id="rId103" xr:uid="{3AFF0A98-243D-43A9-95DE-ACE1D1322EC9}"/>
    <hyperlink ref="K118" r:id="rId104" xr:uid="{3D2F65AF-F6EC-4656-8453-A9CFB987BD18}"/>
    <hyperlink ref="K116" r:id="rId105" xr:uid="{4D208D7A-D521-4ADE-9DB8-B70317149A9E}"/>
  </hyperlinks>
  <pageMargins left="0.7" right="0.7" top="0.75" bottom="0.75" header="0.3" footer="0.3"/>
  <pageSetup paperSize="9" orientation="portrait" r:id="rId106"/>
  <drawing r:id="rId10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PIPELINE &amp; CABLE</vt:lpstr>
      <vt:lpstr>Documents - Naval &amp; Marine</vt:lpstr>
      <vt:lpstr>DRAWINGS</vt:lpstr>
      <vt:lpstr>SKETCHES</vt:lpstr>
      <vt:lpstr>'Documents - Naval &amp; Marine'!Print_Titles</vt:lpstr>
      <vt:lpstr>DRAWINGS!Print_Titles</vt:lpstr>
      <vt:lpstr>'PIPELINE &amp; CABLE'!Print_Titles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Anjalib@npcc.ae</dc:creator>
  <cp:lastModifiedBy>Ravichandran Kumaran Nair (Energy)</cp:lastModifiedBy>
  <cp:lastPrinted>2021-03-22T04:31:28Z</cp:lastPrinted>
  <dcterms:created xsi:type="dcterms:W3CDTF">2007-10-29T11:02:38Z</dcterms:created>
  <dcterms:modified xsi:type="dcterms:W3CDTF">2026-08-27T09:32:11Z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