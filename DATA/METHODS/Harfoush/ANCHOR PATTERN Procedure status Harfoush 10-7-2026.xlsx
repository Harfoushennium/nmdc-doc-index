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Nmdc.local\fs\DATA\OFFSHORE\Support\Methods\DocumentRegister\Offshore Technical Register - Methods (Mathews)\11 Project deliverables\Harfoush\"/>
    </mc:Choice>
  </mc:AlternateContent>
  <xr:revisionPtr revIDLastSave="0" documentId="13_ncr:1_{6220B559-B2C2-4C2F-8201-C222E2A7C1D8}" xr6:coauthVersionLast="47" xr6:coauthVersionMax="47" xr10:uidLastSave="{00000000-0000-0000-0000-000000000000}"/>
  <bookViews>
    <workbookView xWindow="-120" yWindow="-120" windowWidth="29040" windowHeight="15720" xr2:uid="{00000000-000D-0000-FFFF-FFFF00000000}"/>
  </bookViews>
  <sheets>
    <sheet name="PROCEDURES" sheetId="5" r:id="rId1"/>
    <sheet name="APs SAFEEN3000" sheetId="1" r:id="rId2"/>
    <sheet name="APs DLS-4200" sheetId="3" r:id="rId3"/>
    <sheet name="1ST CAMPAIGN" sheetId="2" r:id="rId4"/>
  </sheets>
  <definedNames>
    <definedName name="Slicer_PF">#N/A</definedName>
    <definedName name="Slicer_PF1">#N/A</definedName>
    <definedName name="Slicer_PF2">#N/A</definedName>
    <definedName name="Slicer_SOW">#N/A</definedName>
    <definedName name="Slicer_SOW1">#N/A</definedName>
    <definedName name="Slicer_SOW2">#N/A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4:slicerCache r:id="rId9"/>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5" l="1"/>
  <c r="C30" i="5"/>
  <c r="X30" i="5" l="1"/>
  <c r="U7" i="1" a="1"/>
  <c r="U8" i="1" a="1"/>
  <c r="U9" i="1" a="1"/>
  <c r="U10" i="1" a="1"/>
  <c r="U11" i="1" a="1"/>
  <c r="U12" i="1" a="1"/>
  <c r="U13" i="1" a="1"/>
  <c r="U14" i="1" a="1"/>
  <c r="U15" i="1" a="1"/>
  <c r="U16" i="1" a="1"/>
  <c r="U17" i="1" a="1"/>
  <c r="U18" i="1" a="1"/>
  <c r="U19" i="1" a="1"/>
  <c r="U20" i="1" a="1"/>
  <c r="U21" i="1" a="1"/>
  <c r="U22" i="1" a="1"/>
  <c r="U23" i="1" a="1"/>
  <c r="U24" i="1" a="1"/>
  <c r="U25" i="1" a="1"/>
  <c r="U26" i="1" a="1"/>
  <c r="U27" i="1" a="1"/>
  <c r="U28" i="1" a="1"/>
  <c r="U29" i="1" a="1"/>
  <c r="U30" i="1" a="1"/>
  <c r="U31" i="1" a="1"/>
  <c r="U32" i="1" a="1"/>
  <c r="U33" i="1" a="1"/>
  <c r="U34" i="1" a="1"/>
  <c r="U35" i="1" a="1"/>
  <c r="U36" i="1" a="1"/>
  <c r="U10" i="3" a="1"/>
  <c r="U11" i="3" a="1"/>
  <c r="U7" i="3" a="1"/>
  <c r="U8" i="3" a="1"/>
  <c r="U9" i="3" a="1"/>
  <c r="U12" i="3" a="1"/>
  <c r="U13" i="3" a="1"/>
  <c r="U14" i="3" a="1"/>
  <c r="U15" i="3" a="1"/>
  <c r="U16" i="3" a="1"/>
  <c r="U17" i="3" a="1"/>
  <c r="U18" i="3" a="1"/>
  <c r="U19" i="3" a="1"/>
  <c r="U20" i="3" a="1"/>
  <c r="U21" i="3" a="1"/>
  <c r="U22" i="3" a="1"/>
  <c r="U23" i="3" a="1"/>
  <c r="U24" i="3" a="1"/>
  <c r="U25" i="3" a="1"/>
  <c r="U26" i="3" a="1"/>
  <c r="U27" i="3" a="1"/>
  <c r="U28" i="3" a="1"/>
  <c r="U29" i="3" a="1"/>
  <c r="U30" i="3" a="1"/>
  <c r="U31" i="3" a="1"/>
  <c r="U32" i="3" a="1"/>
  <c r="U33" i="3" a="1"/>
  <c r="U34" i="3" a="1"/>
  <c r="U35" i="3" a="1"/>
  <c r="U36" i="3" a="1"/>
  <c r="U37" i="3" a="1"/>
  <c r="U38" i="3" a="1"/>
  <c r="U39" i="3" a="1"/>
  <c r="F40" i="3"/>
  <c r="C40" i="3"/>
  <c r="F37" i="1"/>
  <c r="C37" i="1"/>
  <c r="T13" i="2" a="1"/>
  <c r="T12" i="2" a="1"/>
  <c r="T11" i="2" a="1"/>
  <c r="T10" i="2" a="1"/>
  <c r="T9" i="2" a="1"/>
  <c r="T8" i="2" a="1"/>
  <c r="T7" i="2" a="1"/>
  <c r="T6" i="2" a="1"/>
  <c r="T5" i="2" a="1"/>
  <c r="U37" i="1" l="1"/>
  <c r="U40"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<sst xmlns="http://schemas.openxmlformats.org/spreadsheetml/2006/main" count="712" uniqueCount="290">
  <si>
    <t>HAIL AND GHASHA DEVELOPMENT PROJECT</t>
  </si>
  <si>
    <t>PROCEDURES STATUS</t>
  </si>
  <si>
    <t>UPDATE</t>
  </si>
  <si>
    <t>CYCLE 01</t>
  </si>
  <si>
    <t>CYCLE 02</t>
  </si>
  <si>
    <t>CYCLE 03</t>
  </si>
  <si>
    <t>CYCLE 04</t>
  </si>
  <si>
    <t>CLT</t>
  </si>
  <si>
    <t>ABL</t>
  </si>
  <si>
    <t>RINA</t>
  </si>
  <si>
    <t>DOC NO</t>
  </si>
  <si>
    <t>SOW</t>
  </si>
  <si>
    <t>PF</t>
  </si>
  <si>
    <t>Title</t>
  </si>
  <si>
    <t xml:space="preserve">CYL#01 REV </t>
  </si>
  <si>
    <t>CYL#01      ISSUE DATA</t>
  </si>
  <si>
    <t>CYL#01 CRS  STK#01</t>
  </si>
  <si>
    <t>CYL#01 CRS STK#02</t>
  </si>
  <si>
    <t>CYL#01 CRS STK#03</t>
  </si>
  <si>
    <t>CYL#02 REV</t>
  </si>
  <si>
    <t>CL#02      ISSUE DATE</t>
  </si>
  <si>
    <t>CRS CYL#02 STK#01</t>
  </si>
  <si>
    <t>CRS CYL#02 STK#02</t>
  </si>
  <si>
    <t>CRS CYL#02 STK#03</t>
  </si>
  <si>
    <t>CYL#03 REV</t>
  </si>
  <si>
    <t>CYL#03      ISSUE DATE</t>
  </si>
  <si>
    <t>CYL#03 CRS  STK#01</t>
  </si>
  <si>
    <t>CYL#03 CRS STK#02</t>
  </si>
  <si>
    <t>CYL#03 CRS STK#03</t>
  </si>
  <si>
    <t>CYL#04 REV</t>
  </si>
  <si>
    <t>CL#04      ISSUE DATE</t>
  </si>
  <si>
    <t>CRS CYL#04 STK#01</t>
  </si>
  <si>
    <t>CRS CYL#04 STK#02</t>
  </si>
  <si>
    <t>CRS CYL#04 STK#03</t>
  </si>
  <si>
    <t>NOTES</t>
  </si>
  <si>
    <t>1-CF0000-31-PRO-2625-00</t>
  </si>
  <si>
    <t>RIS-SP</t>
  </si>
  <si>
    <t>GOP-SRP</t>
  </si>
  <si>
    <t>STALK ON RISERS INSTALLATION PROCEDURE (DLS4200) AT GOP-SRP</t>
  </si>
  <si>
    <t>A1</t>
  </si>
  <si>
    <t>X100</t>
  </si>
  <si>
    <t>00</t>
  </si>
  <si>
    <t>1-CF0000-31-PRO-2402-00</t>
  </si>
  <si>
    <t>DECK</t>
  </si>
  <si>
    <t>TOPSIDES INSTALLATION PROCEDURE (GOP-SRP)</t>
  </si>
  <si>
    <t>1-GH5100-31-PRO-2677-00</t>
  </si>
  <si>
    <t>TOPSIDE INSTALLATION PROCEDURE (DLS4200) AT GOP-SRP</t>
  </si>
  <si>
    <t>1-CF0000-31-PRO-2404-00</t>
  </si>
  <si>
    <t>BRD</t>
  </si>
  <si>
    <t>BRIDGES INSTALLATION PROCEDURE (GOP-SRP)</t>
  </si>
  <si>
    <t>1-GH5100-31-PRO-2678-00</t>
  </si>
  <si>
    <t>BRIDGES INSTALLATION PROCEDURE (DLS4200) AT GOP-SRP</t>
  </si>
  <si>
    <t>1-GH0600-31-PRO-2672-00</t>
  </si>
  <si>
    <t>COMMON</t>
  </si>
  <si>
    <t>STALK ON RISERS INSTALLATION PROCEDURE (DLS4200) AT DC6 AND GOP-NRP</t>
  </si>
  <si>
    <t>1-CF0000-31-PRO-2643-00</t>
  </si>
  <si>
    <t>DC6</t>
  </si>
  <si>
    <t>TOPSIDE INSTALLATION PROCEDURE (DLS4200) AT DC6</t>
  </si>
  <si>
    <t>1-GH0600-31-PRO-2665-00</t>
  </si>
  <si>
    <t>BRIDGES INSTALLATION PROCEDURE (DLS4200) AT DC6</t>
  </si>
  <si>
    <t>1-GH5100-31-PRO-2673-00</t>
  </si>
  <si>
    <t>GOP-NRP</t>
  </si>
  <si>
    <t>STALK ON RISERS INSTALLATION PROCEDURE (DLS4200) AT GOP-NRP</t>
  </si>
  <si>
    <t>1-GH5100-31-PRO-2659-00</t>
  </si>
  <si>
    <t>TOPSIDE INSTALLATION PROCEDURE (DLS4200) AT GOP-NRP</t>
  </si>
  <si>
    <t>waiting for lifting dwgs</t>
  </si>
  <si>
    <t>1-GH5100-31-PRO-2666-00</t>
  </si>
  <si>
    <t>BRIDGES INSTALLATION PROCEDURE (DLS4200) AT GOP-NRP</t>
  </si>
  <si>
    <t>1-GH0400-31-PRO-2674-00</t>
  </si>
  <si>
    <t>DC4</t>
  </si>
  <si>
    <t>STALK ON RISERS INSTALLATION PROCEDURE (DLS4200) AT DC4</t>
  </si>
  <si>
    <t>1-GH0400-31-PRO-2660-00</t>
  </si>
  <si>
    <t>TOPSIDE INSTALLATION PROCEDURE (DLS4200) AT DC4</t>
  </si>
  <si>
    <t>1-GH0400-31-PRO-2667-00</t>
  </si>
  <si>
    <t>BRIDGES INSTALLATION PROCEDURE (DLS4200) AT DC4</t>
  </si>
  <si>
    <t>1-GH0100-31-PRO-2675-00</t>
  </si>
  <si>
    <t>DC1</t>
  </si>
  <si>
    <t>STALK ON RISERS INSTALLATION PROCEDURE (SAFEEN3000) AT DC1</t>
  </si>
  <si>
    <t>1-GH0100-31-PRO-2661-00</t>
  </si>
  <si>
    <t>TOPSIDE INSTALLATION PROCEDURE (SAFEEN3000) AT DC1</t>
  </si>
  <si>
    <t>1-GH0100-31-PRO-2668-00</t>
  </si>
  <si>
    <t>BRIDGE INSTALLATION PROCEDURE (SAFEEN3000) AT DC1</t>
  </si>
  <si>
    <t>1-GH6000-31-PRO-2662-00</t>
  </si>
  <si>
    <t>CLQ</t>
  </si>
  <si>
    <t>TOPSIDE INSTALLATION PROCEDURE (DLS4200) AT CLQ</t>
  </si>
  <si>
    <t>1-GH6000-31-PRO-2669-00</t>
  </si>
  <si>
    <t>BRIDGE INSTALLATION PROCEDURE (DLS4200) AT CLQ</t>
  </si>
  <si>
    <t>1-GH5100-31-PRO-2663-00</t>
  </si>
  <si>
    <t>GOP-FLARE</t>
  </si>
  <si>
    <t>TOPSIDE INSTALLATION PROCEDURE (DLS4200) AT GOP FLARE</t>
  </si>
  <si>
    <t>1-GH5100-31-PRO-2670-00</t>
  </si>
  <si>
    <t>BRIDGE &amp; FLARE BOOM INSTALLATION PROCEDURE (DLS4200) AT GOP FLARE</t>
  </si>
  <si>
    <t>1-GH5100-31-PRO-2664-00</t>
  </si>
  <si>
    <t>GOP-SWI</t>
  </si>
  <si>
    <t>TOPSIDE INSTALLATION PROCEDURE (DLS4200) AT GOP SWI</t>
  </si>
  <si>
    <t>1-GH5100-31-PRO-2671-00</t>
  </si>
  <si>
    <t>BRIDGE INSTALLATION PROCEDURE (DLS4200) AT GOP SWI</t>
  </si>
  <si>
    <t>1-CF0000-31-PRO-2649-00</t>
  </si>
  <si>
    <t xml:space="preserve">TIE-IN </t>
  </si>
  <si>
    <t>SURFACE MIDLINE INSTALLATION &amp; REPAIR PROCEDURE</t>
  </si>
  <si>
    <t>Total</t>
  </si>
  <si>
    <t>ANCHOR PATTERN STATUS</t>
  </si>
  <si>
    <t>anchor pattern NO</t>
  </si>
  <si>
    <t>LATEST STATUS</t>
  </si>
  <si>
    <t>1-GH5100-31-DWG-2465-00</t>
  </si>
  <si>
    <t>SAFEEN3000 ANCHOR PATTERN-GOP-SRP TOP SIDE INSTALLATION</t>
  </si>
  <si>
    <t>CN</t>
  </si>
  <si>
    <t>1-GH5100-31-DWG-2466-00</t>
  </si>
  <si>
    <t>SAFEEN3000 ANCHOR PATTERN-GOP-SRP NORTH BRIDGE INSTALLATION</t>
  </si>
  <si>
    <t>1-GH5100-31-DWG-2467-00</t>
  </si>
  <si>
    <t>SAFEEN3000 ANCHOR PATTERN-GOP-SRP SOUTH BRIDGE INSTALLATION</t>
  </si>
  <si>
    <t>1-GH5100-31-DWG-2468-00</t>
  </si>
  <si>
    <t>SAFEEN3000 ANCHOR PATTERN-GOP-SRP RISER/ SPOOL INSTALLATION FROM DC6</t>
  </si>
  <si>
    <t>1-GH5100-31-DWG-2469-00</t>
  </si>
  <si>
    <t>SAFEEN3000 ANCHOR PATTERN-GOP-SRP RISER/ SPOOL INSTALLATION FROM OPP</t>
  </si>
  <si>
    <t>1-GH5100-31-DWG-2619-00</t>
  </si>
  <si>
    <t>SAFEEN3000 SET-UP PLAN AT GOP-SRP TOP SIDE INSTALLATION</t>
  </si>
  <si>
    <t>1-GH5100-31-DWG-2620-00</t>
  </si>
  <si>
    <t>SAFEEN3000 SET-UP PLAN AT GOP-SRP NORTH BRIDGE INSTALLATION</t>
  </si>
  <si>
    <t>1-GH5100-31-DWG-2621-00</t>
  </si>
  <si>
    <t>SAFEEN3000 SET-UP PLAN AT GOP-SRP SOUTH BRIDGE INSTALLATION</t>
  </si>
  <si>
    <t>1-GH0600-31-DWG-2480-00</t>
  </si>
  <si>
    <t>SAFEEN3000 ANCHOR PATTERN-DC/6 RISER/SPOOL INSTALLATION</t>
  </si>
  <si>
    <t>1-GH0600-31-DWG-2479-00</t>
  </si>
  <si>
    <t>DECK/BRG</t>
  </si>
  <si>
    <t>SAFEEN3000 ANCHOR PATTERN-DC/6 TOP-SIDE &amp; BRIDGE INSTALLATION</t>
  </si>
  <si>
    <t>1-GH5100-31-DWG-2474-00</t>
  </si>
  <si>
    <t>SAFEEN3000 ANCHOR PATTERN-GOP-NRP RISER/SPOOL INSTALLATION</t>
  </si>
  <si>
    <t>1-GH5100-31-DWG-2471-00</t>
  </si>
  <si>
    <t>SAFEEN3000 ANCHOR PATTERN-GOP-NRP TOP-SIDE INSTALLATION</t>
  </si>
  <si>
    <t>1-GH5100-31-DWG-2472-00</t>
  </si>
  <si>
    <t>SAFEEN3000 ANCHOR PATTERN- GOP-NRP EAST BRIDGE INSTALLATION</t>
  </si>
  <si>
    <t>1-GH5100-31-DWG-2473-00</t>
  </si>
  <si>
    <t>SAFEEN3000 ANCHOR PATTERN-GOP-NRP WEST BRIDGE INSTALLATION</t>
  </si>
  <si>
    <t>1-GH0400-31-DWG-2498-00</t>
  </si>
  <si>
    <t>SAFEEN3000 ANCHOR PATTERN DURING RISER/SPOOL INSTALLATION AT DC/4</t>
  </si>
  <si>
    <t>1-GH0400-31-DWG-2482-00</t>
  </si>
  <si>
    <t>SAFEEN3000 ANCHOR PATTERN-DC/4 TOP-SIDE &amp; BRIDGE INSTALLATION</t>
  </si>
  <si>
    <t>1-GH0400-31-DWG-2497-00</t>
  </si>
  <si>
    <t>SAFEEN3000 ANCHOR PATTERN-DC/4 BRIDGE INSTALLATION</t>
  </si>
  <si>
    <t>1-GH0100-31-DWG-2581-00</t>
  </si>
  <si>
    <t>SAFEEN3000 ANCHOR PATTERN-DC1 RISER/SPOOL INSTALLATION</t>
  </si>
  <si>
    <t>davit clash needs to be checked</t>
  </si>
  <si>
    <t>1-GH0100-31-DWG-2499-00</t>
  </si>
  <si>
    <t>SAFEEN3000 ANCHOR PATTERN-DC/1 JACKET,
TOP SIDE &amp; BRIDGE INSTALLATION</t>
  </si>
  <si>
    <t>01</t>
  </si>
  <si>
    <t>waiting client CRS and installation drawings to issue REV02</t>
  </si>
  <si>
    <t>1-GH6000-31-DWG-2500-00</t>
  </si>
  <si>
    <t>SAFEEN-3000 ANCHOR PATTERN DURING CLQ JACKET &amp; TOPSIDE INSTALLATION</t>
  </si>
  <si>
    <t>02</t>
  </si>
  <si>
    <t>1-GH5100-31-DWG-2476-00</t>
  </si>
  <si>
    <t>SAFEEN3000 ANCHOR PATTERN- FLARE TOP SIDE INSTALLATION</t>
  </si>
  <si>
    <t>1-GH5100-31-DWG-2477-00</t>
  </si>
  <si>
    <t>SAFEEN3000 ANCHOR PATTERN- FLARE BRIDGE INSTALLATION</t>
  </si>
  <si>
    <t>1-GH5100-31-DWG-2580-00</t>
  </si>
  <si>
    <t>FLR</t>
  </si>
  <si>
    <t>SAFEEN3000 ANCHOR PATTERN- FLARE BOOM INSTALLATION</t>
  </si>
  <si>
    <t>1-GH5100-31-DWG-2647-00</t>
  </si>
  <si>
    <t>SAFEEN3000 SET-UP PLAN AT GOP-FLARE MSF INSTALLATION</t>
  </si>
  <si>
    <t>1-GH5100-31-DWG-2648-00</t>
  </si>
  <si>
    <t>BRD/FLR</t>
  </si>
  <si>
    <t>SAFEEN3000 SET-UP PLAN AT GOP-FLARE BRIDGE AND FLARE BOOM INSTALLATION</t>
  </si>
  <si>
    <t>1-GH5100-31-DWG-2462-00</t>
  </si>
  <si>
    <t xml:space="preserve">GOP-SWI </t>
  </si>
  <si>
    <t>SAFEEN3000 ANCHOR PATTERN-GOP-SWI TOP SIDE INSTALLATION</t>
  </si>
  <si>
    <t>1-GH5100-31-DWG-2463-00</t>
  </si>
  <si>
    <t>SAFEEN3000 ANCHOR PATTERN-GOP-SWI BRIDGE INSTALLATION</t>
  </si>
  <si>
    <t>1-GH5100-31-DWG-2646-00</t>
  </si>
  <si>
    <t>SP</t>
  </si>
  <si>
    <t>SAFEEN3000 ANCHOR PATTERN-GOP-SWI SEAWATER OUTFALL SPOOLS INSTALLATION</t>
  </si>
  <si>
    <t>1-CF0000-31-DWG-2524-00</t>
  </si>
  <si>
    <t>HG-SP-28</t>
  </si>
  <si>
    <t>SAFEEN3000 ANCHOR PATTERN FOR MIDLINE TIEIN 34" GOP-SRP to OOP (HG-SP-28)</t>
  </si>
  <si>
    <t>sancheevi to modify working platform STBD side</t>
  </si>
  <si>
    <t>1-CF0000-31-DWG-2526-00</t>
  </si>
  <si>
    <t>HG-SP-31</t>
  </si>
  <si>
    <t>SAFEEN3000 ANCHOR PATTERN FOR MIDLINE TIEIN 12" GOP-SRP to OOP (HG-SP-31)</t>
  </si>
  <si>
    <t>1-GH5100-31-DWG-2595-00</t>
  </si>
  <si>
    <t>DLS4200 ANCHOR PATTERN FOR TOPSIDE INSTALLATION AT GOP-SRP</t>
  </si>
  <si>
    <t>1-GH5100-31-DWG-2596-00</t>
  </si>
  <si>
    <t>DLS4200 ANCHOR PATTERN FOR NORTH BRIDGE INSTALLATION AT GOP-SRP</t>
  </si>
  <si>
    <t>waiting for ABL reply to issue REV00 to client</t>
  </si>
  <si>
    <t>1-GH5100-31-DWG-2597-00</t>
  </si>
  <si>
    <t>DLS4200 ANCHOR PATTERN FOR SOUTH BRIDGE INSTALLATION AT GOP-SRP</t>
  </si>
  <si>
    <t>1-GH5100-31-DWG-2593-00</t>
  </si>
  <si>
    <t>DLS4200 ANCHOR PATTERN FOR RISER-SPOOL INSTALLATION FROM DC6 AT GOP-SRP</t>
  </si>
  <si>
    <t>1-GH5100-31-DWG-2594-00</t>
  </si>
  <si>
    <t>DLS4200 ANCHOR PATTERN FOR RISER-SPOOL INSTALLATION FROM OPP AT GOP-SRP</t>
  </si>
  <si>
    <t>1-GH0600-31-DWG-2598-00</t>
  </si>
  <si>
    <t>DLS4200 ANCHOR PATTERN FOR RISER-SPOOL INSTALLATION AT DC6</t>
  </si>
  <si>
    <t>waiting client CRS</t>
  </si>
  <si>
    <t>1-GH0600-31-DWG-2600-00</t>
  </si>
  <si>
    <t>DLS4200 ANCHOR PATTERN FOR TOPSIDE &amp; BRIDGE INSTALLATION AT DC6</t>
  </si>
  <si>
    <t>1-GH5100-31-DWG-2601-00</t>
  </si>
  <si>
    <t>DLS4200 ANCHOR PATTERN FOR RISER-SPOOL INSTALLATION AT GOP-NRP</t>
  </si>
  <si>
    <t>bagus to revise davit strops arrangement</t>
  </si>
  <si>
    <t>1-GH5100-31-DWG-2602-00</t>
  </si>
  <si>
    <t>DLS4200 ANCHOR PATTERN FOR TOPSIDE INSTALLATION AT GOP-NRP</t>
  </si>
  <si>
    <t>waiting for lifting and installation drawings</t>
  </si>
  <si>
    <t>1-GH5100-31-DWG-2603-00</t>
  </si>
  <si>
    <t>DLS4200 ANCHOR PATTERN FOR EAST BRIDGE INSTALLATION AT GOP-NRP</t>
  </si>
  <si>
    <t>1-GH5100-31-DWG-2604-00</t>
  </si>
  <si>
    <t>DLS4200 ANCHOR PATTERN FOR WEST BRIDGE INSTALLATION AT GOP-NRP</t>
  </si>
  <si>
    <t>1-GH0400-31-DWG-2605-00</t>
  </si>
  <si>
    <t>DLS4200 ANCHOR PATTERN FOR RISER-SPOOL INSTALLATION AT DC4</t>
  </si>
  <si>
    <t>waiting ABL and client reply</t>
  </si>
  <si>
    <t>1-GH0400-31-DWG-2606-00</t>
  </si>
  <si>
    <t>DLS4200 ANCHOR PATTERN FOR TOPSIDE INSTALLATION AT DC4</t>
  </si>
  <si>
    <t>1-GH0400-31-DWG-2607-00</t>
  </si>
  <si>
    <t>DLS4200 ANCHOR PATTERN FOR BRIDGE INSTALLATION AT DC4</t>
  </si>
  <si>
    <t>1-GH0100-31-DWG-2608-00</t>
  </si>
  <si>
    <t>DLS4200 ANCHOR PATTERN FOR RISER-SPOOL INSTALLATION AT DC1</t>
  </si>
  <si>
    <t>1-GH0100-31-DWG-2609-00</t>
  </si>
  <si>
    <t>DLS4200 ANCHOR PATTERN FOR TOPSIDE &amp; BRIDGE INSTALLATION AT DC1</t>
  </si>
  <si>
    <t>1-GH6000-31-DWG-2610-00</t>
  </si>
  <si>
    <t>DLS4200 ANCHOR PATTERN FOR TOPSIDE INSTALLATION AT CLQ</t>
  </si>
  <si>
    <t>waiting for ABL reply</t>
  </si>
  <si>
    <t>1-GH5100-31-DWG-2611-00</t>
  </si>
  <si>
    <t>DLS4200 ANCHOR PATTERN FOR MSF INSTALLATION AT GOP-FLARE</t>
  </si>
  <si>
    <t>1-GH5100-31-DWG-2612-00</t>
  </si>
  <si>
    <t>DLS4200 ANCHOR PATTERN FOR BRIDGE INSTALLATION AT GOP-FLARE</t>
  </si>
  <si>
    <t>1-GH5100-31-DWG-2613-00</t>
  </si>
  <si>
    <t>DLS4200 ANCHOR PATTERN FOR FLARE BOOM INSTALLATION AT GOP-FLARE</t>
  </si>
  <si>
    <t>1-GH5100-31-DWG-2614-00</t>
  </si>
  <si>
    <t>DLS4200 ANCHOR PATTERN FOR TOPSIDE INSTALLATION AT GOP-SWI</t>
  </si>
  <si>
    <t>issued for ABL only for review, waiting for lifting and installation drawing to modify REV00</t>
  </si>
  <si>
    <t>1-GH5100-31-DWG-2615-00</t>
  </si>
  <si>
    <t>DLS4200 ANCHOR PATTERN FOR BRIDGE INSTALLATION AT GOP-SWI</t>
  </si>
  <si>
    <t>1-GH5100-31-DWG-2616-00</t>
  </si>
  <si>
    <t>DLS4200 ANCHOR PATTERN FOR SEAWATER OUTFALL SPOOLS INSTALLATION AT GOP-SWI</t>
  </si>
  <si>
    <t>1-GH5100-31-DWG-2617-00</t>
  </si>
  <si>
    <t>DLS4200 ANCHOR PATTERN FOR MIDLINE TIEIN 34" GOP-SRP TO OOP (HG-SP-28)</t>
  </si>
  <si>
    <t>under PMT reveiew</t>
  </si>
  <si>
    <t>1-GH5100-31-DWG-2618-00</t>
  </si>
  <si>
    <t>DLS4200 ANCHOR PATTERN FOR MIDLINE TIEIN 12" GOP-SRP TO OOP (HG-SP-31)</t>
  </si>
  <si>
    <t>1-GH5100-31-DWG-2531-00</t>
  </si>
  <si>
    <t xml:space="preserve">HOOKUP </t>
  </si>
  <si>
    <t>JACKUP SETUP ON GOP-SRP FOR HOOKUP ACTIVITIES</t>
  </si>
  <si>
    <t>1-GH0600-31-DWG-2537-00</t>
  </si>
  <si>
    <t>JACKUP SETUP ON DC6 FOR HOOKUP ACTIVITIES</t>
  </si>
  <si>
    <t>sancheevi to issue</t>
  </si>
  <si>
    <t>1-GH5100-31-DWG-2532-00</t>
  </si>
  <si>
    <t>JACKUP SETUP ON GOP-NRP FOR HOOKUP ACTIVITIES</t>
  </si>
  <si>
    <t>1-GH0400-31-DWG-2536-00</t>
  </si>
  <si>
    <t>JACKUP SETUP ON DC4 FOR HOOKUP ACTIVITIES</t>
  </si>
  <si>
    <t>1-GH0100-31-DWG-2535-00</t>
  </si>
  <si>
    <t>JACKUP SETUP ON DC1 FOR HOOKUP ACTIVITIES</t>
  </si>
  <si>
    <t>1-GH6000-31-DWG-2538-00</t>
  </si>
  <si>
    <t>JACKUP SETUP ON CLQ FOR HOOKUP ACTIVITIES</t>
  </si>
  <si>
    <t>1-GH5100-31-DWG-2534-00</t>
  </si>
  <si>
    <t>JACKUP SETUP ON GOP-FLARE FOR HOOKUP ACTIVITIES</t>
  </si>
  <si>
    <t>1-GH5100-31-DWG-2533-00</t>
  </si>
  <si>
    <t>JACKUP SETUP ON GOP-SWI FOR HOOKUP ACTIVITIES</t>
  </si>
  <si>
    <t>Activity</t>
  </si>
  <si>
    <t>ISLAND</t>
  </si>
  <si>
    <t>REV1</t>
  </si>
  <si>
    <t>REV1      ISSUE DATA</t>
  </si>
  <si>
    <t>REV1 CLIENT CRS</t>
  </si>
  <si>
    <t>REV1       ABL CRS</t>
  </si>
  <si>
    <t>REV2</t>
  </si>
  <si>
    <t>REV2 ISSUE DATA</t>
  </si>
  <si>
    <t>REV2   CLIENT CRS</t>
  </si>
  <si>
    <t>REV2       ABL CRS</t>
  </si>
  <si>
    <t>REV3</t>
  </si>
  <si>
    <t>REV3 ISSUE DATA</t>
  </si>
  <si>
    <t>REV3 CLIENT CRS</t>
  </si>
  <si>
    <t>REV3       ABL CRS</t>
  </si>
  <si>
    <t>REV4</t>
  </si>
  <si>
    <t>REV4 ISSUE DATA</t>
  </si>
  <si>
    <t>REV4 CLIENT CRS</t>
  </si>
  <si>
    <t>REV4       ABL CRS</t>
  </si>
  <si>
    <t>REJECT</t>
  </si>
  <si>
    <t>1-GH0600-31-DWG-2478-00</t>
  </si>
  <si>
    <t>JKT</t>
  </si>
  <si>
    <t>E1</t>
  </si>
  <si>
    <t>APPROVED</t>
  </si>
  <si>
    <t>03/07/2025</t>
  </si>
  <si>
    <t>REQUIRE ACTION</t>
  </si>
  <si>
    <t>1-GH5100-31-DWG-2464-00</t>
  </si>
  <si>
    <t>23/04/2025</t>
  </si>
  <si>
    <t>00 (UNDER CLIENT REVIEW)</t>
  </si>
  <si>
    <t>1-GH0400-31-DWG-2481-00</t>
  </si>
  <si>
    <t>A1 (UNDER ABL REVIEW)</t>
  </si>
  <si>
    <t>1-GH5100-31-DWG-2475-00</t>
  </si>
  <si>
    <t>12/08/2025</t>
  </si>
  <si>
    <t>1-GH5100-31-DWG-2470-00</t>
  </si>
  <si>
    <t>15/08</t>
  </si>
  <si>
    <t>1-GH5100-31-DWG-2461-00</t>
  </si>
  <si>
    <t>UNDER ISSUE</t>
  </si>
  <si>
    <t>AWTI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</si>
</sst>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b/>
      <sz val="14"/>
      <color theme="1"/>
      <name val="Aptos Narrow"/>
      <family val="2"/>
      <scheme val="minor"/>
    </font>
    <font>
      <b/>
      <sz val="18"/>
      <color theme="0"/>
      <name val="Aptos Narrow"/>
      <family val="2"/>
      <scheme val="minor"/>
    </font>
    <font>
      <sz val="11"/>
      <name val="Aptos Narrow"/>
      <family val="2"/>
      <scheme val="minor"/>
    </font>
    <font>
      <b/>
      <sz val="11"/>
      <name val="Aptos Narrow"/>
      <family val="2"/>
      <scheme val="minor"/>
    </font>
    <font>
      <strike/>
      <sz val="11"/>
      <name val="Aptos Narrow"/>
      <family val="2"/>
      <scheme val="minor"/>
    </font>
    <font>
      <b/>
      <strike/>
      <sz val="11"/>
      <name val="Aptos Narrow"/>
      <family val="2"/>
      <scheme val="minor"/>
    </font>
    <font>
      <b/>
      <strike/>
      <sz val="11"/>
      <color theme="0"/>
      <name val="Aptos Narrow"/>
      <family val="2"/>
      <scheme val="minor"/>
    </font>
    <font>
      <sz val="11"/>
      <name val="Calibri"/>
      <family val="2"/>
    </font>
    <font>
      <strike/>
      <sz val="11"/>
      <name val="Calibri"/>
      <family val="2"/>
    </font>
    <font>
      <sz val="9"/>
      <name val="Aptos Narrow"/>
      <family val="2"/>
      <scheme val="minor"/>
    </font>
  </fonts>
  <fills count="12">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theme="4"/>
        <bgColor indexed="64"/>
      </patternFill>
    </fill>
    <fill>
      <patternFill patternType="solid">
        <fgColor theme="0" tint="-0.14999847407452621"/>
        <bgColor indexed="64"/>
      </patternFill>
    </fill>
    <fill>
      <patternFill patternType="solid">
        <fgColor theme="4"/>
        <bgColor theme="4"/>
      </patternFill>
    </fill>
    <fill>
      <patternFill patternType="solid">
        <fgColor rgb="FF7030A0"/>
        <bgColor theme="4"/>
      </patternFill>
    </fill>
    <fill>
      <patternFill patternType="solid">
        <fgColor theme="5"/>
        <bgColor theme="4"/>
      </patternFill>
    </fill>
    <fill>
      <patternFill patternType="solid">
        <fgColor rgb="FFFF0000"/>
        <bgColor theme="4"/>
      </patternFill>
    </fill>
    <fill>
      <patternFill patternType="solid">
        <fgColor theme="9"/>
        <bgColor indexed="64"/>
      </patternFill>
    </fill>
  </fills>
  <borders count="12">
    <border>
      <left/>
      <right/>
      <top/>
      <bottom/>
      <diagonal/>
    </border>
    <border>
      <left/>
      <right/>
      <top style="thin">
        <color theme="4" tint="0.39997558519241921"/>
      </top>
      <bottom style="thin">
        <color theme="4" tint="0.39997558519241921"/>
      </bottom>
      <diagonal/>
    </border>
    <border>
      <left/>
      <right/>
      <top/>
      <bottom style="thin">
        <color indexed="64"/>
      </bottom>
      <diagonal/>
    </border>
    <border>
      <left/>
      <right/>
      <top style="thin">
        <color indexed="64"/>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1" fillId="2" borderId="0" applyNumberFormat="0" applyBorder="0" applyAlignment="0" applyProtection="0"/>
    <xf numFmtId="0" fontId="1" fillId="11" borderId="0" applyNumberFormat="0" applyBorder="0" applyAlignment="0" applyProtection="0"/>
  </cellStyleXfs>
  <cellXfs count="125">
    <xf numFmtId="0" fontId="0" fillId="0" borderId="0" xfId="0"/>
    <xf numFmtId="49" fontId="0" fillId="0" borderId="0" xfId="0" applyNumberFormat="1"/>
    <xf numFmtId="0" fontId="0" fillId="0" borderId="0" xfId="0" applyAlignment="1">
      <alignment horizontal="center" vertical="center" wrapText="1"/>
    </xf>
    <xf numFmtId="14" fontId="1" fillId="2" borderId="1" xfId="0" applyNumberFormat="1" applyFont="1" applyFill="1" applyBorder="1" applyAlignment="1">
      <alignment horizontal="center"/>
    </xf>
    <xf numFmtId="49" fontId="0" fillId="0" borderId="0" xfId="0" applyNumberFormat="1" applyAlignment="1">
      <alignment horizontal="center" vertical="center" wrapText="1"/>
    </xf>
    <xf numFmtId="0" fontId="2" fillId="0" borderId="0" xfId="0" applyFont="1"/>
    <xf numFmtId="14" fontId="2" fillId="0" borderId="0" xfId="0" applyNumberFormat="1" applyFont="1" applyAlignment="1">
      <alignment horizontal="left"/>
    </xf>
    <xf numFmtId="0" fontId="0" fillId="0" borderId="0" xfId="0" applyAlignment="1">
      <alignment vertical="center" wrapText="1"/>
    </xf>
    <xf numFmtId="14" fontId="0" fillId="0" borderId="0" xfId="0" applyNumberFormat="1" applyAlignment="1">
      <alignment horizontal="center" vertical="center" wrapText="1"/>
    </xf>
    <xf numFmtId="14" fontId="1" fillId="2" borderId="0" xfId="0" applyNumberFormat="1" applyFont="1" applyFill="1" applyAlignment="1">
      <alignment horizontal="center" vertical="center" wrapText="1"/>
    </xf>
    <xf numFmtId="14" fontId="1" fillId="3" borderId="0" xfId="0" applyNumberFormat="1" applyFont="1" applyFill="1" applyAlignment="1">
      <alignment horizontal="center" vertical="center" wrapText="1"/>
    </xf>
    <xf numFmtId="49" fontId="2" fillId="4" borderId="0" xfId="0" applyNumberFormat="1" applyFont="1" applyFill="1" applyAlignment="1">
      <alignment horizontal="left" vertical="center" wrapText="1"/>
    </xf>
    <xf numFmtId="14" fontId="0" fillId="0" borderId="0" xfId="0" applyNumberFormat="1" applyAlignment="1">
      <alignment horizontal="left" vertical="center" wrapText="1"/>
    </xf>
    <xf numFmtId="14" fontId="2" fillId="4" borderId="0" xfId="0" applyNumberFormat="1" applyFont="1" applyFill="1" applyAlignment="1">
      <alignment horizontal="center" vertical="center" wrapText="1"/>
    </xf>
    <xf numFmtId="16" fontId="2" fillId="0" borderId="0" xfId="0" applyNumberFormat="1" applyFont="1"/>
    <xf numFmtId="0" fontId="6" fillId="0" borderId="0" xfId="0" applyFont="1" applyAlignment="1">
      <alignment vertical="center" wrapText="1"/>
    </xf>
    <xf numFmtId="0" fontId="6" fillId="0" borderId="0" xfId="0" applyFont="1" applyAlignment="1">
      <alignment horizontal="center" vertical="center" wrapText="1"/>
    </xf>
    <xf numFmtId="49" fontId="6" fillId="0" borderId="0" xfId="0" applyNumberFormat="1" applyFont="1" applyAlignment="1">
      <alignment horizontal="center" vertical="center" wrapText="1"/>
    </xf>
    <xf numFmtId="14" fontId="6" fillId="0" borderId="0" xfId="0" applyNumberFormat="1" applyFont="1" applyAlignment="1">
      <alignment horizontal="center" vertical="center" wrapText="1"/>
    </xf>
    <xf numFmtId="14" fontId="7" fillId="0" borderId="0" xfId="0" applyNumberFormat="1" applyFont="1" applyAlignment="1">
      <alignment horizontal="center" vertical="center" wrapText="1"/>
    </xf>
    <xf numFmtId="14" fontId="6" fillId="0" borderId="0" xfId="0" applyNumberFormat="1" applyFont="1" applyAlignment="1">
      <alignment horizontal="left" vertical="center" wrapText="1"/>
    </xf>
    <xf numFmtId="0" fontId="6" fillId="0" borderId="0" xfId="0" applyFont="1"/>
    <xf numFmtId="0" fontId="6" fillId="0" borderId="0" xfId="0" applyFont="1" applyAlignment="1">
      <alignment horizontal="left" vertical="center" wrapText="1"/>
    </xf>
    <xf numFmtId="0" fontId="6" fillId="6" borderId="0" xfId="0" applyFont="1" applyFill="1" applyAlignment="1">
      <alignment horizontal="center" vertical="center" wrapText="1"/>
    </xf>
    <xf numFmtId="0" fontId="7" fillId="0" borderId="0" xfId="0" applyFont="1" applyAlignment="1">
      <alignment horizontal="center" vertical="center" wrapText="1"/>
    </xf>
    <xf numFmtId="14" fontId="1" fillId="0" borderId="0" xfId="0" applyNumberFormat="1" applyFont="1" applyAlignment="1">
      <alignment horizontal="center" vertical="center" wrapText="1"/>
    </xf>
    <xf numFmtId="0" fontId="8" fillId="0" borderId="0" xfId="0" applyFont="1" applyAlignment="1">
      <alignment vertical="center" wrapText="1"/>
    </xf>
    <xf numFmtId="0" fontId="9" fillId="0" borderId="0" xfId="0" applyFont="1" applyAlignment="1">
      <alignment horizontal="center" vertical="center" wrapText="1"/>
    </xf>
    <xf numFmtId="0" fontId="8" fillId="6" borderId="0" xfId="0" applyFont="1" applyFill="1" applyAlignment="1">
      <alignment horizontal="center" vertical="center" wrapText="1"/>
    </xf>
    <xf numFmtId="0" fontId="8" fillId="0" borderId="0" xfId="0" applyFont="1" applyAlignment="1">
      <alignment horizontal="left" vertical="center" wrapText="1"/>
    </xf>
    <xf numFmtId="49" fontId="8" fillId="0" borderId="0" xfId="0" applyNumberFormat="1" applyFont="1" applyAlignment="1">
      <alignment horizontal="center" vertical="center" wrapText="1"/>
    </xf>
    <xf numFmtId="14" fontId="8" fillId="0" borderId="0" xfId="0" applyNumberFormat="1" applyFont="1" applyAlignment="1">
      <alignment horizontal="center" vertical="center" wrapText="1"/>
    </xf>
    <xf numFmtId="14" fontId="10" fillId="2" borderId="0" xfId="0" applyNumberFormat="1" applyFont="1" applyFill="1" applyAlignment="1">
      <alignment horizontal="center" vertical="center" wrapText="1"/>
    </xf>
    <xf numFmtId="0" fontId="8" fillId="0" borderId="0" xfId="0" applyFont="1" applyAlignment="1">
      <alignment horizontal="center" vertical="center" wrapText="1"/>
    </xf>
    <xf numFmtId="14" fontId="11" fillId="0" borderId="0" xfId="0" applyNumberFormat="1" applyFont="1" applyAlignment="1">
      <alignment horizontal="center" vertical="center" wrapText="1"/>
    </xf>
    <xf numFmtId="14" fontId="6" fillId="0" borderId="0" xfId="0" applyNumberFormat="1" applyFont="1" applyAlignment="1">
      <alignment horizontal="left" vertical="center"/>
    </xf>
    <xf numFmtId="14" fontId="8" fillId="0" borderId="0" xfId="0" applyNumberFormat="1" applyFont="1" applyAlignment="1">
      <alignment horizontal="left" vertical="center" wrapText="1"/>
    </xf>
    <xf numFmtId="14" fontId="12" fillId="0" borderId="0" xfId="0" applyNumberFormat="1" applyFont="1" applyAlignment="1">
      <alignment horizontal="center" vertical="center" wrapText="1"/>
    </xf>
    <xf numFmtId="49" fontId="6" fillId="0" borderId="0" xfId="0" applyNumberFormat="1" applyFont="1" applyAlignment="1">
      <alignment horizontal="left" vertical="center"/>
    </xf>
    <xf numFmtId="49" fontId="1" fillId="7" borderId="0" xfId="0" applyNumberFormat="1" applyFont="1" applyFill="1" applyAlignment="1">
      <alignment horizontal="center" vertical="center" wrapText="1"/>
    </xf>
    <xf numFmtId="49" fontId="1" fillId="8" borderId="0" xfId="0" applyNumberFormat="1" applyFont="1" applyFill="1" applyAlignment="1">
      <alignment horizontal="center" vertical="center" wrapText="1"/>
    </xf>
    <xf numFmtId="49" fontId="0" fillId="0" borderId="4" xfId="0" applyNumberFormat="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49" fontId="6" fillId="0" borderId="7" xfId="0" applyNumberFormat="1" applyFont="1" applyBorder="1" applyAlignment="1">
      <alignment horizontal="center" vertical="center" wrapText="1"/>
    </xf>
    <xf numFmtId="14" fontId="1" fillId="0" borderId="8" xfId="0" applyNumberFormat="1" applyFont="1" applyBorder="1" applyAlignment="1">
      <alignment horizontal="center" vertical="center" wrapText="1"/>
    </xf>
    <xf numFmtId="49" fontId="8" fillId="0" borderId="7" xfId="0" applyNumberFormat="1" applyFont="1" applyBorder="1" applyAlignment="1">
      <alignment horizontal="center" vertical="center" wrapText="1"/>
    </xf>
    <xf numFmtId="14" fontId="6" fillId="0" borderId="8" xfId="0" applyNumberFormat="1" applyFont="1" applyBorder="1" applyAlignment="1">
      <alignment horizontal="center" vertical="center" wrapText="1"/>
    </xf>
    <xf numFmtId="49" fontId="0" fillId="0" borderId="5" xfId="0" applyNumberFormat="1" applyBorder="1" applyAlignment="1">
      <alignment horizontal="center" vertical="center" wrapText="1"/>
    </xf>
    <xf numFmtId="14" fontId="6" fillId="0" borderId="8" xfId="0" applyNumberFormat="1" applyFont="1" applyBorder="1" applyAlignment="1">
      <alignment horizontal="left" vertical="center" wrapText="1"/>
    </xf>
    <xf numFmtId="49" fontId="1" fillId="9" borderId="0" xfId="0" applyNumberFormat="1" applyFont="1" applyFill="1" applyAlignment="1">
      <alignment horizontal="center" vertical="center" wrapText="1"/>
    </xf>
    <xf numFmtId="49" fontId="1" fillId="10" borderId="0" xfId="0" applyNumberFormat="1" applyFont="1" applyFill="1" applyAlignment="1">
      <alignment horizontal="center" vertical="center" wrapText="1"/>
    </xf>
    <xf numFmtId="14" fontId="10" fillId="3" borderId="0" xfId="0" applyNumberFormat="1" applyFont="1" applyFill="1" applyAlignment="1">
      <alignment horizontal="center" vertical="center" wrapText="1"/>
    </xf>
    <xf numFmtId="14" fontId="2" fillId="0" borderId="0" xfId="0" applyNumberFormat="1" applyFont="1"/>
    <xf numFmtId="14" fontId="1" fillId="3" borderId="8" xfId="0" applyNumberFormat="1" applyFont="1" applyFill="1" applyBorder="1" applyAlignment="1">
      <alignment horizontal="center" vertical="center" wrapText="1"/>
    </xf>
    <xf numFmtId="14" fontId="10" fillId="2" borderId="8" xfId="0" applyNumberFormat="1" applyFont="1" applyFill="1" applyBorder="1" applyAlignment="1">
      <alignment horizontal="center" vertical="center" wrapText="1"/>
    </xf>
    <xf numFmtId="14" fontId="8" fillId="0" borderId="8" xfId="0" applyNumberFormat="1" applyFont="1" applyBorder="1" applyAlignment="1">
      <alignment horizontal="center" vertical="center" wrapText="1"/>
    </xf>
    <xf numFmtId="14" fontId="10" fillId="3" borderId="8" xfId="0" applyNumberFormat="1" applyFont="1" applyFill="1" applyBorder="1" applyAlignment="1">
      <alignment horizontal="center" vertical="center" wrapText="1"/>
    </xf>
    <xf numFmtId="14" fontId="8" fillId="0" borderId="8" xfId="0" applyNumberFormat="1" applyFont="1" applyBorder="1" applyAlignment="1">
      <alignment horizontal="left" vertical="center" wrapText="1"/>
    </xf>
    <xf numFmtId="14" fontId="6" fillId="0" borderId="10" xfId="0" applyNumberFormat="1" applyFont="1" applyBorder="1" applyAlignment="1">
      <alignment horizontal="left" vertical="center"/>
    </xf>
    <xf numFmtId="0" fontId="4" fillId="0" borderId="0" xfId="0" applyFont="1" applyAlignment="1">
      <alignment horizontal="center"/>
    </xf>
    <xf numFmtId="14" fontId="6" fillId="0" borderId="0" xfId="0" applyNumberFormat="1" applyFont="1" applyAlignment="1">
      <alignment horizontal="center" vertical="center"/>
    </xf>
    <xf numFmtId="0" fontId="0" fillId="0" borderId="0" xfId="0" applyAlignment="1">
      <alignment wrapText="1"/>
    </xf>
    <xf numFmtId="49" fontId="1" fillId="7" borderId="0" xfId="0" applyNumberFormat="1" applyFont="1" applyFill="1" applyAlignment="1">
      <alignment horizontal="center" vertical="center"/>
    </xf>
    <xf numFmtId="49" fontId="1" fillId="8" borderId="0" xfId="0" applyNumberFormat="1" applyFont="1" applyFill="1" applyAlignment="1">
      <alignment horizontal="center" vertical="center"/>
    </xf>
    <xf numFmtId="49" fontId="1" fillId="9" borderId="0" xfId="0" applyNumberFormat="1" applyFont="1" applyFill="1" applyAlignment="1">
      <alignment horizontal="center" vertical="center"/>
    </xf>
    <xf numFmtId="49" fontId="6" fillId="0" borderId="0" xfId="0" applyNumberFormat="1" applyFont="1" applyAlignment="1">
      <alignment horizontal="center" vertical="center"/>
    </xf>
    <xf numFmtId="14" fontId="1" fillId="2" borderId="0" xfId="0" applyNumberFormat="1" applyFont="1" applyFill="1" applyAlignment="1">
      <alignment horizontal="center" vertical="center"/>
    </xf>
    <xf numFmtId="14" fontId="1" fillId="3" borderId="0" xfId="0" applyNumberFormat="1" applyFont="1" applyFill="1" applyAlignment="1">
      <alignment horizontal="center" vertical="center"/>
    </xf>
    <xf numFmtId="49" fontId="8" fillId="0" borderId="0" xfId="0" applyNumberFormat="1" applyFont="1" applyAlignment="1">
      <alignment horizontal="center" vertical="center"/>
    </xf>
    <xf numFmtId="14" fontId="8" fillId="0" borderId="0" xfId="0" applyNumberFormat="1" applyFont="1" applyAlignment="1">
      <alignment horizontal="center" vertical="center"/>
    </xf>
    <xf numFmtId="14" fontId="7" fillId="0" borderId="0" xfId="0" applyNumberFormat="1" applyFont="1" applyAlignment="1">
      <alignment horizontal="center" vertical="center"/>
    </xf>
    <xf numFmtId="14" fontId="10" fillId="2" borderId="0" xfId="0" applyNumberFormat="1" applyFont="1" applyFill="1" applyAlignment="1">
      <alignment horizontal="center" vertical="center"/>
    </xf>
    <xf numFmtId="14" fontId="10" fillId="3" borderId="0" xfId="0" applyNumberFormat="1" applyFont="1" applyFill="1" applyAlignment="1">
      <alignment horizontal="center" vertical="center"/>
    </xf>
    <xf numFmtId="0" fontId="6" fillId="0" borderId="0" xfId="0" applyFont="1" applyAlignment="1">
      <alignment horizontal="center" vertical="center"/>
    </xf>
    <xf numFmtId="49" fontId="1" fillId="10" borderId="0" xfId="0" applyNumberFormat="1" applyFont="1" applyFill="1" applyAlignment="1">
      <alignment horizontal="center" vertical="center"/>
    </xf>
    <xf numFmtId="49" fontId="6" fillId="0" borderId="7" xfId="0" applyNumberFormat="1" applyFont="1" applyBorder="1" applyAlignment="1">
      <alignment horizontal="center" vertical="center"/>
    </xf>
    <xf numFmtId="14" fontId="1" fillId="0" borderId="0" xfId="0" applyNumberFormat="1" applyFont="1" applyAlignment="1">
      <alignment horizontal="center" vertical="center"/>
    </xf>
    <xf numFmtId="14" fontId="6" fillId="0" borderId="8" xfId="0" applyNumberFormat="1" applyFont="1" applyBorder="1" applyAlignment="1">
      <alignment horizontal="center" vertical="center"/>
    </xf>
    <xf numFmtId="14" fontId="11" fillId="0" borderId="0" xfId="0" applyNumberFormat="1" applyFont="1" applyAlignment="1">
      <alignment horizontal="center" vertical="center"/>
    </xf>
    <xf numFmtId="14" fontId="7" fillId="0" borderId="7" xfId="0" applyNumberFormat="1" applyFont="1" applyBorder="1" applyAlignment="1">
      <alignment horizontal="center" vertical="center"/>
    </xf>
    <xf numFmtId="14" fontId="1" fillId="3" borderId="8" xfId="0" applyNumberFormat="1" applyFont="1" applyFill="1" applyBorder="1" applyAlignment="1">
      <alignment horizontal="center" vertical="center"/>
    </xf>
    <xf numFmtId="14" fontId="0" fillId="0" borderId="0" xfId="0" applyNumberFormat="1" applyAlignment="1">
      <alignment horizontal="left" vertical="center"/>
    </xf>
    <xf numFmtId="14" fontId="6" fillId="0" borderId="7" xfId="0" applyNumberFormat="1" applyFont="1" applyBorder="1" applyAlignment="1">
      <alignment horizontal="center" vertical="center"/>
    </xf>
    <xf numFmtId="49" fontId="8" fillId="0" borderId="7" xfId="0" applyNumberFormat="1" applyFont="1" applyBorder="1" applyAlignment="1">
      <alignment horizontal="center" vertical="center"/>
    </xf>
    <xf numFmtId="14" fontId="10" fillId="0" borderId="0" xfId="0" applyNumberFormat="1" applyFont="1" applyAlignment="1">
      <alignment horizontal="center" vertical="center"/>
    </xf>
    <xf numFmtId="14" fontId="10" fillId="0" borderId="8" xfId="0" applyNumberFormat="1" applyFont="1" applyBorder="1" applyAlignment="1">
      <alignment horizontal="center" vertical="center"/>
    </xf>
    <xf numFmtId="14" fontId="8" fillId="0" borderId="8" xfId="0" applyNumberFormat="1" applyFont="1" applyBorder="1" applyAlignment="1">
      <alignment horizontal="center" vertical="center"/>
    </xf>
    <xf numFmtId="14" fontId="8" fillId="0" borderId="7" xfId="0" applyNumberFormat="1" applyFont="1" applyBorder="1" applyAlignment="1">
      <alignment horizontal="center" vertical="center"/>
    </xf>
    <xf numFmtId="14" fontId="8" fillId="0" borderId="0" xfId="0" applyNumberFormat="1" applyFont="1" applyAlignment="1">
      <alignment horizontal="left" vertical="center"/>
    </xf>
    <xf numFmtId="14" fontId="12" fillId="0" borderId="0" xfId="0" applyNumberFormat="1" applyFont="1" applyAlignment="1">
      <alignment horizontal="center" vertical="center"/>
    </xf>
    <xf numFmtId="14" fontId="1" fillId="2" borderId="8" xfId="0" applyNumberFormat="1" applyFont="1" applyFill="1" applyBorder="1" applyAlignment="1">
      <alignment horizontal="center" vertical="center"/>
    </xf>
    <xf numFmtId="49" fontId="6" fillId="0" borderId="9" xfId="0" applyNumberFormat="1" applyFont="1" applyBorder="1" applyAlignment="1">
      <alignment horizontal="center" vertical="center"/>
    </xf>
    <xf numFmtId="14" fontId="6" fillId="0" borderId="10" xfId="0" applyNumberFormat="1" applyFont="1" applyBorder="1" applyAlignment="1">
      <alignment horizontal="center" vertical="center"/>
    </xf>
    <xf numFmtId="14" fontId="6" fillId="0" borderId="11" xfId="0" applyNumberFormat="1" applyFont="1" applyBorder="1" applyAlignment="1">
      <alignment horizontal="center" vertical="center"/>
    </xf>
    <xf numFmtId="14" fontId="6" fillId="0" borderId="9" xfId="0" applyNumberFormat="1" applyFont="1" applyBorder="1" applyAlignment="1">
      <alignment horizontal="center" vertical="center"/>
    </xf>
    <xf numFmtId="0" fontId="6" fillId="0" borderId="0" xfId="0" applyFont="1" applyAlignment="1">
      <alignment horizontal="left" vertical="center"/>
    </xf>
    <xf numFmtId="49" fontId="6" fillId="0" borderId="7" xfId="0" applyNumberFormat="1" applyFont="1" applyBorder="1" applyAlignment="1">
      <alignment horizontal="left" vertical="center"/>
    </xf>
    <xf numFmtId="0" fontId="8" fillId="0" borderId="0" xfId="0" applyFont="1" applyAlignment="1">
      <alignment vertical="center"/>
    </xf>
    <xf numFmtId="0" fontId="9"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horizontal="left" vertical="center"/>
    </xf>
    <xf numFmtId="14" fontId="10" fillId="3" borderId="8" xfId="0" applyNumberFormat="1" applyFont="1" applyFill="1" applyBorder="1" applyAlignment="1">
      <alignment horizontal="center" vertical="center"/>
    </xf>
    <xf numFmtId="14" fontId="8" fillId="0" borderId="8" xfId="0" applyNumberFormat="1" applyFont="1" applyBorder="1" applyAlignment="1">
      <alignment horizontal="left" vertical="center"/>
    </xf>
    <xf numFmtId="0" fontId="6" fillId="0" borderId="0" xfId="0" applyFont="1" applyAlignment="1">
      <alignment vertical="center"/>
    </xf>
    <xf numFmtId="0" fontId="7" fillId="0" borderId="0" xfId="0" applyFont="1" applyAlignment="1">
      <alignment horizontal="center" vertical="center"/>
    </xf>
    <xf numFmtId="14" fontId="6" fillId="0" borderId="8" xfId="0" applyNumberFormat="1" applyFont="1" applyBorder="1" applyAlignment="1">
      <alignment horizontal="left" vertical="center"/>
    </xf>
    <xf numFmtId="14" fontId="1" fillId="2" borderId="8" xfId="1" applyNumberFormat="1" applyBorder="1" applyAlignment="1">
      <alignment horizontal="center" vertical="center"/>
    </xf>
    <xf numFmtId="14" fontId="1" fillId="11" borderId="0" xfId="2" applyNumberFormat="1" applyAlignment="1">
      <alignment horizontal="center" vertical="center" wrapText="1"/>
    </xf>
    <xf numFmtId="0" fontId="13" fillId="0" borderId="0" xfId="0" applyFont="1" applyAlignment="1">
      <alignment horizontal="center" vertical="center" wrapText="1"/>
    </xf>
    <xf numFmtId="14" fontId="1" fillId="11" borderId="0" xfId="2" applyNumberFormat="1" applyAlignment="1">
      <alignment horizontal="center" vertical="center"/>
    </xf>
    <xf numFmtId="14" fontId="1" fillId="2" borderId="0" xfId="1" applyNumberFormat="1" applyAlignment="1">
      <alignment horizontal="center" vertical="center"/>
    </xf>
    <xf numFmtId="14" fontId="1" fillId="2" borderId="0" xfId="1" applyNumberFormat="1" applyAlignment="1">
      <alignment horizontal="center" vertical="center" wrapText="1"/>
    </xf>
    <xf numFmtId="14" fontId="1" fillId="11" borderId="8" xfId="2" applyNumberFormat="1" applyBorder="1" applyAlignment="1">
      <alignment horizontal="center" vertical="center"/>
    </xf>
    <xf numFmtId="14" fontId="6" fillId="11" borderId="0" xfId="0" applyNumberFormat="1" applyFont="1" applyFill="1" applyAlignment="1">
      <alignment horizontal="center" vertical="center" wrapText="1"/>
    </xf>
    <xf numFmtId="0" fontId="5" fillId="5" borderId="0" xfId="0" applyFont="1" applyFill="1" applyAlignment="1">
      <alignment horizontal="center"/>
    </xf>
    <xf numFmtId="0" fontId="4" fillId="0" borderId="2" xfId="0" applyFont="1" applyBorder="1" applyAlignment="1">
      <alignment horizontal="center"/>
    </xf>
    <xf numFmtId="49" fontId="1" fillId="7" borderId="3" xfId="0" applyNumberFormat="1" applyFont="1" applyFill="1" applyBorder="1" applyAlignment="1">
      <alignment horizontal="center" vertical="center" wrapText="1"/>
    </xf>
    <xf numFmtId="49" fontId="1" fillId="8" borderId="3" xfId="0" applyNumberFormat="1" applyFont="1" applyFill="1" applyBorder="1" applyAlignment="1">
      <alignment horizontal="center" vertical="center" wrapText="1"/>
    </xf>
    <xf numFmtId="49" fontId="1" fillId="9" borderId="3" xfId="0" applyNumberFormat="1" applyFont="1" applyFill="1" applyBorder="1" applyAlignment="1">
      <alignment horizontal="center" vertical="center" wrapText="1"/>
    </xf>
    <xf numFmtId="49" fontId="1" fillId="10" borderId="3" xfId="0" applyNumberFormat="1" applyFont="1" applyFill="1" applyBorder="1" applyAlignment="1">
      <alignment horizontal="center" vertical="center" wrapText="1"/>
    </xf>
    <xf numFmtId="49" fontId="1" fillId="7" borderId="3" xfId="0" applyNumberFormat="1" applyFont="1" applyFill="1" applyBorder="1" applyAlignment="1">
      <alignment horizontal="center" vertical="center"/>
    </xf>
    <xf numFmtId="49" fontId="1" fillId="8" borderId="3" xfId="0" applyNumberFormat="1" applyFont="1" applyFill="1" applyBorder="1" applyAlignment="1">
      <alignment horizontal="center" vertical="center"/>
    </xf>
    <xf numFmtId="49" fontId="1" fillId="9" borderId="3" xfId="0" applyNumberFormat="1" applyFont="1" applyFill="1" applyBorder="1" applyAlignment="1">
      <alignment horizontal="center" vertical="center"/>
    </xf>
    <xf numFmtId="49" fontId="1" fillId="10" borderId="3" xfId="0" applyNumberFormat="1" applyFont="1" applyFill="1" applyBorder="1" applyAlignment="1">
      <alignment horizontal="center" vertical="center"/>
    </xf>
  </cellXfs>
  <cellStyles count="3">
    <cellStyle name="APP" xfId="2" xr:uid="{3BAA66E0-2E43-4E22-90A4-7A9ED43FE60E}"/>
    <cellStyle name="Normal" xfId="0" builtinId="0"/>
    <cellStyle name="RJT" xfId="1" xr:uid="{6D1786DC-F577-4E50-A68C-63BAC716FB22}"/>
  </cellStyles>
  <dxfs count="168">
    <dxf>
      <numFmt numFmtId="164" formatCode="dd/mm/yyyy"/>
      <alignment horizontal="left" vertical="center" textRotation="0" wrapText="1" indent="0" justifyLastLine="0" shrinkToFit="0" readingOrder="0"/>
    </dxf>
    <dxf>
      <numFmt numFmtId="164" formatCode="dd/mm/yyyy"/>
      <alignment horizontal="center" vertical="center" textRotation="0" wrapText="1" indent="0" justifyLastLine="0" shrinkToFit="0" readingOrder="0"/>
    </dxf>
    <dxf>
      <numFmt numFmtId="164" formatCode="dd/mm/yyyy"/>
      <alignment horizontal="center" vertical="center" textRotation="0" wrapText="1" indent="0" justifyLastLine="0" shrinkToFit="0" readingOrder="0"/>
    </dxf>
    <dxf>
      <numFmt numFmtId="164" formatCode="dd/mm/yyyy"/>
      <alignment horizontal="center" vertical="center" textRotation="0" wrapText="1" indent="0" justifyLastLine="0" shrinkToFit="0" readingOrder="0"/>
    </dxf>
    <dxf>
      <numFmt numFmtId="164" formatCode="dd/mm/yyyy"/>
      <alignment horizontal="center" vertical="center" textRotation="0" wrapText="1" indent="0" justifyLastLine="0" shrinkToFit="0" readingOrder="0"/>
    </dxf>
    <dxf>
      <numFmt numFmtId="164" formatCode="dd/mm/yyyy"/>
      <alignment horizontal="center" vertical="center" textRotation="0" wrapText="1" indent="0" justifyLastLine="0" shrinkToFit="0" readingOrder="0"/>
    </dxf>
    <dxf>
      <numFmt numFmtId="164" formatCode="dd/mm/yyyy"/>
      <alignment horizontal="center" vertical="center" textRotation="0" wrapText="1" indent="0" justifyLastLine="0" shrinkToFit="0" readingOrder="0"/>
    </dxf>
    <dxf>
      <numFmt numFmtId="164" formatCode="dd/mm/yyyy"/>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64" formatCode="dd/mm/yyyy"/>
      <alignment horizontal="center" vertical="center" textRotation="0" wrapText="1" indent="0" justifyLastLine="0" shrinkToFit="0" readingOrder="0"/>
    </dxf>
    <dxf>
      <numFmt numFmtId="164" formatCode="dd/mm/yyyy"/>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Calibri"/>
        <family val="2"/>
        <scheme val="none"/>
      </font>
      <numFmt numFmtId="164" formatCode="dd/mm/yyyy"/>
      <fill>
        <patternFill patternType="none">
          <fgColor rgb="FF000000"/>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left" vertical="center" textRotation="0" wrapText="0"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0"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0"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30" formatCode="@"/>
      <fill>
        <patternFill patternType="none">
          <fgColor indexed="64"/>
          <bgColor auto="1"/>
        </patternFill>
      </fill>
      <alignment horizontal="center" vertical="center"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0"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30" formatCode="@"/>
      <fill>
        <patternFill patternType="none">
          <fgColor indexed="64"/>
          <bgColor auto="1"/>
        </patternFill>
      </fill>
      <alignment horizontal="center" vertical="center"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30" formatCode="@"/>
      <fill>
        <patternFill patternType="none">
          <fgColor indexed="64"/>
          <bgColor auto="1"/>
        </patternFill>
      </fill>
      <alignment horizontal="center" vertical="center"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b/>
        <strike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vertical="center" textRotation="0" wrapText="1" indent="0" justifyLastLine="0" shrinkToFit="0" readingOrder="0"/>
    </dxf>
    <dxf>
      <font>
        <strike val="0"/>
        <outline val="0"/>
        <shadow val="0"/>
        <u val="none"/>
        <vertAlign val="baseline"/>
        <sz val="11"/>
        <color auto="1"/>
        <name val="Calibri"/>
        <family val="2"/>
        <scheme val="none"/>
      </font>
      <fill>
        <patternFill patternType="none">
          <fgColor rgb="FF000000"/>
          <bgColor auto="1"/>
        </patternFill>
      </fill>
      <alignment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left" vertical="center" textRotation="0" wrapText="1"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30" formatCode="@"/>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30" formatCode="@"/>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strike val="0"/>
        <outline val="0"/>
        <shadow val="0"/>
        <u val="none"/>
        <vertAlign val="baseline"/>
        <sz val="11"/>
        <color auto="1"/>
        <name val="Aptos Narrow"/>
        <family val="2"/>
        <scheme val="minor"/>
      </font>
      <numFmt numFmtId="30" formatCode="@"/>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b/>
        <strike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vertical="center" textRotation="0" wrapText="1"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Calibri"/>
        <family val="2"/>
        <scheme val="none"/>
      </font>
      <numFmt numFmtId="164" formatCode="dd/mm/yyyy"/>
      <fill>
        <patternFill patternType="none">
          <fgColor rgb="FF000000"/>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left" vertical="center" textRotation="0" wrapText="1"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left" vertical="center"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numFmt numFmtId="30" formatCode="@"/>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numFmt numFmtId="164"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numFmt numFmtId="30" formatCode="@"/>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64" formatCode="dd/mm/yyyy"/>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64" formatCode="dd/mm/yyyy"/>
      <alignment horizontal="center" vertical="center"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64" formatCode="dd/mm/yyyy"/>
      <alignment horizontal="center" vertical="center"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numFmt numFmtId="30" formatCode="@"/>
      <fill>
        <patternFill patternType="none">
          <fgColor indexed="64"/>
          <bgColor auto="1"/>
        </patternFill>
      </fill>
      <alignment horizontal="center" vertical="center"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b/>
        <strike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vertical="center" textRotation="0" wrapText="1" indent="0" justifyLastLine="0" shrinkToFit="0" readingOrder="0"/>
    </dxf>
    <dxf>
      <font>
        <strike val="0"/>
        <outline val="0"/>
        <shadow val="0"/>
        <u val="none"/>
        <vertAlign val="baseline"/>
        <sz val="11"/>
        <color auto="1"/>
        <name val="Calibri"/>
        <family val="2"/>
        <scheme val="none"/>
      </font>
      <fill>
        <patternFill patternType="none">
          <fgColor rgb="FF000000"/>
          <bgColor auto="1"/>
        </patternFill>
      </fill>
      <alignment vertical="center" textRotation="0" wrapText="1" indent="0" justifyLastLine="0" shrinkToFit="0" readingOrder="0"/>
    </dxf>
    <dxf>
      <alignment horizontal="center" vertical="center" textRotation="0" wrapText="1" indent="0" justifyLastLine="0" shrinkToFit="0" readingOrder="0"/>
    </dxf>
    <dxf>
      <font>
        <b/>
        <color theme="1"/>
      </font>
      <border>
        <bottom style="thin">
          <color theme="8"/>
        </bottom>
        <vertical/>
        <horizontal/>
      </border>
    </dxf>
    <dxf>
      <font>
        <b/>
        <i val="0"/>
        <sz val="11"/>
        <color theme="1"/>
        <name val="Aptos Narrow"/>
        <family val="2"/>
        <scheme val="none"/>
      </font>
      <fill>
        <patternFill>
          <bgColor theme="1"/>
        </patternFill>
      </fill>
      <border>
        <left style="thin">
          <color theme="8"/>
        </left>
        <right style="thin">
          <color theme="8"/>
        </right>
        <top style="thin">
          <color theme="8"/>
        </top>
        <bottom style="thin">
          <color theme="8"/>
        </bottom>
        <vertical/>
        <horizontal/>
      </border>
    </dxf>
    <dxf>
      <font>
        <b/>
        <color theme="1"/>
      </font>
      <border>
        <bottom style="thin">
          <color theme="5"/>
        </bottom>
        <vertical/>
        <horizontal/>
      </border>
    </dxf>
    <dxf>
      <font>
        <b/>
        <i val="0"/>
        <sz val="11"/>
        <color theme="1"/>
        <name val="Aptos Narrow"/>
        <family val="2"/>
        <scheme val="minor"/>
      </font>
      <fill>
        <patternFill>
          <bgColor theme="1"/>
        </patternFill>
      </fill>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SlicerStyleDark2 2" pivot="0" table="0" count="10" xr9:uid="{DA54E788-84BA-4B05-8D80-0D9F3A2EC70A}">
      <tableStyleElement type="wholeTable" dxfId="167"/>
      <tableStyleElement type="headerRow" dxfId="166"/>
    </tableStyle>
    <tableStyle name="SlicerStyleDark5 2" pivot="0" table="0" count="10" xr9:uid="{AF1850EE-A93D-47DD-9EE0-FACE306F5EF8}">
      <tableStyleElement type="wholeTable" dxfId="165"/>
      <tableStyleElement type="headerRow" dxfId="164"/>
    </tableStyle>
  </tableStyles>
  <colors>
    <mruColors>
      <color rgb="FFCC0066"/>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rgb="FFCC0066"/>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worksheet" Target="worksheets/sheet4.xml"/><Relationship Id="rId9" Type="http://schemas.microsoft.com/office/2007/relationships/slicerCache" Target="slicerCaches/slicerCache5.xml"/><Relationship Id="rId14"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absolute">
    <xdr:from>
      <xdr:col>0</xdr:col>
      <xdr:colOff>31937</xdr:colOff>
      <xdr:row>1</xdr:row>
      <xdr:rowOff>38100</xdr:rowOff>
    </xdr:from>
    <xdr:to>
      <xdr:col>2</xdr:col>
      <xdr:colOff>690562</xdr:colOff>
      <xdr:row>3</xdr:row>
      <xdr:rowOff>438149</xdr:rowOff>
    </xdr:to>
    <mc:AlternateContent xmlns:mc="http://schemas.openxmlformats.org/markup-compatibility/2006" xmlns:sle15="http://schemas.microsoft.com/office/drawing/2012/slicer">
      <mc:Choice Requires="sle15">
        <xdr:graphicFrame macro="">
          <xdr:nvGraphicFramePr>
            <xdr:cNvPr id="2" name="SOW">
              <a:extLst>
                <a:ext uri="{FF2B5EF4-FFF2-40B4-BE49-F238E27FC236}">
                  <a16:creationId xmlns:a16="http://schemas.microsoft.com/office/drawing/2014/main" id="{BBA9E23A-61E0-05B8-C817-59D0B4C548B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OW"/>
            </a:graphicData>
          </a:graphic>
        </xdr:graphicFrame>
      </mc:Choice>
      <mc:Fallback xmlns="">
        <xdr:sp macro="" textlink="">
          <xdr:nvSpPr>
            <xdr:cNvPr id="0" name=""/>
            <xdr:cNvSpPr>
              <a:spLocks noTextEdit="1"/>
            </xdr:cNvSpPr>
          </xdr:nvSpPr>
          <xdr:spPr>
            <a:xfrm>
              <a:off x="31937" y="342900"/>
              <a:ext cx="3068450" cy="857249"/>
            </a:xfrm>
            <a:prstGeom prst="rect">
              <a:avLst/>
            </a:prstGeom>
            <a:solidFill>
              <a:prstClr val="white"/>
            </a:solidFill>
            <a:ln w="1">
              <a:solidFill>
                <a:prstClr val="green"/>
              </a:solidFill>
            </a:ln>
          </xdr:spPr>
          <xdr:txBody>
            <a:bodyPr vertOverflow="clip" horzOverflow="clip"/>
            <a:lstStyle/>
            <a:p>
              <a:r>
                <a:rPr lang="en-A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768548</xdr:colOff>
      <xdr:row>1</xdr:row>
      <xdr:rowOff>19051</xdr:rowOff>
    </xdr:from>
    <xdr:to>
      <xdr:col>3</xdr:col>
      <xdr:colOff>4303059</xdr:colOff>
      <xdr:row>3</xdr:row>
      <xdr:rowOff>462001</xdr:rowOff>
    </xdr:to>
    <mc:AlternateContent xmlns:mc="http://schemas.openxmlformats.org/markup-compatibility/2006" xmlns:sle15="http://schemas.microsoft.com/office/drawing/2012/slicer">
      <mc:Choice Requires="sle15">
        <xdr:graphicFrame macro="">
          <xdr:nvGraphicFramePr>
            <xdr:cNvPr id="3" name="PF">
              <a:extLst>
                <a:ext uri="{FF2B5EF4-FFF2-40B4-BE49-F238E27FC236}">
                  <a16:creationId xmlns:a16="http://schemas.microsoft.com/office/drawing/2014/main" id="{145101EF-8263-7ABA-D7DA-1E6B4778E18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F"/>
            </a:graphicData>
          </a:graphic>
        </xdr:graphicFrame>
      </mc:Choice>
      <mc:Fallback xmlns="">
        <xdr:sp macro="" textlink="">
          <xdr:nvSpPr>
            <xdr:cNvPr id="0" name=""/>
            <xdr:cNvSpPr>
              <a:spLocks noTextEdit="1"/>
            </xdr:cNvSpPr>
          </xdr:nvSpPr>
          <xdr:spPr>
            <a:xfrm>
              <a:off x="3178373" y="323851"/>
              <a:ext cx="4448911" cy="900150"/>
            </a:xfrm>
            <a:prstGeom prst="rect">
              <a:avLst/>
            </a:prstGeom>
            <a:solidFill>
              <a:prstClr val="white"/>
            </a:solidFill>
            <a:ln w="1">
              <a:solidFill>
                <a:prstClr val="green"/>
              </a:solidFill>
            </a:ln>
          </xdr:spPr>
          <xdr:txBody>
            <a:bodyPr vertOverflow="clip" horzOverflow="clip"/>
            <a:lstStyle/>
            <a:p>
              <a:r>
                <a:rPr lang="en-A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17543</xdr:rowOff>
    </xdr:from>
    <xdr:to>
      <xdr:col>2</xdr:col>
      <xdr:colOff>710935</xdr:colOff>
      <xdr:row>4</xdr:row>
      <xdr:rowOff>164152</xdr:rowOff>
    </xdr:to>
    <mc:AlternateContent xmlns:mc="http://schemas.openxmlformats.org/markup-compatibility/2006" xmlns:sle15="http://schemas.microsoft.com/office/drawing/2012/slicer">
      <mc:Choice Requires="sle15">
        <xdr:graphicFrame macro="">
          <xdr:nvGraphicFramePr>
            <xdr:cNvPr id="2" name="SOW 2">
              <a:extLst>
                <a:ext uri="{FF2B5EF4-FFF2-40B4-BE49-F238E27FC236}">
                  <a16:creationId xmlns:a16="http://schemas.microsoft.com/office/drawing/2014/main" id="{40643E66-B3FA-FE6F-D8D4-7D3B2E8AACD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OW 2"/>
            </a:graphicData>
          </a:graphic>
        </xdr:graphicFrame>
      </mc:Choice>
      <mc:Fallback xmlns="">
        <xdr:sp macro="" textlink="">
          <xdr:nvSpPr>
            <xdr:cNvPr id="0" name=""/>
            <xdr:cNvSpPr>
              <a:spLocks noTextEdit="1"/>
            </xdr:cNvSpPr>
          </xdr:nvSpPr>
          <xdr:spPr>
            <a:xfrm>
              <a:off x="0" y="324000"/>
              <a:ext cx="3204000" cy="1008000"/>
            </a:xfrm>
            <a:prstGeom prst="rect">
              <a:avLst/>
            </a:prstGeom>
            <a:solidFill>
              <a:prstClr val="white"/>
            </a:solidFill>
            <a:ln w="1">
              <a:solidFill>
                <a:prstClr val="green"/>
              </a:solidFill>
            </a:ln>
          </xdr:spPr>
          <xdr:txBody>
            <a:bodyPr vertOverflow="clip" horzOverflow="clip"/>
            <a:lstStyle/>
            <a:p>
              <a:r>
                <a:rPr lang="en-A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26348</xdr:colOff>
      <xdr:row>1</xdr:row>
      <xdr:rowOff>17543</xdr:rowOff>
    </xdr:from>
    <xdr:to>
      <xdr:col>3</xdr:col>
      <xdr:colOff>4058348</xdr:colOff>
      <xdr:row>4</xdr:row>
      <xdr:rowOff>164152</xdr:rowOff>
    </xdr:to>
    <mc:AlternateContent xmlns:mc="http://schemas.openxmlformats.org/markup-compatibility/2006" xmlns:sle15="http://schemas.microsoft.com/office/drawing/2012/slicer">
      <mc:Choice Requires="sle15">
        <xdr:graphicFrame macro="">
          <xdr:nvGraphicFramePr>
            <xdr:cNvPr id="3" name="PF 2">
              <a:extLst>
                <a:ext uri="{FF2B5EF4-FFF2-40B4-BE49-F238E27FC236}">
                  <a16:creationId xmlns:a16="http://schemas.microsoft.com/office/drawing/2014/main" id="{89BB3E91-5DBC-02B9-F1C0-5ADA65BEC47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F 2"/>
            </a:graphicData>
          </a:graphic>
        </xdr:graphicFrame>
      </mc:Choice>
      <mc:Fallback xmlns="">
        <xdr:sp macro="" textlink="">
          <xdr:nvSpPr>
            <xdr:cNvPr id="0" name=""/>
            <xdr:cNvSpPr>
              <a:spLocks noTextEdit="1"/>
            </xdr:cNvSpPr>
          </xdr:nvSpPr>
          <xdr:spPr>
            <a:xfrm>
              <a:off x="3240000" y="324000"/>
              <a:ext cx="4032000" cy="1008000"/>
            </a:xfrm>
            <a:prstGeom prst="rect">
              <a:avLst/>
            </a:prstGeom>
            <a:solidFill>
              <a:prstClr val="white"/>
            </a:solidFill>
            <a:ln w="1">
              <a:solidFill>
                <a:prstClr val="green"/>
              </a:solidFill>
            </a:ln>
          </xdr:spPr>
          <xdr:txBody>
            <a:bodyPr vertOverflow="clip" horzOverflow="clip"/>
            <a:lstStyle/>
            <a:p>
              <a:r>
                <a:rPr lang="en-A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22413</xdr:colOff>
      <xdr:row>1</xdr:row>
      <xdr:rowOff>24847</xdr:rowOff>
    </xdr:from>
    <xdr:to>
      <xdr:col>3</xdr:col>
      <xdr:colOff>7939</xdr:colOff>
      <xdr:row>4</xdr:row>
      <xdr:rowOff>145699</xdr:rowOff>
    </xdr:to>
    <mc:AlternateContent xmlns:mc="http://schemas.openxmlformats.org/markup-compatibility/2006" xmlns:sle15="http://schemas.microsoft.com/office/drawing/2012/slicer">
      <mc:Choice Requires="sle15">
        <xdr:graphicFrame macro="">
          <xdr:nvGraphicFramePr>
            <xdr:cNvPr id="2" name="SOW 1">
              <a:extLst>
                <a:ext uri="{FF2B5EF4-FFF2-40B4-BE49-F238E27FC236}">
                  <a16:creationId xmlns:a16="http://schemas.microsoft.com/office/drawing/2014/main" id="{D3739837-5B6E-94AC-AA80-60443B94DC7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OW 1"/>
            </a:graphicData>
          </a:graphic>
        </xdr:graphicFrame>
      </mc:Choice>
      <mc:Fallback xmlns="">
        <xdr:sp macro="" textlink="">
          <xdr:nvSpPr>
            <xdr:cNvPr id="0" name=""/>
            <xdr:cNvSpPr>
              <a:spLocks noTextEdit="1"/>
            </xdr:cNvSpPr>
          </xdr:nvSpPr>
          <xdr:spPr>
            <a:xfrm>
              <a:off x="22413" y="331304"/>
              <a:ext cx="3224026" cy="940830"/>
            </a:xfrm>
            <a:prstGeom prst="rect">
              <a:avLst/>
            </a:prstGeom>
            <a:solidFill>
              <a:prstClr val="white"/>
            </a:solidFill>
            <a:ln w="1">
              <a:solidFill>
                <a:prstClr val="green"/>
              </a:solidFill>
            </a:ln>
          </xdr:spPr>
          <xdr:txBody>
            <a:bodyPr vertOverflow="clip" horzOverflow="clip"/>
            <a:lstStyle/>
            <a:p>
              <a:r>
                <a:rPr lang="en-A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22412</xdr:colOff>
      <xdr:row>1</xdr:row>
      <xdr:rowOff>16565</xdr:rowOff>
    </xdr:from>
    <xdr:to>
      <xdr:col>3</xdr:col>
      <xdr:colOff>4471148</xdr:colOff>
      <xdr:row>4</xdr:row>
      <xdr:rowOff>145702</xdr:rowOff>
    </xdr:to>
    <mc:AlternateContent xmlns:mc="http://schemas.openxmlformats.org/markup-compatibility/2006" xmlns:sle15="http://schemas.microsoft.com/office/drawing/2012/slicer">
      <mc:Choice Requires="sle15">
        <xdr:graphicFrame macro="">
          <xdr:nvGraphicFramePr>
            <xdr:cNvPr id="3" name="PF 1">
              <a:extLst>
                <a:ext uri="{FF2B5EF4-FFF2-40B4-BE49-F238E27FC236}">
                  <a16:creationId xmlns:a16="http://schemas.microsoft.com/office/drawing/2014/main" id="{FCFA09FF-EDFC-B8C3-DA18-DE23226414A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F 1"/>
            </a:graphicData>
          </a:graphic>
        </xdr:graphicFrame>
      </mc:Choice>
      <mc:Fallback xmlns="">
        <xdr:sp macro="" textlink="">
          <xdr:nvSpPr>
            <xdr:cNvPr id="0" name=""/>
            <xdr:cNvSpPr>
              <a:spLocks noTextEdit="1"/>
            </xdr:cNvSpPr>
          </xdr:nvSpPr>
          <xdr:spPr>
            <a:xfrm>
              <a:off x="3260912" y="323022"/>
              <a:ext cx="4448736" cy="949115"/>
            </a:xfrm>
            <a:prstGeom prst="rect">
              <a:avLst/>
            </a:prstGeom>
            <a:solidFill>
              <a:prstClr val="white"/>
            </a:solidFill>
            <a:ln w="1">
              <a:solidFill>
                <a:prstClr val="green"/>
              </a:solidFill>
            </a:ln>
          </xdr:spPr>
          <xdr:txBody>
            <a:bodyPr vertOverflow="clip" horzOverflow="clip"/>
            <a:lstStyle/>
            <a:p>
              <a:r>
                <a:rPr lang="en-A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W" xr10:uid="{29EE51B8-ACEA-4C36-B1BA-D6754E54044B}" sourceName="SOW">
  <extLst>
    <x:ext xmlns:x15="http://schemas.microsoft.com/office/spreadsheetml/2010/11/main" uri="{2F2917AC-EB37-4324-AD4E-5DD8C200BD13}">
      <x15:tableSlicerCache tableId="4"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F" xr10:uid="{9AD17954-8C0E-4E62-8237-7AB353C67D60}" sourceName="PF">
  <extLst>
    <x:ext xmlns:x15="http://schemas.microsoft.com/office/spreadsheetml/2010/11/main" uri="{2F2917AC-EB37-4324-AD4E-5DD8C200BD13}">
      <x15:tableSlicerCache tableId="4"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W1" xr10:uid="{2D87A6C1-39E6-49B7-BE97-DC6380E00F23}" sourceName="SOW">
  <extLst>
    <x:ext xmlns:x15="http://schemas.microsoft.com/office/spreadsheetml/2010/11/main" uri="{2F2917AC-EB37-4324-AD4E-5DD8C200BD13}">
      <x15:tableSlicerCache tableId="3"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F1" xr10:uid="{2ED06524-E9CF-45E2-8041-08DBA63D3AA6}" sourceName="PF">
  <extLst>
    <x:ext xmlns:x15="http://schemas.microsoft.com/office/spreadsheetml/2010/11/main" uri="{2F2917AC-EB37-4324-AD4E-5DD8C200BD13}">
      <x15:tableSlicerCache tableId="3" column="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W2" xr10:uid="{81323A10-4AF4-4600-85E2-F990FB654693}" sourceName="SOW">
  <extLst>
    <x:ext xmlns:x15="http://schemas.microsoft.com/office/spreadsheetml/2010/11/main" uri="{2F2917AC-EB37-4324-AD4E-5DD8C200BD13}">
      <x15:tableSlicerCache tableId="1" column="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F2" xr10:uid="{614AD3FF-6A95-47A5-8810-53B87AB98325}" sourceName="PF">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W" xr10:uid="{8F33D8D8-8942-4B2B-880B-C79583BD310F}" cache="Slicer_SOW" caption="SOW" columnCount="2" showCaption="0" style="SlicerStyleDark5 2" lockedPosition="1" rowHeight="180000"/>
  <slicer name="PF" xr10:uid="{3FA6B1E3-5198-4DBC-8C1E-742C328AF010}" cache="Slicer_PF" caption="PF" columnCount="3" showCaption="0" style="SlicerStyleDark2 2" lockedPosition="1"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W 2" xr10:uid="{A36694DF-B705-4127-8185-38A134BB8994}" cache="Slicer_SOW2" caption="SOW" columnCount="2" showCaption="0" style="SlicerStyleDark5 2" rowHeight="180000"/>
  <slicer name="PF 2" xr10:uid="{4C257AD6-0862-481C-A3A8-540026D80284}" cache="Slicer_PF2" caption="PF" columnCount="3" showCaption="0" style="SlicerStyleDark2 2" lockedPosition="1" rowHeight="18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W 1" xr10:uid="{6174973D-4B7C-4513-9348-91CB62A2A259}" cache="Slicer_SOW1" caption="SOW" columnCount="2" showCaption="0" style="SlicerStyleDark5 2" lockedPosition="1" rowHeight="162000"/>
  <slicer name="PF 1" xr10:uid="{1A2979E4-EF9B-4C89-834D-7855F7CC1652}" cache="Slicer_PF1" caption="PF" columnCount="3" showCaption="0" style="SlicerStyleDark2 2" lockedPosition="1" rowHeight="16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C1F9F9-A199-413B-803D-D03F3D192C28}" name="Table145" displayName="Table145" ref="A5:Y30" totalsRowCount="1" headerRowDxfId="163" dataDxfId="162">
  <autoFilter ref="A5:Y29" xr:uid="{96043D20-4246-445A-A2B9-955E05E14F8C}">
    <filterColumn colId="2">
      <filters>
        <filter val="GOP-NRP"/>
      </filters>
    </filterColumn>
  </autoFilter>
  <tableColumns count="25">
    <tableColumn id="1" xr3:uid="{0F83F213-0265-4C59-97A4-9324933C80AE}" name="DOC NO" totalsRowLabel="Total" dataDxfId="161" totalsRowDxfId="160"/>
    <tableColumn id="2" xr3:uid="{85CC672A-4B80-4DA0-8FEA-0BB365156AE7}" name="SOW" dataDxfId="159" totalsRowDxfId="158"/>
    <tableColumn id="3" xr3:uid="{54C9BAAC-2BAF-4E73-81EA-2C27B23B576F}" name="PF" totalsRowFunction="count" dataDxfId="157" totalsRowDxfId="156"/>
    <tableColumn id="21" xr3:uid="{9633F700-E4B8-40FC-B7CA-68EEC742FD3E}" name="Title" dataDxfId="155" totalsRowDxfId="154"/>
    <tableColumn id="4" xr3:uid="{A9174D24-3931-4FB6-ACE6-DF380424E6E4}" name="CYL#01 REV " dataDxfId="153" totalsRowDxfId="152"/>
    <tableColumn id="10" xr3:uid="{7C367A98-BCA1-4EDF-86F0-FEEF4DCCEA0D}" name="CYL#01      ISSUE DATA" totalsRowFunction="count" dataDxfId="151" totalsRowDxfId="150"/>
    <tableColumn id="5" xr3:uid="{D0552008-115A-48C6-BB6C-8BAE8E7F90D8}" name="CYL#01 CRS  STK#01" dataDxfId="149" totalsRowDxfId="148"/>
    <tableColumn id="6" xr3:uid="{F121B633-75BE-4D49-B678-F90013F4C1EB}" name="CYL#01 CRS STK#02" dataDxfId="147" totalsRowDxfId="146"/>
    <tableColumn id="23" xr3:uid="{1486870F-9B46-483B-A271-052B6375D480}" name="CYL#01 CRS STK#03" dataDxfId="145" totalsRowDxfId="144"/>
    <tableColumn id="25" xr3:uid="{7A2A6456-478D-446F-A0BA-A50598C3586C}" name="CYL#02 REV" dataDxfId="143" totalsRowDxfId="142"/>
    <tableColumn id="24" xr3:uid="{945C5A3F-18E2-49AD-B93C-6139075E8DCC}" name="CL#02      ISSUE DATE" dataDxfId="141" totalsRowDxfId="140"/>
    <tableColumn id="7" xr3:uid="{E5E99FA4-B2E3-4844-B7A2-E38AA6141854}" name="CRS CYL#02 STK#01" dataDxfId="139" totalsRowDxfId="138"/>
    <tableColumn id="11" xr3:uid="{0CF96007-4D16-43CF-AE13-16341F418479}" name="CRS CYL#02 STK#02" dataDxfId="137" totalsRowDxfId="136"/>
    <tableColumn id="8" xr3:uid="{5A6BA457-A29A-4AFF-8104-819DDCFF6F77}" name="CRS CYL#02 STK#03" dataDxfId="135" totalsRowDxfId="134"/>
    <tableColumn id="9" xr3:uid="{D1D128F9-CDA6-406D-835B-64BA2CD94DDC}" name="CYL#03 REV" dataDxfId="133" totalsRowDxfId="132"/>
    <tableColumn id="15" xr3:uid="{61612A4B-E904-43D3-A31D-997845DDCF59}" name="CYL#03      ISSUE DATE" dataDxfId="131" totalsRowDxfId="130"/>
    <tableColumn id="12" xr3:uid="{04CD4A01-E359-4346-A7E3-10C1F6C191FA}" name="CYL#03 CRS  STK#01" dataDxfId="129" totalsRowDxfId="128"/>
    <tableColumn id="13" xr3:uid="{40A0A8CE-6FE8-41C4-9880-53174303E7DA}" name="CYL#03 CRS STK#02" dataDxfId="127" totalsRowDxfId="126"/>
    <tableColumn id="14" xr3:uid="{952922DE-4A3E-4D88-A43F-B35664BF69D2}" name="CYL#03 CRS STK#03" dataDxfId="125" totalsRowDxfId="124"/>
    <tableColumn id="20" xr3:uid="{383F0F55-3B35-42B6-8F7A-D95CF8B36C7E}" name="CYL#04 REV" dataDxfId="123" totalsRowDxfId="122"/>
    <tableColumn id="19" xr3:uid="{0BB345C5-1B30-4498-834D-AFCD767D65E3}" name="CL#04      ISSUE DATE" dataDxfId="121" totalsRowDxfId="120"/>
    <tableColumn id="18" xr3:uid="{BC8856BC-2522-485E-931B-5A4EFD9F5D80}" name="CRS CYL#04 STK#01" dataDxfId="119" totalsRowDxfId="118"/>
    <tableColumn id="17" xr3:uid="{894563DC-9CBD-49A4-9D52-0D4DC9D624EA}" name="CRS CYL#04 STK#02" dataDxfId="117" totalsRowDxfId="116"/>
    <tableColumn id="16" xr3:uid="{B96BF269-25ED-4C30-AA20-A4A8920603D1}" name="CRS CYL#04 STK#03" totalsRowFunction="count" dataDxfId="115" totalsRowDxfId="114"/>
    <tableColumn id="22" xr3:uid="{FABFBAAC-8BE3-4EB7-B1FE-E639B9D890E1}" name="NOTES" dataDxfId="113" totalsRowDxfId="1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043D20-4246-445A-A2B9-955E05E14F8C}" name="Table1" displayName="Table1" ref="A6:U37" totalsRowCount="1" headerRowDxfId="111" dataDxfId="110">
  <autoFilter ref="A6:U36" xr:uid="{96043D20-4246-445A-A2B9-955E05E14F8C}">
    <filterColumn colId="2">
      <filters>
        <filter val="GOP-SRP"/>
      </filters>
    </filterColumn>
  </autoFilter>
  <tableColumns count="21">
    <tableColumn id="1" xr3:uid="{A554634A-4E59-48D3-8790-40E4926D36AD}" name="anchor pattern NO" totalsRowLabel="Total" dataDxfId="109" totalsRowDxfId="108"/>
    <tableColumn id="2" xr3:uid="{A3F3D8E2-01AC-43A2-BA21-5B637E34C166}" name="SOW" dataDxfId="107" totalsRowDxfId="106"/>
    <tableColumn id="3" xr3:uid="{D74F8B15-D719-4540-84C0-C4751B6B7C6F}" name="PF" totalsRowFunction="count" dataDxfId="105" totalsRowDxfId="104"/>
    <tableColumn id="21" xr3:uid="{B9231684-1809-486F-A79F-11DF5B41AC5C}" name="Title" dataDxfId="103" totalsRowDxfId="102"/>
    <tableColumn id="4" xr3:uid="{93955A79-D0B4-498E-9A69-A75A2EE83B7A}" name="CYL#01 REV " dataDxfId="101" totalsRowDxfId="100"/>
    <tableColumn id="10" xr3:uid="{CAFA3919-9D82-4981-897E-884E685F6670}" name="CYL#01      ISSUE DATA" totalsRowFunction="count" dataDxfId="99" totalsRowDxfId="98"/>
    <tableColumn id="5" xr3:uid="{82E8FAE5-AFF4-4907-B181-11B4E180D82F}" name="CYL#01 CRS  STK#01" dataDxfId="97" totalsRowDxfId="96"/>
    <tableColumn id="6" xr3:uid="{EFD3EA35-3F2B-462B-BCD4-27A3ACE6A94D}" name="CYL#01 CRS STK#02" dataDxfId="95" totalsRowDxfId="94"/>
    <tableColumn id="7" xr3:uid="{06BA672C-5B87-4BEB-A7AA-A75302D7AF28}" name="CYL#02 REV" dataDxfId="93" totalsRowDxfId="92"/>
    <tableColumn id="11" xr3:uid="{12260F12-6B00-4769-8332-445D18AC77AB}" name="CL#02      ISSUE DATE" dataDxfId="91" totalsRowDxfId="90"/>
    <tableColumn id="8" xr3:uid="{FBC04E69-3215-417C-B608-7786850351EE}" name="CRS CYL#02 STK#01" dataDxfId="89" totalsRowDxfId="88"/>
    <tableColumn id="9" xr3:uid="{C6003D1D-A5D5-4557-AC67-6636BC78D0B7}" name="CRS CYL#02 STK#02" dataDxfId="87" totalsRowDxfId="86"/>
    <tableColumn id="15" xr3:uid="{C0622F88-8BD7-41F5-8A40-30A25B23F046}" name="CYL#03 REV" dataDxfId="85" totalsRowDxfId="84"/>
    <tableColumn id="12" xr3:uid="{1474F275-8C2B-4EA9-A2B9-DE31246AF119}" name="CYL#03      ISSUE DATE" dataDxfId="83" totalsRowDxfId="82"/>
    <tableColumn id="13" xr3:uid="{366D5A6F-3A43-4BAD-AAEB-D8804C17C819}" name="CYL#03 CRS  STK#01" dataDxfId="81" totalsRowDxfId="80"/>
    <tableColumn id="14" xr3:uid="{6DB102FA-350E-4196-BDA4-D6765E7FD1E2}" name="CYL#03 CRS STK#02" dataDxfId="79" totalsRowDxfId="78"/>
    <tableColumn id="20" xr3:uid="{73B904A1-7C61-4959-A7E5-2C87EFF53E84}" name="CYL#04 REV" dataDxfId="77" totalsRowDxfId="76"/>
    <tableColumn id="19" xr3:uid="{F7094020-6199-431C-BFD3-BA8F83BDDE31}" name="CL#04      ISSUE DATE" dataDxfId="75" totalsRowDxfId="74"/>
    <tableColumn id="18" xr3:uid="{03E1BF47-B86B-47AD-9339-0426CD555CF5}" name="CRS CYL#04 STK#01" dataDxfId="73" totalsRowDxfId="72"/>
    <tableColumn id="17" xr3:uid="{9398AAE3-23FD-453B-BB89-24E9E61DC74A}" name="CRS CYL#04 STK#02" dataDxfId="71" totalsRowDxfId="70"/>
    <tableColumn id="16" xr3:uid="{975BBF4C-5E4B-4F55-929E-D21D8B90711E}" name="LATEST STATUS" totalsRowFunction="count" dataDxfId="69" totalsRowDxfId="68">
      <calculatedColumnFormula array="1">LOOKUP(2,1/(B7:INDEX(Table1[#This Row],COLUMN()-1)&lt;&gt;""),(B7:INDEX(Table1[#This Row],COLUMN()-1)))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D432C8-5F2D-469A-9DB5-6FF5B97145D1}" name="Table14" displayName="Table14" ref="A6:V40" totalsRowCount="1" headerRowDxfId="67" dataDxfId="66">
  <autoFilter ref="A6:V39" xr:uid="{96043D20-4246-445A-A2B9-955E05E14F8C}">
    <filterColumn colId="1">
      <filters>
        <filter val="BRD"/>
        <filter val="DECK"/>
        <filter val="FLR"/>
        <filter val="HOOKUP"/>
        <filter val="RIS-SP"/>
        <filter val="SP"/>
      </filters>
    </filterColumn>
    <filterColumn colId="2">
      <filters>
        <filter val="GOP-SRP"/>
      </filters>
    </filterColumn>
  </autoFilter>
  <tableColumns count="22">
    <tableColumn id="1" xr3:uid="{53F3E7D4-A1A3-4006-9AAF-F4C73961721D}" name="anchor pattern NO" totalsRowLabel="Total" dataDxfId="65" totalsRowDxfId="64"/>
    <tableColumn id="2" xr3:uid="{1B51EC24-9BF0-426F-81B6-6779A6119A6C}" name="SOW" dataDxfId="63" totalsRowDxfId="62"/>
    <tableColumn id="3" xr3:uid="{737E9CD0-D163-4898-BF02-2D086A58E708}" name="PF" totalsRowFunction="count" dataDxfId="61" totalsRowDxfId="60"/>
    <tableColumn id="21" xr3:uid="{71F1CD8B-6C9E-4C62-8FC4-B9A1E666FF57}" name="Title" dataDxfId="59" totalsRowDxfId="58"/>
    <tableColumn id="4" xr3:uid="{000AE558-E475-451C-941F-337CF0B45784}" name="CYL#01 REV " dataDxfId="57" totalsRowDxfId="56"/>
    <tableColumn id="10" xr3:uid="{59572ED2-311E-4409-9CD4-0554D7922097}" name="CYL#01      ISSUE DATA" totalsRowFunction="count" dataDxfId="55" totalsRowDxfId="54"/>
    <tableColumn id="5" xr3:uid="{D7A4BF9E-A69E-491A-884B-9C87C9160C18}" name="CYL#01 CRS  STK#01" dataDxfId="53" totalsRowDxfId="52"/>
    <tableColumn id="6" xr3:uid="{50E31895-9B50-447B-AB05-9DF068777B21}" name="CYL#01 CRS STK#02" dataDxfId="51" totalsRowDxfId="50"/>
    <tableColumn id="7" xr3:uid="{C9C9FA1D-3BDD-46DE-9167-303F5C7CF6C6}" name="CYL#02 REV" dataDxfId="49" totalsRowDxfId="48"/>
    <tableColumn id="11" xr3:uid="{86C4BF21-6CD4-44CA-8843-2CD5DC8FD94B}" name="CL#02      ISSUE DATE" dataDxfId="47" totalsRowDxfId="46"/>
    <tableColumn id="8" xr3:uid="{43A9C5AF-80B5-4363-A232-9B9A4DBDAC48}" name="CRS CYL#02 STK#01" dataDxfId="45" totalsRowDxfId="44"/>
    <tableColumn id="9" xr3:uid="{5E78A59B-5767-4DC9-9BBC-00A6B58BE240}" name="CRS CYL#02 STK#02" dataDxfId="43" totalsRowDxfId="42"/>
    <tableColumn id="15" xr3:uid="{1C9677F3-3076-499F-B39A-DDA496FF7C68}" name="CYL#03 REV" dataDxfId="41" totalsRowDxfId="40"/>
    <tableColumn id="12" xr3:uid="{51BAAE60-BE98-4FDE-90B0-6F3A21EDC202}" name="CYL#03      ISSUE DATE" dataDxfId="39" totalsRowDxfId="38"/>
    <tableColumn id="13" xr3:uid="{851329B8-E966-4E2F-84F2-8A077A7F1F0A}" name="CYL#03 CRS  STK#01" dataDxfId="37" totalsRowDxfId="36"/>
    <tableColumn id="14" xr3:uid="{41443916-BABA-4D96-8B5E-DF4F9981FD50}" name="CYL#03 CRS STK#02" dataDxfId="35" totalsRowDxfId="34"/>
    <tableColumn id="20" xr3:uid="{CAB15319-8D3A-47A6-9026-D0D830DC9FBA}" name="CYL#04 REV" dataDxfId="33" totalsRowDxfId="32"/>
    <tableColumn id="19" xr3:uid="{32989680-5A50-4017-B4C4-C611DDAE88F5}" name="CL#04      ISSUE DATE" dataDxfId="31" totalsRowDxfId="30"/>
    <tableColumn id="18" xr3:uid="{0E503B59-7E2D-482F-81BC-43BE4BC31E5C}" name="CRS CYL#04 STK#01" dataDxfId="29" totalsRowDxfId="28"/>
    <tableColumn id="17" xr3:uid="{569F913B-2E1C-4C05-B4A5-7C865AEC518E}" name="CRS CYL#04 STK#02" dataDxfId="27" totalsRowDxfId="26"/>
    <tableColumn id="16" xr3:uid="{563F0E97-6FA7-465B-84F1-AD18503FC3B6}" name="LATEST STATUS" totalsRowFunction="count" dataDxfId="25" totalsRowDxfId="24">
      <calculatedColumnFormula array="1">LOOKUP(2,1/(B7:INDEX(Table14[#This Row],COLUMN()-1)&lt;&gt;""),(B7:INDEX(Table14[#This Row],COLUMN()-1)))</calculatedColumnFormula>
    </tableColumn>
    <tableColumn id="22" xr3:uid="{8BF984FE-FC02-4F0C-B6A5-B2E265BE32FF}" name="NOTES" dataDxfId="23" totalsRowDxfId="2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605699-F1EE-404F-BF21-3D87CC3B7EB0}" name="Table13" displayName="Table13" ref="A4:T13" totalsRowShown="0" headerRowDxfId="21" dataDxfId="20">
  <autoFilter ref="A4:T13" xr:uid="{96043D20-4246-445A-A2B9-955E05E14F8C}"/>
  <tableColumns count="20">
    <tableColumn id="1" xr3:uid="{320FAA7D-C4D4-459E-BADC-B21FEF12EA66}" name="anchor pattern NO" dataDxfId="19"/>
    <tableColumn id="2" xr3:uid="{0C97204D-FDBC-433F-A539-E57C608577B4}" name="Activity" dataDxfId="18"/>
    <tableColumn id="3" xr3:uid="{F3F36CEF-DC72-42B9-8DC0-09A9BA41A5D3}" name="ISLAND" dataDxfId="17"/>
    <tableColumn id="4" xr3:uid="{8D5211E6-902D-4966-A3C7-FD7D8654164D}" name="REV1" dataDxfId="16"/>
    <tableColumn id="10" xr3:uid="{614B87EA-5378-4842-AE8A-EB89FD75D111}" name="REV1      ISSUE DATA" dataDxfId="15"/>
    <tableColumn id="5" xr3:uid="{5E6EFBA8-66AA-4F41-A567-6960D4554788}" name="REV1 CLIENT CRS" dataDxfId="14"/>
    <tableColumn id="6" xr3:uid="{7F5AD15A-1F55-4966-9036-E2632350265C}" name="REV1       ABL CRS" dataDxfId="13"/>
    <tableColumn id="7" xr3:uid="{F255BA53-0ED0-4C8A-A488-8DE08E72E83B}" name="REV2" dataDxfId="12"/>
    <tableColumn id="11" xr3:uid="{F0985BE7-1A81-4CA4-BF1C-A96F700289A6}" name="REV2 ISSUE DATA" dataDxfId="11"/>
    <tableColumn id="8" xr3:uid="{734B4744-89E0-4EB4-ADCC-1310D0DC71C3}" name="REV2   CLIENT CRS" dataDxfId="10"/>
    <tableColumn id="9" xr3:uid="{5D1ABB5C-57DD-4F74-88E8-DB7844C4B594}" name="REV2       ABL CRS" dataDxfId="9"/>
    <tableColumn id="15" xr3:uid="{C667114A-853B-44E3-9B6A-776AE9971D08}" name="REV3" dataDxfId="8"/>
    <tableColumn id="12" xr3:uid="{74907854-47B2-42BE-8DB8-B4792ED47CFC}" name="REV3 ISSUE DATA" dataDxfId="7"/>
    <tableColumn id="13" xr3:uid="{B0EED98B-619C-41A2-8BEB-411AF6C1C930}" name="REV3 CLIENT CRS" dataDxfId="6"/>
    <tableColumn id="14" xr3:uid="{588D89D7-6BD2-40C5-986B-951AD79FD058}" name="REV3       ABL CRS" dataDxfId="5"/>
    <tableColumn id="20" xr3:uid="{B8629BF8-13BB-4708-AB84-3E231049E1A5}" name="REV4" dataDxfId="4"/>
    <tableColumn id="19" xr3:uid="{B6643BB7-F5AF-4FF5-BC7E-86F2489CE19F}" name="REV4 ISSUE DATA" dataDxfId="3"/>
    <tableColumn id="18" xr3:uid="{FD9107C2-D073-4DC8-BBA9-1C5185A4D579}" name="REV4 CLIENT CRS" dataDxfId="2"/>
    <tableColumn id="17" xr3:uid="{D654F6C1-FC06-471A-8DE1-E00D41C2F07B}" name="REV4       ABL CRS" dataDxfId="1"/>
    <tableColumn id="16" xr3:uid="{5D42578D-0054-4E7F-A483-F3A827F66403}" name="LATEST STATUS" dataDxfId="0">
      <calculatedColumnFormula array="1">LOOKUP(2,1/(A5:INDEX(Table13[#This Row],COLUMN()-1)&lt;&gt;""),(A5:INDEX(Table13[#This Row],COLUMN()-1)))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7062B-B2B7-47E3-8F0B-AF899EA7ECD4}">
  <dimension ref="A1:Z34"/>
  <sheetViews>
    <sheetView tabSelected="1" zoomScale="115" zoomScaleNormal="115" workbookViewId="0">
      <selection activeCell="I34" sqref="I34"/>
    </sheetView>
  </sheetViews>
  <sheetFormatPr defaultRowHeight="15" x14ac:dyDescent="0.25"/>
  <cols>
    <col min="1" max="1" width="26.28515625" customWidth="1"/>
    <col min="2" max="2" width="9.85546875" customWidth="1"/>
    <col min="3" max="3" width="13.7109375" customWidth="1"/>
    <col min="4" max="4" width="68.140625" customWidth="1"/>
    <col min="5" max="5" width="8.85546875" style="1" customWidth="1"/>
    <col min="6" max="6" width="12.140625" customWidth="1"/>
    <col min="7" max="7" width="12.42578125" customWidth="1"/>
    <col min="8" max="9" width="12.5703125" customWidth="1"/>
    <col min="10" max="10" width="8.85546875" customWidth="1"/>
    <col min="11" max="11" width="12.5703125" customWidth="1"/>
    <col min="12" max="14" width="12.140625" customWidth="1"/>
    <col min="15" max="15" width="8.85546875" customWidth="1"/>
    <col min="16" max="16" width="11.28515625" customWidth="1"/>
    <col min="17" max="19" width="12.140625" customWidth="1"/>
    <col min="20" max="20" width="8.85546875" customWidth="1"/>
    <col min="21" max="24" width="12.140625" customWidth="1"/>
    <col min="25" max="25" width="27.5703125" customWidth="1"/>
    <col min="26" max="26" width="16.140625" customWidth="1"/>
  </cols>
  <sheetData>
    <row r="1" spans="1:26" ht="24" x14ac:dyDescent="0.4">
      <c r="A1" s="115" t="s">
        <v>0</v>
      </c>
      <c r="B1" s="115"/>
      <c r="C1" s="115"/>
      <c r="D1" s="115"/>
      <c r="E1" s="115"/>
      <c r="F1" s="115"/>
      <c r="G1" s="115"/>
      <c r="H1" s="115"/>
      <c r="I1" s="115"/>
      <c r="J1" s="115"/>
      <c r="K1" s="115"/>
      <c r="L1" s="115"/>
      <c r="M1" s="115"/>
      <c r="N1" s="115"/>
      <c r="O1" s="115"/>
      <c r="P1" s="115"/>
      <c r="Q1" s="115"/>
      <c r="R1" s="115"/>
      <c r="S1" s="115"/>
      <c r="T1" s="115"/>
      <c r="U1" s="115"/>
      <c r="V1" s="115"/>
      <c r="W1" s="115"/>
      <c r="X1" s="115"/>
    </row>
    <row r="2" spans="1:26" ht="18.75" x14ac:dyDescent="0.3">
      <c r="A2" s="116" t="s">
        <v>1</v>
      </c>
      <c r="B2" s="116"/>
      <c r="C2" s="116"/>
      <c r="D2" s="116"/>
      <c r="E2" s="116"/>
      <c r="F2" s="116"/>
      <c r="G2" s="116"/>
      <c r="H2" s="116"/>
      <c r="I2" s="116"/>
      <c r="J2" s="116"/>
      <c r="K2" s="116"/>
      <c r="L2" s="116"/>
      <c r="M2" s="116"/>
      <c r="N2" s="116"/>
      <c r="O2" s="116"/>
      <c r="P2" s="116"/>
      <c r="Q2" s="116"/>
      <c r="R2" s="116"/>
      <c r="S2" s="116"/>
      <c r="T2" s="116"/>
      <c r="U2" s="116"/>
      <c r="V2" s="116"/>
      <c r="W2" s="116"/>
      <c r="X2" s="116"/>
    </row>
    <row r="3" spans="1:26" ht="17.25" customHeight="1" x14ac:dyDescent="0.25">
      <c r="A3" s="5" t="s">
        <v>2</v>
      </c>
      <c r="B3" s="14">
        <v>46064</v>
      </c>
      <c r="E3" s="117" t="s">
        <v>3</v>
      </c>
      <c r="F3" s="117"/>
      <c r="G3" s="117"/>
      <c r="H3" s="117"/>
      <c r="I3" s="117"/>
      <c r="J3" s="118" t="s">
        <v>4</v>
      </c>
      <c r="K3" s="118"/>
      <c r="L3" s="118"/>
      <c r="M3" s="118"/>
      <c r="N3" s="118"/>
      <c r="O3" s="119" t="s">
        <v>5</v>
      </c>
      <c r="P3" s="119"/>
      <c r="Q3" s="119"/>
      <c r="R3" s="119"/>
      <c r="S3" s="119"/>
      <c r="T3" s="120" t="s">
        <v>6</v>
      </c>
      <c r="U3" s="120"/>
      <c r="V3" s="120"/>
      <c r="W3" s="120"/>
      <c r="X3" s="120"/>
    </row>
    <row r="4" spans="1:26" ht="36.75" customHeight="1" thickBot="1" x14ac:dyDescent="0.3">
      <c r="E4"/>
      <c r="G4" s="39" t="s">
        <v>7</v>
      </c>
      <c r="H4" s="39" t="s">
        <v>8</v>
      </c>
      <c r="I4" s="39" t="s">
        <v>9</v>
      </c>
      <c r="L4" s="40" t="s">
        <v>7</v>
      </c>
      <c r="M4" s="40" t="s">
        <v>8</v>
      </c>
      <c r="N4" s="40" t="s">
        <v>9</v>
      </c>
      <c r="Q4" s="50" t="s">
        <v>7</v>
      </c>
      <c r="R4" s="50" t="s">
        <v>8</v>
      </c>
      <c r="S4" s="50" t="s">
        <v>9</v>
      </c>
      <c r="V4" s="51" t="s">
        <v>7</v>
      </c>
      <c r="W4" s="51" t="s">
        <v>8</v>
      </c>
      <c r="X4" s="51" t="s">
        <v>9</v>
      </c>
    </row>
    <row r="5" spans="1:26" s="2" customFormat="1" ht="30" x14ac:dyDescent="0.25">
      <c r="A5" s="2" t="s">
        <v>10</v>
      </c>
      <c r="B5" s="2" t="s">
        <v>11</v>
      </c>
      <c r="C5" s="2" t="s">
        <v>12</v>
      </c>
      <c r="D5" s="2" t="s">
        <v>13</v>
      </c>
      <c r="E5" s="41" t="s">
        <v>14</v>
      </c>
      <c r="F5" s="42" t="s">
        <v>15</v>
      </c>
      <c r="G5" s="42" t="s">
        <v>16</v>
      </c>
      <c r="H5" s="42" t="s">
        <v>17</v>
      </c>
      <c r="I5" s="43" t="s">
        <v>18</v>
      </c>
      <c r="J5" s="41" t="s">
        <v>19</v>
      </c>
      <c r="K5" s="42" t="s">
        <v>20</v>
      </c>
      <c r="L5" s="48" t="s">
        <v>21</v>
      </c>
      <c r="M5" s="42" t="s">
        <v>22</v>
      </c>
      <c r="N5" s="43" t="s">
        <v>23</v>
      </c>
      <c r="O5" s="41" t="s">
        <v>24</v>
      </c>
      <c r="P5" s="42" t="s">
        <v>25</v>
      </c>
      <c r="Q5" s="42" t="s">
        <v>26</v>
      </c>
      <c r="R5" s="42" t="s">
        <v>27</v>
      </c>
      <c r="S5" s="43" t="s">
        <v>28</v>
      </c>
      <c r="T5" s="41" t="s">
        <v>29</v>
      </c>
      <c r="U5" s="42" t="s">
        <v>30</v>
      </c>
      <c r="V5" s="48" t="s">
        <v>31</v>
      </c>
      <c r="W5" s="42" t="s">
        <v>32</v>
      </c>
      <c r="X5" s="43" t="s">
        <v>33</v>
      </c>
      <c r="Y5" s="2" t="s">
        <v>34</v>
      </c>
      <c r="Z5"/>
    </row>
    <row r="6" spans="1:26" ht="21" hidden="1" customHeight="1" x14ac:dyDescent="0.25">
      <c r="A6" s="15" t="s">
        <v>35</v>
      </c>
      <c r="B6" s="24" t="s">
        <v>36</v>
      </c>
      <c r="C6" s="16" t="s">
        <v>37</v>
      </c>
      <c r="D6" s="22" t="s">
        <v>38</v>
      </c>
      <c r="E6" s="44" t="s">
        <v>39</v>
      </c>
      <c r="F6" s="18">
        <v>46120</v>
      </c>
      <c r="G6" s="9">
        <v>46141</v>
      </c>
      <c r="H6" s="9">
        <v>46141</v>
      </c>
      <c r="I6" s="47"/>
      <c r="J6" s="44" t="s">
        <v>40</v>
      </c>
      <c r="K6" s="18">
        <v>46149</v>
      </c>
      <c r="L6" s="17"/>
      <c r="M6" s="10">
        <v>46155</v>
      </c>
      <c r="N6" s="47"/>
      <c r="O6" s="44" t="s">
        <v>41</v>
      </c>
      <c r="P6" s="18">
        <v>46157</v>
      </c>
      <c r="Q6" s="10">
        <v>46167</v>
      </c>
      <c r="R6" s="10">
        <v>46161</v>
      </c>
      <c r="S6" s="47"/>
      <c r="T6" s="44"/>
      <c r="U6" s="18"/>
      <c r="V6" s="18"/>
      <c r="W6" s="18"/>
      <c r="X6" s="49"/>
      <c r="Y6" s="34"/>
    </row>
    <row r="7" spans="1:26" ht="21" hidden="1" customHeight="1" x14ac:dyDescent="0.25">
      <c r="A7" s="26" t="s">
        <v>42</v>
      </c>
      <c r="B7" s="27" t="s">
        <v>43</v>
      </c>
      <c r="C7" s="33" t="s">
        <v>37</v>
      </c>
      <c r="D7" s="29" t="s">
        <v>44</v>
      </c>
      <c r="E7" s="46" t="s">
        <v>39</v>
      </c>
      <c r="F7" s="31">
        <v>46073</v>
      </c>
      <c r="G7" s="32">
        <v>46100</v>
      </c>
      <c r="H7" s="32">
        <v>46098</v>
      </c>
      <c r="I7" s="55">
        <v>46091</v>
      </c>
      <c r="J7" s="46" t="s">
        <v>40</v>
      </c>
      <c r="K7" s="31">
        <v>46140</v>
      </c>
      <c r="L7" s="30"/>
      <c r="M7" s="52">
        <v>46156</v>
      </c>
      <c r="N7" s="56"/>
      <c r="O7" s="46" t="s">
        <v>41</v>
      </c>
      <c r="P7" s="31">
        <v>46160</v>
      </c>
      <c r="Q7" s="52">
        <v>46182</v>
      </c>
      <c r="R7" s="52">
        <v>46167</v>
      </c>
      <c r="S7" s="57">
        <v>46174</v>
      </c>
      <c r="T7" s="46"/>
      <c r="U7" s="31"/>
      <c r="V7" s="31"/>
      <c r="W7" s="31"/>
      <c r="X7" s="58"/>
      <c r="Y7" s="37"/>
    </row>
    <row r="8" spans="1:26" ht="21" hidden="1" customHeight="1" x14ac:dyDescent="0.25">
      <c r="A8" s="15" t="s">
        <v>45</v>
      </c>
      <c r="B8" s="24" t="s">
        <v>43</v>
      </c>
      <c r="C8" s="16" t="s">
        <v>37</v>
      </c>
      <c r="D8" s="22" t="s">
        <v>46</v>
      </c>
      <c r="E8" s="44" t="s">
        <v>39</v>
      </c>
      <c r="F8" s="18">
        <v>46204</v>
      </c>
      <c r="G8" s="9">
        <v>46219</v>
      </c>
      <c r="H8" s="108">
        <v>46209</v>
      </c>
      <c r="I8" s="108">
        <v>46223</v>
      </c>
      <c r="J8" s="44" t="s">
        <v>41</v>
      </c>
      <c r="K8" s="18">
        <v>46222</v>
      </c>
      <c r="L8" s="17"/>
      <c r="M8" s="18"/>
      <c r="N8" s="47"/>
      <c r="O8" s="44"/>
      <c r="P8" s="18"/>
      <c r="Q8" s="18"/>
      <c r="R8" s="18"/>
      <c r="S8" s="47"/>
      <c r="T8" s="44"/>
      <c r="U8" s="18"/>
      <c r="V8" s="18"/>
      <c r="W8" s="18"/>
      <c r="X8" s="49"/>
      <c r="Y8" s="34"/>
    </row>
    <row r="9" spans="1:26" ht="21" hidden="1" customHeight="1" x14ac:dyDescent="0.25">
      <c r="A9" s="98" t="s">
        <v>47</v>
      </c>
      <c r="B9" s="99" t="s">
        <v>48</v>
      </c>
      <c r="C9" s="100" t="s">
        <v>37</v>
      </c>
      <c r="D9" s="101" t="s">
        <v>49</v>
      </c>
      <c r="E9" s="84" t="s">
        <v>39</v>
      </c>
      <c r="F9" s="70">
        <v>46071</v>
      </c>
      <c r="G9" s="72">
        <v>46104</v>
      </c>
      <c r="H9" s="72">
        <v>46106</v>
      </c>
      <c r="I9" s="102">
        <v>46104</v>
      </c>
      <c r="J9" s="84" t="s">
        <v>40</v>
      </c>
      <c r="K9" s="70">
        <v>46189</v>
      </c>
      <c r="L9" s="69"/>
      <c r="M9" s="70"/>
      <c r="N9" s="87"/>
      <c r="O9" s="84"/>
      <c r="P9" s="70"/>
      <c r="Q9" s="70"/>
      <c r="R9" s="70"/>
      <c r="S9" s="87"/>
      <c r="T9" s="84"/>
      <c r="U9" s="70"/>
      <c r="V9" s="70"/>
      <c r="W9" s="70"/>
      <c r="X9" s="103"/>
      <c r="Y9" s="90"/>
    </row>
    <row r="10" spans="1:26" ht="21" hidden="1" customHeight="1" x14ac:dyDescent="0.25">
      <c r="A10" s="104" t="s">
        <v>50</v>
      </c>
      <c r="B10" s="105" t="s">
        <v>48</v>
      </c>
      <c r="C10" s="74" t="s">
        <v>37</v>
      </c>
      <c r="D10" s="96" t="s">
        <v>51</v>
      </c>
      <c r="E10" s="76" t="s">
        <v>39</v>
      </c>
      <c r="F10" s="61">
        <v>46206</v>
      </c>
      <c r="G10" s="9">
        <v>46219</v>
      </c>
      <c r="H10" s="108">
        <v>46218</v>
      </c>
      <c r="I10" s="108">
        <v>46223</v>
      </c>
      <c r="J10" s="44" t="s">
        <v>41</v>
      </c>
      <c r="K10" s="18">
        <v>46225</v>
      </c>
      <c r="L10" s="66"/>
      <c r="M10" s="61"/>
      <c r="N10" s="10">
        <v>46244</v>
      </c>
      <c r="O10" s="76"/>
      <c r="P10" s="61"/>
      <c r="Q10" s="61"/>
      <c r="R10" s="61"/>
      <c r="S10" s="78"/>
      <c r="T10" s="76"/>
      <c r="U10" s="61"/>
      <c r="V10" s="61"/>
      <c r="W10" s="61"/>
      <c r="X10" s="106"/>
      <c r="Y10" s="79"/>
    </row>
    <row r="11" spans="1:26" ht="21" hidden="1" customHeight="1" x14ac:dyDescent="0.25">
      <c r="A11" s="15" t="s">
        <v>52</v>
      </c>
      <c r="B11" s="24" t="s">
        <v>36</v>
      </c>
      <c r="C11" s="109" t="s">
        <v>53</v>
      </c>
      <c r="D11" s="22" t="s">
        <v>54</v>
      </c>
      <c r="E11" s="44" t="s">
        <v>39</v>
      </c>
      <c r="F11" s="18">
        <v>46195</v>
      </c>
      <c r="G11" s="112">
        <v>46213</v>
      </c>
      <c r="H11" s="9">
        <v>46210</v>
      </c>
      <c r="I11" s="47"/>
      <c r="J11" s="44" t="s">
        <v>40</v>
      </c>
      <c r="K11" s="18">
        <v>46212</v>
      </c>
      <c r="L11" s="17"/>
      <c r="M11" s="114">
        <v>46219</v>
      </c>
      <c r="N11" s="47"/>
      <c r="O11" s="44" t="s">
        <v>41</v>
      </c>
      <c r="P11" s="18">
        <v>46226</v>
      </c>
      <c r="Q11" s="114">
        <v>46237</v>
      </c>
      <c r="R11" s="18"/>
      <c r="S11" s="47"/>
      <c r="T11" s="44"/>
      <c r="U11" s="18"/>
      <c r="V11" s="18"/>
      <c r="W11" s="18"/>
      <c r="X11" s="49"/>
      <c r="Y11" s="34"/>
    </row>
    <row r="12" spans="1:26" ht="21" hidden="1" customHeight="1" x14ac:dyDescent="0.25">
      <c r="A12" s="15" t="s">
        <v>55</v>
      </c>
      <c r="B12" s="24" t="s">
        <v>43</v>
      </c>
      <c r="C12" s="16" t="s">
        <v>56</v>
      </c>
      <c r="D12" s="22" t="s">
        <v>57</v>
      </c>
      <c r="E12" s="44" t="s">
        <v>39</v>
      </c>
      <c r="F12" s="18">
        <v>46162</v>
      </c>
      <c r="G12" s="9">
        <v>46191</v>
      </c>
      <c r="H12" s="9">
        <v>46176</v>
      </c>
      <c r="I12" s="54">
        <v>46174</v>
      </c>
      <c r="J12" s="44" t="s">
        <v>40</v>
      </c>
      <c r="K12" s="18">
        <v>46203</v>
      </c>
      <c r="L12" s="38"/>
      <c r="M12" s="54">
        <v>46209</v>
      </c>
      <c r="N12" s="47"/>
      <c r="O12" s="44" t="s">
        <v>41</v>
      </c>
      <c r="P12" s="18">
        <v>46209</v>
      </c>
      <c r="Q12" s="54">
        <v>46218</v>
      </c>
      <c r="R12" s="54">
        <v>46217</v>
      </c>
      <c r="S12" s="47"/>
      <c r="T12" s="44"/>
      <c r="U12" s="18"/>
      <c r="V12" s="18"/>
      <c r="W12" s="18"/>
      <c r="X12" s="49"/>
      <c r="Y12" s="34"/>
    </row>
    <row r="13" spans="1:26" ht="21" hidden="1" customHeight="1" x14ac:dyDescent="0.25">
      <c r="A13" s="104" t="s">
        <v>58</v>
      </c>
      <c r="B13" s="105" t="s">
        <v>48</v>
      </c>
      <c r="C13" s="74" t="s">
        <v>56</v>
      </c>
      <c r="D13" s="96" t="s">
        <v>59</v>
      </c>
      <c r="E13" s="76" t="s">
        <v>39</v>
      </c>
      <c r="F13" s="61">
        <v>46209</v>
      </c>
      <c r="G13" s="54">
        <v>46219</v>
      </c>
      <c r="H13" s="54">
        <v>46218</v>
      </c>
      <c r="I13" s="54">
        <v>46224</v>
      </c>
      <c r="J13" s="44" t="s">
        <v>41</v>
      </c>
      <c r="K13" s="61">
        <v>46232</v>
      </c>
      <c r="L13" s="54">
        <v>46237</v>
      </c>
      <c r="M13" s="54">
        <v>46237</v>
      </c>
      <c r="N13" s="78"/>
      <c r="O13" s="76"/>
      <c r="P13" s="61"/>
      <c r="Q13" s="61"/>
      <c r="R13" s="61"/>
      <c r="S13" s="78"/>
      <c r="T13" s="76"/>
      <c r="U13" s="61"/>
      <c r="V13" s="61"/>
      <c r="W13" s="61"/>
      <c r="X13" s="106"/>
      <c r="Y13" s="79"/>
    </row>
    <row r="14" spans="1:26" ht="21" customHeight="1" x14ac:dyDescent="0.25">
      <c r="A14" s="15" t="s">
        <v>60</v>
      </c>
      <c r="B14" s="24" t="s">
        <v>36</v>
      </c>
      <c r="C14" s="16" t="s">
        <v>61</v>
      </c>
      <c r="D14" s="22" t="s">
        <v>62</v>
      </c>
      <c r="E14" s="44" t="s">
        <v>39</v>
      </c>
      <c r="F14" s="18">
        <v>46206</v>
      </c>
      <c r="G14" s="18"/>
      <c r="H14" s="18"/>
      <c r="I14" s="18"/>
      <c r="J14" s="44"/>
      <c r="K14" s="18"/>
      <c r="L14" s="17"/>
      <c r="M14" s="18"/>
      <c r="N14" s="47"/>
      <c r="O14" s="44"/>
      <c r="P14" s="18"/>
      <c r="Q14" s="18"/>
      <c r="R14" s="18"/>
      <c r="S14" s="47"/>
      <c r="T14" s="44"/>
      <c r="U14" s="18"/>
      <c r="V14" s="18"/>
      <c r="W14" s="18"/>
      <c r="X14" s="49"/>
      <c r="Y14" s="34"/>
    </row>
    <row r="15" spans="1:26" ht="21" customHeight="1" x14ac:dyDescent="0.25">
      <c r="A15" s="15" t="s">
        <v>63</v>
      </c>
      <c r="B15" s="24" t="s">
        <v>43</v>
      </c>
      <c r="C15" s="16" t="s">
        <v>61</v>
      </c>
      <c r="D15" s="22" t="s">
        <v>64</v>
      </c>
      <c r="E15" s="44" t="s">
        <v>39</v>
      </c>
      <c r="F15" s="35" t="s">
        <v>65</v>
      </c>
      <c r="G15" s="25"/>
      <c r="H15" s="25"/>
      <c r="I15" s="25"/>
      <c r="J15" s="44"/>
      <c r="K15" s="18"/>
      <c r="L15" s="17"/>
      <c r="M15" s="18"/>
      <c r="N15" s="47"/>
      <c r="O15" s="44"/>
      <c r="P15" s="18"/>
      <c r="Q15" s="18"/>
      <c r="R15" s="18"/>
      <c r="S15" s="18"/>
      <c r="T15" s="44"/>
      <c r="U15" s="18"/>
      <c r="V15" s="18"/>
      <c r="W15" s="18"/>
      <c r="X15" s="49"/>
      <c r="Y15" s="34"/>
    </row>
    <row r="16" spans="1:26" ht="21" customHeight="1" x14ac:dyDescent="0.25">
      <c r="A16" s="104" t="s">
        <v>66</v>
      </c>
      <c r="B16" s="105" t="s">
        <v>48</v>
      </c>
      <c r="C16" s="74" t="s">
        <v>61</v>
      </c>
      <c r="D16" s="96" t="s">
        <v>67</v>
      </c>
      <c r="E16" s="44" t="s">
        <v>39</v>
      </c>
      <c r="F16" s="35" t="s">
        <v>65</v>
      </c>
      <c r="G16" s="61"/>
      <c r="H16" s="61"/>
      <c r="I16" s="61"/>
      <c r="J16" s="76"/>
      <c r="K16" s="61"/>
      <c r="L16" s="66"/>
      <c r="M16" s="61"/>
      <c r="N16" s="78"/>
      <c r="O16" s="76"/>
      <c r="P16" s="61"/>
      <c r="Q16" s="61"/>
      <c r="R16" s="61"/>
      <c r="S16" s="78"/>
      <c r="T16" s="76"/>
      <c r="U16" s="61"/>
      <c r="V16" s="61"/>
      <c r="W16" s="61"/>
      <c r="X16" s="106"/>
      <c r="Y16" s="79"/>
    </row>
    <row r="17" spans="1:25" ht="21" hidden="1" customHeight="1" x14ac:dyDescent="0.25">
      <c r="A17" s="15" t="s">
        <v>68</v>
      </c>
      <c r="B17" s="24" t="s">
        <v>36</v>
      </c>
      <c r="C17" s="16" t="s">
        <v>69</v>
      </c>
      <c r="D17" s="22" t="s">
        <v>70</v>
      </c>
      <c r="E17" s="44"/>
      <c r="F17" s="18"/>
      <c r="G17" s="18"/>
      <c r="H17" s="18"/>
      <c r="I17" s="47"/>
      <c r="J17" s="44"/>
      <c r="K17" s="18"/>
      <c r="L17" s="17"/>
      <c r="M17" s="18"/>
      <c r="N17" s="47"/>
      <c r="O17" s="44"/>
      <c r="P17" s="18"/>
      <c r="Q17" s="18"/>
      <c r="R17" s="18"/>
      <c r="S17" s="47"/>
      <c r="T17" s="44"/>
      <c r="U17" s="18"/>
      <c r="V17" s="18"/>
      <c r="W17" s="18"/>
      <c r="X17" s="49"/>
      <c r="Y17" s="34"/>
    </row>
    <row r="18" spans="1:25" ht="21" hidden="1" customHeight="1" x14ac:dyDescent="0.25">
      <c r="A18" s="15" t="s">
        <v>71</v>
      </c>
      <c r="B18" s="24" t="s">
        <v>43</v>
      </c>
      <c r="C18" s="16" t="s">
        <v>69</v>
      </c>
      <c r="D18" s="22" t="s">
        <v>72</v>
      </c>
      <c r="E18" s="44"/>
      <c r="F18" s="18"/>
      <c r="G18" s="25"/>
      <c r="H18" s="25"/>
      <c r="I18" s="45"/>
      <c r="J18" s="44"/>
      <c r="K18" s="18"/>
      <c r="L18" s="17"/>
      <c r="M18" s="18"/>
      <c r="N18" s="47"/>
      <c r="O18" s="44"/>
      <c r="P18" s="18"/>
      <c r="Q18" s="18"/>
      <c r="R18" s="18"/>
      <c r="S18" s="47"/>
      <c r="T18" s="44"/>
      <c r="U18" s="18"/>
      <c r="V18" s="18"/>
      <c r="W18" s="18"/>
      <c r="X18" s="49"/>
      <c r="Y18" s="34"/>
    </row>
    <row r="19" spans="1:25" ht="21" hidden="1" customHeight="1" x14ac:dyDescent="0.25">
      <c r="A19" s="104" t="s">
        <v>73</v>
      </c>
      <c r="B19" s="105" t="s">
        <v>48</v>
      </c>
      <c r="C19" s="74" t="s">
        <v>69</v>
      </c>
      <c r="D19" s="96" t="s">
        <v>74</v>
      </c>
      <c r="E19" s="84"/>
      <c r="F19" s="70"/>
      <c r="G19" s="61"/>
      <c r="H19" s="61"/>
      <c r="I19" s="78"/>
      <c r="J19" s="76"/>
      <c r="K19" s="61"/>
      <c r="L19" s="66"/>
      <c r="M19" s="61"/>
      <c r="N19" s="78"/>
      <c r="O19" s="76"/>
      <c r="P19" s="61"/>
      <c r="Q19" s="61"/>
      <c r="R19" s="61"/>
      <c r="S19" s="78"/>
      <c r="T19" s="76"/>
      <c r="U19" s="61"/>
      <c r="V19" s="61"/>
      <c r="W19" s="61"/>
      <c r="X19" s="106"/>
      <c r="Y19" s="79"/>
    </row>
    <row r="20" spans="1:25" ht="21" hidden="1" customHeight="1" x14ac:dyDescent="0.25">
      <c r="A20" s="15" t="s">
        <v>75</v>
      </c>
      <c r="B20" s="24" t="s">
        <v>36</v>
      </c>
      <c r="C20" s="16" t="s">
        <v>76</v>
      </c>
      <c r="D20" s="22" t="s">
        <v>77</v>
      </c>
      <c r="E20" s="44"/>
      <c r="F20" s="18"/>
      <c r="G20" s="18"/>
      <c r="H20" s="18"/>
      <c r="I20" s="47"/>
      <c r="J20" s="44"/>
      <c r="K20" s="18"/>
      <c r="L20" s="17"/>
      <c r="M20" s="18"/>
      <c r="N20" s="47"/>
      <c r="O20" s="44"/>
      <c r="P20" s="18"/>
      <c r="Q20" s="18"/>
      <c r="R20" s="18"/>
      <c r="S20" s="47"/>
      <c r="T20" s="44"/>
      <c r="U20" s="18"/>
      <c r="V20" s="18"/>
      <c r="W20" s="18"/>
      <c r="X20" s="49"/>
      <c r="Y20" s="34"/>
    </row>
    <row r="21" spans="1:25" ht="21" hidden="1" customHeight="1" x14ac:dyDescent="0.25">
      <c r="A21" s="15" t="s">
        <v>78</v>
      </c>
      <c r="B21" s="24" t="s">
        <v>43</v>
      </c>
      <c r="C21" s="16" t="s">
        <v>76</v>
      </c>
      <c r="D21" s="22" t="s">
        <v>79</v>
      </c>
      <c r="E21" s="44"/>
      <c r="F21" s="18"/>
      <c r="G21" s="25"/>
      <c r="H21" s="25"/>
      <c r="I21" s="45"/>
      <c r="J21" s="44"/>
      <c r="K21" s="18"/>
      <c r="L21" s="17"/>
      <c r="M21" s="18"/>
      <c r="N21" s="47"/>
      <c r="O21" s="44"/>
      <c r="P21" s="18"/>
      <c r="Q21" s="18"/>
      <c r="R21" s="18"/>
      <c r="S21" s="47"/>
      <c r="T21" s="44"/>
      <c r="U21" s="18"/>
      <c r="V21" s="18"/>
      <c r="W21" s="18"/>
      <c r="X21" s="49"/>
      <c r="Y21" s="34"/>
    </row>
    <row r="22" spans="1:25" ht="21" hidden="1" customHeight="1" x14ac:dyDescent="0.25">
      <c r="A22" s="104" t="s">
        <v>80</v>
      </c>
      <c r="B22" s="105" t="s">
        <v>48</v>
      </c>
      <c r="C22" s="74" t="s">
        <v>76</v>
      </c>
      <c r="D22" s="96" t="s">
        <v>81</v>
      </c>
      <c r="E22" s="84"/>
      <c r="F22" s="70"/>
      <c r="G22" s="61"/>
      <c r="H22" s="61"/>
      <c r="I22" s="78"/>
      <c r="J22" s="76"/>
      <c r="K22" s="61"/>
      <c r="L22" s="66"/>
      <c r="M22" s="61"/>
      <c r="N22" s="78"/>
      <c r="O22" s="76"/>
      <c r="P22" s="61"/>
      <c r="Q22" s="61"/>
      <c r="R22" s="61"/>
      <c r="S22" s="78"/>
      <c r="T22" s="76"/>
      <c r="U22" s="61"/>
      <c r="V22" s="61"/>
      <c r="W22" s="61"/>
      <c r="X22" s="106"/>
      <c r="Y22" s="79"/>
    </row>
    <row r="23" spans="1:25" ht="21" hidden="1" customHeight="1" x14ac:dyDescent="0.25">
      <c r="A23" s="15" t="s">
        <v>82</v>
      </c>
      <c r="B23" s="24" t="s">
        <v>43</v>
      </c>
      <c r="C23" s="16" t="s">
        <v>83</v>
      </c>
      <c r="D23" s="22" t="s">
        <v>84</v>
      </c>
      <c r="E23" s="44"/>
      <c r="F23" s="18"/>
      <c r="G23" s="25"/>
      <c r="H23" s="25"/>
      <c r="I23" s="45"/>
      <c r="J23" s="44"/>
      <c r="K23" s="18"/>
      <c r="L23" s="17"/>
      <c r="M23" s="18"/>
      <c r="N23" s="47"/>
      <c r="O23" s="44"/>
      <c r="P23" s="18"/>
      <c r="Q23" s="18"/>
      <c r="R23" s="18"/>
      <c r="S23" s="47"/>
      <c r="T23" s="44"/>
      <c r="U23" s="18"/>
      <c r="V23" s="18"/>
      <c r="W23" s="18"/>
      <c r="X23" s="49"/>
      <c r="Y23" s="34"/>
    </row>
    <row r="24" spans="1:25" ht="21" hidden="1" customHeight="1" x14ac:dyDescent="0.25">
      <c r="A24" s="104" t="s">
        <v>85</v>
      </c>
      <c r="B24" s="105" t="s">
        <v>48</v>
      </c>
      <c r="C24" s="74" t="s">
        <v>83</v>
      </c>
      <c r="D24" s="96" t="s">
        <v>86</v>
      </c>
      <c r="E24" s="76"/>
      <c r="F24" s="61"/>
      <c r="G24" s="61"/>
      <c r="H24" s="61"/>
      <c r="I24" s="78"/>
      <c r="J24" s="76"/>
      <c r="K24" s="61"/>
      <c r="L24" s="66"/>
      <c r="M24" s="61"/>
      <c r="N24" s="78"/>
      <c r="O24" s="76"/>
      <c r="P24" s="61"/>
      <c r="Q24" s="61"/>
      <c r="R24" s="61"/>
      <c r="S24" s="78"/>
      <c r="T24" s="76"/>
      <c r="U24" s="61"/>
      <c r="V24" s="61"/>
      <c r="W24" s="61"/>
      <c r="X24" s="106"/>
      <c r="Y24" s="79"/>
    </row>
    <row r="25" spans="1:25" ht="21" hidden="1" customHeight="1" x14ac:dyDescent="0.25">
      <c r="A25" s="15" t="s">
        <v>87</v>
      </c>
      <c r="B25" s="24" t="s">
        <v>43</v>
      </c>
      <c r="C25" s="16" t="s">
        <v>88</v>
      </c>
      <c r="D25" s="22" t="s">
        <v>89</v>
      </c>
      <c r="E25" s="44"/>
      <c r="F25" s="18"/>
      <c r="G25" s="25"/>
      <c r="H25" s="25"/>
      <c r="I25" s="45"/>
      <c r="J25" s="44"/>
      <c r="K25" s="18"/>
      <c r="L25" s="17"/>
      <c r="M25" s="18"/>
      <c r="N25" s="47"/>
      <c r="O25" s="44"/>
      <c r="P25" s="18"/>
      <c r="Q25" s="18"/>
      <c r="R25" s="18"/>
      <c r="S25" s="47"/>
      <c r="T25" s="44"/>
      <c r="U25" s="18"/>
      <c r="V25" s="18"/>
      <c r="W25" s="18"/>
      <c r="X25" s="49"/>
      <c r="Y25" s="34"/>
    </row>
    <row r="26" spans="1:25" ht="21" hidden="1" customHeight="1" x14ac:dyDescent="0.25">
      <c r="A26" s="104" t="s">
        <v>90</v>
      </c>
      <c r="B26" s="105" t="s">
        <v>48</v>
      </c>
      <c r="C26" s="74" t="s">
        <v>88</v>
      </c>
      <c r="D26" s="96" t="s">
        <v>91</v>
      </c>
      <c r="E26" s="76"/>
      <c r="F26" s="61"/>
      <c r="G26" s="61"/>
      <c r="H26" s="61"/>
      <c r="I26" s="78"/>
      <c r="J26" s="76"/>
      <c r="K26" s="61"/>
      <c r="L26" s="66"/>
      <c r="M26" s="61"/>
      <c r="N26" s="78"/>
      <c r="O26" s="76"/>
      <c r="P26" s="61"/>
      <c r="Q26" s="61"/>
      <c r="R26" s="61"/>
      <c r="S26" s="78"/>
      <c r="T26" s="76"/>
      <c r="U26" s="61"/>
      <c r="V26" s="61"/>
      <c r="W26" s="61"/>
      <c r="X26" s="106"/>
      <c r="Y26" s="79"/>
    </row>
    <row r="27" spans="1:25" ht="21" hidden="1" customHeight="1" x14ac:dyDescent="0.25">
      <c r="A27" s="15" t="s">
        <v>92</v>
      </c>
      <c r="B27" s="24" t="s">
        <v>43</v>
      </c>
      <c r="C27" s="16" t="s">
        <v>93</v>
      </c>
      <c r="D27" s="22" t="s">
        <v>94</v>
      </c>
      <c r="E27" s="44"/>
      <c r="F27" s="18"/>
      <c r="G27" s="25"/>
      <c r="H27" s="25"/>
      <c r="I27" s="45"/>
      <c r="J27" s="44"/>
      <c r="K27" s="18"/>
      <c r="L27" s="17"/>
      <c r="M27" s="18"/>
      <c r="N27" s="47"/>
      <c r="O27" s="44"/>
      <c r="P27" s="18"/>
      <c r="Q27" s="18"/>
      <c r="R27" s="18"/>
      <c r="S27" s="47"/>
      <c r="T27" s="44"/>
      <c r="U27" s="18"/>
      <c r="V27" s="18"/>
      <c r="W27" s="18"/>
      <c r="X27" s="49"/>
      <c r="Y27" s="34"/>
    </row>
    <row r="28" spans="1:25" ht="21" hidden="1" customHeight="1" x14ac:dyDescent="0.25">
      <c r="A28" s="104" t="s">
        <v>95</v>
      </c>
      <c r="B28" s="105" t="s">
        <v>48</v>
      </c>
      <c r="C28" s="74" t="s">
        <v>93</v>
      </c>
      <c r="D28" s="96" t="s">
        <v>96</v>
      </c>
      <c r="E28" s="76"/>
      <c r="F28" s="61"/>
      <c r="G28" s="61"/>
      <c r="H28" s="61"/>
      <c r="I28" s="78"/>
      <c r="J28" s="76"/>
      <c r="K28" s="61"/>
      <c r="L28" s="66"/>
      <c r="M28" s="61"/>
      <c r="N28" s="78"/>
      <c r="O28" s="76"/>
      <c r="P28" s="61"/>
      <c r="Q28" s="61"/>
      <c r="R28" s="61"/>
      <c r="S28" s="78"/>
      <c r="T28" s="76"/>
      <c r="U28" s="61"/>
      <c r="V28" s="61"/>
      <c r="W28" s="61"/>
      <c r="X28" s="106"/>
      <c r="Y28" s="79"/>
    </row>
    <row r="29" spans="1:25" ht="21" hidden="1" customHeight="1" x14ac:dyDescent="0.25">
      <c r="A29" s="15" t="s">
        <v>97</v>
      </c>
      <c r="B29" s="24" t="s">
        <v>98</v>
      </c>
      <c r="C29" s="16" t="s">
        <v>53</v>
      </c>
      <c r="D29" s="22" t="s">
        <v>99</v>
      </c>
      <c r="E29" s="44"/>
      <c r="F29" s="18"/>
      <c r="G29" s="18"/>
      <c r="H29" s="18"/>
      <c r="I29" s="47"/>
      <c r="J29" s="44"/>
      <c r="K29" s="18"/>
      <c r="L29" s="17"/>
      <c r="M29" s="18"/>
      <c r="N29" s="47"/>
      <c r="O29" s="44"/>
      <c r="P29" s="18"/>
      <c r="Q29" s="18"/>
      <c r="R29" s="18"/>
      <c r="S29" s="47"/>
      <c r="T29" s="44"/>
      <c r="U29" s="18"/>
      <c r="V29" s="18"/>
      <c r="W29" s="18"/>
      <c r="X29" s="49"/>
      <c r="Y29" s="34"/>
    </row>
    <row r="30" spans="1:25" ht="21" customHeight="1" x14ac:dyDescent="0.25">
      <c r="A30" s="15" t="s">
        <v>100</v>
      </c>
      <c r="B30" s="16"/>
      <c r="C30" s="16">
        <f>SUBTOTAL(103,Table145[PF])</f>
        <v>3</v>
      </c>
      <c r="D30" s="16"/>
      <c r="E30" s="16"/>
      <c r="F30" s="16">
        <f>SUBTOTAL(103,Table145[CYL'#01      ISSUE DATA])</f>
        <v>3</v>
      </c>
      <c r="G30" s="16"/>
      <c r="H30" s="16"/>
      <c r="I30" s="16"/>
      <c r="J30" s="16"/>
      <c r="K30" s="16"/>
      <c r="L30" s="16"/>
      <c r="M30" s="16"/>
      <c r="N30" s="16"/>
      <c r="O30" s="16"/>
      <c r="P30" s="16"/>
      <c r="Q30" s="16"/>
      <c r="R30" s="16"/>
      <c r="S30" s="16"/>
      <c r="T30" s="16"/>
      <c r="U30" s="16"/>
      <c r="V30" s="16"/>
      <c r="W30" s="16"/>
      <c r="X30" s="22">
        <f>SUBTOTAL(103,Table145[CRS CYL'#04 STK'#03])</f>
        <v>0</v>
      </c>
      <c r="Y30" s="16"/>
    </row>
    <row r="31" spans="1:25" ht="21" customHeight="1" x14ac:dyDescent="0.25"/>
    <row r="32" spans="1:25" ht="21" customHeight="1" x14ac:dyDescent="0.25"/>
    <row r="33" ht="21" customHeight="1" x14ac:dyDescent="0.25"/>
    <row r="34" ht="21" customHeight="1" x14ac:dyDescent="0.25"/>
  </sheetData>
  <mergeCells count="6">
    <mergeCell ref="A1:X1"/>
    <mergeCell ref="A2:X2"/>
    <mergeCell ref="E3:I3"/>
    <mergeCell ref="J3:N3"/>
    <mergeCell ref="O3:S3"/>
    <mergeCell ref="T3:X3"/>
  </mergeCells>
  <phoneticPr fontId="3" type="noConversion"/>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37"/>
  <sheetViews>
    <sheetView zoomScale="115" zoomScaleNormal="115" workbookViewId="0">
      <pane xSplit="4" ySplit="6" topLeftCell="E7" activePane="bottomRight" state="frozen"/>
      <selection pane="topRight" activeCell="E1" sqref="E1"/>
      <selection pane="bottomLeft" activeCell="A7" sqref="A7"/>
      <selection pane="bottomRight" activeCell="D36" sqref="D36"/>
    </sheetView>
  </sheetViews>
  <sheetFormatPr defaultRowHeight="15" x14ac:dyDescent="0.25"/>
  <cols>
    <col min="1" max="1" width="26.28515625" customWidth="1"/>
    <col min="2" max="2" width="11" customWidth="1"/>
    <col min="3" max="3" width="10.85546875" customWidth="1"/>
    <col min="4" max="4" width="61.140625" customWidth="1"/>
    <col min="5" max="5" width="9.140625" style="1"/>
    <col min="6" max="6" width="12.140625" customWidth="1"/>
    <col min="7" max="7" width="12.42578125" customWidth="1"/>
    <col min="8" max="8" width="12.5703125" customWidth="1"/>
    <col min="9" max="9" width="11.28515625" customWidth="1"/>
    <col min="10" max="10" width="15.42578125" customWidth="1"/>
    <col min="11" max="11" width="15.28515625" customWidth="1"/>
    <col min="12" max="12" width="12.5703125" customWidth="1"/>
    <col min="13" max="13" width="11.28515625" customWidth="1"/>
    <col min="14" max="14" width="15.42578125" customWidth="1"/>
    <col min="15" max="15" width="15.28515625" customWidth="1"/>
    <col min="16" max="16" width="12.5703125" customWidth="1"/>
    <col min="17" max="17" width="13" customWidth="1"/>
    <col min="18" max="18" width="16.7109375" customWidth="1"/>
    <col min="19" max="19" width="15.28515625" customWidth="1"/>
    <col min="20" max="20" width="13" customWidth="1"/>
    <col min="21" max="21" width="27.28515625" customWidth="1"/>
    <col min="22" max="22" width="8.140625" customWidth="1"/>
    <col min="23" max="23" width="16.140625" customWidth="1"/>
  </cols>
  <sheetData>
    <row r="1" spans="1:23" ht="24" x14ac:dyDescent="0.4">
      <c r="A1" s="115" t="s">
        <v>0</v>
      </c>
      <c r="B1" s="115"/>
      <c r="C1" s="115"/>
      <c r="D1" s="115"/>
      <c r="E1" s="115"/>
      <c r="F1" s="115"/>
      <c r="G1" s="115"/>
      <c r="H1" s="115"/>
      <c r="I1" s="115"/>
      <c r="J1" s="115"/>
      <c r="K1" s="115"/>
      <c r="L1" s="115"/>
      <c r="M1" s="115"/>
      <c r="N1" s="115"/>
      <c r="O1" s="115"/>
      <c r="P1" s="115"/>
      <c r="Q1" s="115"/>
      <c r="R1" s="115"/>
      <c r="S1" s="115"/>
      <c r="T1" s="115"/>
      <c r="U1" s="115"/>
    </row>
    <row r="2" spans="1:23" ht="18.75" x14ac:dyDescent="0.3">
      <c r="A2" s="116" t="s">
        <v>101</v>
      </c>
      <c r="B2" s="116"/>
      <c r="C2" s="116"/>
      <c r="D2" s="116"/>
      <c r="E2" s="116"/>
      <c r="F2" s="116"/>
      <c r="G2" s="116"/>
      <c r="H2" s="116"/>
      <c r="I2" s="116"/>
      <c r="J2" s="116"/>
      <c r="K2" s="116"/>
      <c r="L2" s="116"/>
      <c r="M2" s="116"/>
      <c r="N2" s="116"/>
      <c r="O2" s="116"/>
      <c r="P2" s="116"/>
      <c r="Q2" s="116"/>
      <c r="R2" s="116"/>
      <c r="S2" s="116"/>
      <c r="T2" s="116"/>
      <c r="U2" s="116"/>
    </row>
    <row r="3" spans="1:23" ht="30" customHeight="1" x14ac:dyDescent="0.3">
      <c r="A3" s="60"/>
      <c r="B3" s="60"/>
      <c r="C3" s="60"/>
      <c r="D3" s="60"/>
      <c r="E3" s="60"/>
      <c r="F3" s="60"/>
      <c r="G3" s="60"/>
      <c r="H3" s="60"/>
      <c r="I3" s="60"/>
      <c r="J3" s="60"/>
      <c r="K3" s="60"/>
      <c r="L3" s="60"/>
      <c r="M3" s="60"/>
      <c r="N3" s="60"/>
      <c r="O3" s="60"/>
      <c r="P3" s="60"/>
      <c r="Q3" s="60"/>
      <c r="R3" s="60"/>
      <c r="S3" s="60"/>
      <c r="T3" s="60"/>
      <c r="U3" s="60"/>
    </row>
    <row r="4" spans="1:23" ht="18.75" customHeight="1" x14ac:dyDescent="0.3">
      <c r="A4" s="60"/>
      <c r="B4" s="60"/>
      <c r="C4" s="60"/>
      <c r="D4" s="60"/>
      <c r="E4" s="121" t="s">
        <v>3</v>
      </c>
      <c r="F4" s="121"/>
      <c r="G4" s="121"/>
      <c r="H4" s="121"/>
      <c r="I4" s="122" t="s">
        <v>4</v>
      </c>
      <c r="J4" s="122"/>
      <c r="K4" s="122"/>
      <c r="L4" s="122"/>
      <c r="M4" s="123" t="s">
        <v>5</v>
      </c>
      <c r="N4" s="123"/>
      <c r="O4" s="123"/>
      <c r="P4" s="123"/>
      <c r="Q4" s="120" t="s">
        <v>6</v>
      </c>
      <c r="R4" s="120"/>
      <c r="S4" s="120"/>
      <c r="T4" s="120"/>
      <c r="U4" s="60"/>
    </row>
    <row r="5" spans="1:23" ht="15.75" thickBot="1" x14ac:dyDescent="0.3">
      <c r="E5"/>
      <c r="G5" s="63" t="s">
        <v>7</v>
      </c>
      <c r="H5" s="63" t="s">
        <v>8</v>
      </c>
      <c r="K5" s="64" t="s">
        <v>7</v>
      </c>
      <c r="L5" s="64" t="s">
        <v>8</v>
      </c>
      <c r="O5" s="65" t="s">
        <v>7</v>
      </c>
      <c r="P5" s="65" t="s">
        <v>8</v>
      </c>
      <c r="S5" s="51" t="s">
        <v>7</v>
      </c>
      <c r="T5" s="51" t="s">
        <v>8</v>
      </c>
      <c r="U5" s="6">
        <v>45882</v>
      </c>
    </row>
    <row r="6" spans="1:23" s="2" customFormat="1" ht="30" x14ac:dyDescent="0.25">
      <c r="A6" s="2" t="s">
        <v>102</v>
      </c>
      <c r="B6" s="2" t="s">
        <v>11</v>
      </c>
      <c r="C6" s="2" t="s">
        <v>12</v>
      </c>
      <c r="D6" s="2" t="s">
        <v>13</v>
      </c>
      <c r="E6" s="41" t="s">
        <v>14</v>
      </c>
      <c r="F6" s="42" t="s">
        <v>15</v>
      </c>
      <c r="G6" s="42" t="s">
        <v>16</v>
      </c>
      <c r="H6" s="42" t="s">
        <v>17</v>
      </c>
      <c r="I6" s="41" t="s">
        <v>19</v>
      </c>
      <c r="J6" s="42" t="s">
        <v>20</v>
      </c>
      <c r="K6" s="48" t="s">
        <v>21</v>
      </c>
      <c r="L6" s="42" t="s">
        <v>22</v>
      </c>
      <c r="M6" s="41" t="s">
        <v>24</v>
      </c>
      <c r="N6" s="42" t="s">
        <v>25</v>
      </c>
      <c r="O6" s="42" t="s">
        <v>26</v>
      </c>
      <c r="P6" s="42" t="s">
        <v>27</v>
      </c>
      <c r="Q6" s="41" t="s">
        <v>29</v>
      </c>
      <c r="R6" s="42" t="s">
        <v>30</v>
      </c>
      <c r="S6" s="48" t="s">
        <v>31</v>
      </c>
      <c r="T6" s="42" t="s">
        <v>32</v>
      </c>
      <c r="U6" s="2" t="s">
        <v>103</v>
      </c>
      <c r="W6" s="62"/>
    </row>
    <row r="7" spans="1:23" s="15" customFormat="1" x14ac:dyDescent="0.25">
      <c r="A7" s="26" t="s">
        <v>104</v>
      </c>
      <c r="B7" s="27" t="s">
        <v>43</v>
      </c>
      <c r="C7" s="28" t="s">
        <v>37</v>
      </c>
      <c r="D7" s="29" t="s">
        <v>105</v>
      </c>
      <c r="E7" s="66" t="s">
        <v>39</v>
      </c>
      <c r="F7" s="61">
        <v>46045</v>
      </c>
      <c r="G7" s="67">
        <v>46072</v>
      </c>
      <c r="H7" s="68">
        <v>46063</v>
      </c>
      <c r="I7" s="69" t="s">
        <v>41</v>
      </c>
      <c r="J7" s="70">
        <v>46097</v>
      </c>
      <c r="K7" s="61"/>
      <c r="L7" s="68">
        <v>46111</v>
      </c>
      <c r="M7" s="66" t="s">
        <v>106</v>
      </c>
      <c r="N7" s="61">
        <v>46118</v>
      </c>
      <c r="O7" s="61"/>
      <c r="P7" s="61"/>
      <c r="Q7" s="66"/>
      <c r="R7" s="18"/>
      <c r="S7" s="18"/>
      <c r="T7" s="18"/>
      <c r="U7" s="20" cm="1">
        <f t="array" ref="U7">LOOKUP(2,1/(B7:INDEX(Table1[#This Row],COLUMN()-1)&lt;&gt;""),(B7:INDEX(Table1[#This Row],COLUMN()-1)))</f>
        <v>46118</v>
      </c>
      <c r="W7"/>
    </row>
    <row r="8" spans="1:23" s="15" customFormat="1" ht="30" x14ac:dyDescent="0.25">
      <c r="A8" s="26" t="s">
        <v>107</v>
      </c>
      <c r="B8" s="27" t="s">
        <v>48</v>
      </c>
      <c r="C8" s="28" t="s">
        <v>37</v>
      </c>
      <c r="D8" s="29" t="s">
        <v>108</v>
      </c>
      <c r="E8" s="66" t="s">
        <v>39</v>
      </c>
      <c r="F8" s="61">
        <v>46045</v>
      </c>
      <c r="G8" s="67">
        <v>46064</v>
      </c>
      <c r="H8" s="68">
        <v>46063</v>
      </c>
      <c r="I8" s="69" t="s">
        <v>41</v>
      </c>
      <c r="J8" s="70">
        <v>46097</v>
      </c>
      <c r="K8" s="61"/>
      <c r="L8" s="67">
        <v>46111</v>
      </c>
      <c r="M8" s="66" t="s">
        <v>106</v>
      </c>
      <c r="N8" s="61">
        <v>46118</v>
      </c>
      <c r="O8" s="61"/>
      <c r="P8" s="61"/>
      <c r="Q8" s="66"/>
      <c r="R8" s="18"/>
      <c r="S8" s="18"/>
      <c r="T8" s="18"/>
      <c r="U8" s="20" cm="1">
        <f t="array" ref="U8">LOOKUP(2,1/(B8:INDEX(Table1[#This Row],COLUMN()-1)&lt;&gt;""),(B8:INDEX(Table1[#This Row],COLUMN()-1)))</f>
        <v>46118</v>
      </c>
      <c r="W8"/>
    </row>
    <row r="9" spans="1:23" s="15" customFormat="1" ht="30" x14ac:dyDescent="0.25">
      <c r="A9" s="26" t="s">
        <v>109</v>
      </c>
      <c r="B9" s="27" t="s">
        <v>48</v>
      </c>
      <c r="C9" s="28" t="s">
        <v>37</v>
      </c>
      <c r="D9" s="29" t="s">
        <v>110</v>
      </c>
      <c r="E9" s="66" t="s">
        <v>39</v>
      </c>
      <c r="F9" s="61">
        <v>46045</v>
      </c>
      <c r="G9" s="67">
        <v>46064</v>
      </c>
      <c r="H9" s="68">
        <v>46063</v>
      </c>
      <c r="I9" s="69" t="s">
        <v>41</v>
      </c>
      <c r="J9" s="70">
        <v>46097</v>
      </c>
      <c r="K9" s="61"/>
      <c r="L9" s="67">
        <v>46111</v>
      </c>
      <c r="M9" s="66" t="s">
        <v>106</v>
      </c>
      <c r="N9" s="61">
        <v>46118</v>
      </c>
      <c r="O9" s="61"/>
      <c r="P9" s="61"/>
      <c r="Q9" s="71"/>
      <c r="R9" s="18"/>
      <c r="S9" s="18"/>
      <c r="T9" s="18"/>
      <c r="U9" s="20" cm="1">
        <f t="array" ref="U9">LOOKUP(2,1/(B9:INDEX(Table1[#This Row],COLUMN()-1)&lt;&gt;""),(B9:INDEX(Table1[#This Row],COLUMN()-1)))</f>
        <v>46118</v>
      </c>
      <c r="W9"/>
    </row>
    <row r="10" spans="1:23" s="15" customFormat="1" ht="30" x14ac:dyDescent="0.25">
      <c r="A10" s="26" t="s">
        <v>111</v>
      </c>
      <c r="B10" s="27" t="s">
        <v>36</v>
      </c>
      <c r="C10" s="28" t="s">
        <v>37</v>
      </c>
      <c r="D10" s="29" t="s">
        <v>112</v>
      </c>
      <c r="E10" s="66" t="s">
        <v>39</v>
      </c>
      <c r="F10" s="61">
        <v>46045</v>
      </c>
      <c r="G10" s="67">
        <v>46064</v>
      </c>
      <c r="H10" s="68">
        <v>46063</v>
      </c>
      <c r="I10" s="66" t="s">
        <v>41</v>
      </c>
      <c r="J10" s="61">
        <v>46097</v>
      </c>
      <c r="K10" s="68">
        <v>46125</v>
      </c>
      <c r="L10" s="68">
        <v>46111</v>
      </c>
      <c r="M10" s="66"/>
      <c r="N10" s="61"/>
      <c r="O10" s="61"/>
      <c r="P10" s="61"/>
      <c r="Q10" s="66"/>
      <c r="R10" s="18"/>
      <c r="S10" s="18"/>
      <c r="T10" s="18"/>
      <c r="U10" s="20" cm="1">
        <f t="array" ref="U10">LOOKUP(2,1/(B10:INDEX(Table1[#This Row],COLUMN()-1)&lt;&gt;""),(B10:INDEX(Table1[#This Row],COLUMN()-1)))</f>
        <v>46111</v>
      </c>
    </row>
    <row r="11" spans="1:23" s="15" customFormat="1" ht="30" x14ac:dyDescent="0.25">
      <c r="A11" s="26" t="s">
        <v>113</v>
      </c>
      <c r="B11" s="27" t="s">
        <v>36</v>
      </c>
      <c r="C11" s="28" t="s">
        <v>37</v>
      </c>
      <c r="D11" s="29" t="s">
        <v>114</v>
      </c>
      <c r="E11" s="66" t="s">
        <v>39</v>
      </c>
      <c r="F11" s="61">
        <v>46045</v>
      </c>
      <c r="G11" s="67">
        <v>46064</v>
      </c>
      <c r="H11" s="68">
        <v>46063</v>
      </c>
      <c r="I11" s="66" t="s">
        <v>41</v>
      </c>
      <c r="J11" s="61">
        <v>46097</v>
      </c>
      <c r="K11" s="68">
        <v>46125</v>
      </c>
      <c r="L11" s="68">
        <v>46111</v>
      </c>
      <c r="M11" s="66"/>
      <c r="N11" s="61"/>
      <c r="O11" s="61"/>
      <c r="P11" s="61"/>
      <c r="Q11" s="66"/>
      <c r="R11" s="18"/>
      <c r="S11" s="18"/>
      <c r="T11" s="18"/>
      <c r="U11" s="20" cm="1">
        <f t="array" ref="U11">LOOKUP(2,1/(B11:INDEX(Table1[#This Row],COLUMN()-1)&lt;&gt;""),(B11:INDEX(Table1[#This Row],COLUMN()-1)))</f>
        <v>46111</v>
      </c>
    </row>
    <row r="12" spans="1:23" s="15" customFormat="1" x14ac:dyDescent="0.25">
      <c r="A12" s="15" t="s">
        <v>115</v>
      </c>
      <c r="B12" s="24" t="s">
        <v>43</v>
      </c>
      <c r="C12" s="23" t="s">
        <v>37</v>
      </c>
      <c r="D12" s="22" t="s">
        <v>116</v>
      </c>
      <c r="E12" s="66" t="s">
        <v>39</v>
      </c>
      <c r="F12" s="61">
        <v>46119</v>
      </c>
      <c r="G12" s="68">
        <v>46146</v>
      </c>
      <c r="H12" s="68">
        <v>46149</v>
      </c>
      <c r="I12" s="66" t="s">
        <v>41</v>
      </c>
      <c r="J12" s="61">
        <v>46150</v>
      </c>
      <c r="K12" s="68">
        <v>46175</v>
      </c>
      <c r="L12" s="68">
        <v>46156</v>
      </c>
      <c r="M12" s="61"/>
      <c r="N12" s="61"/>
      <c r="O12" s="61"/>
      <c r="P12" s="61"/>
      <c r="Q12" s="71"/>
      <c r="R12" s="18"/>
      <c r="S12" s="18"/>
      <c r="T12" s="18"/>
      <c r="U12" s="12" cm="1">
        <f t="array" ref="U12">LOOKUP(2,1/(B12:INDEX(Table1[#This Row],COLUMN()-1)&lt;&gt;""),(B12:INDEX(Table1[#This Row],COLUMN()-1)))</f>
        <v>46156</v>
      </c>
    </row>
    <row r="13" spans="1:23" s="15" customFormat="1" ht="30" x14ac:dyDescent="0.25">
      <c r="A13" s="15" t="s">
        <v>117</v>
      </c>
      <c r="B13" s="24" t="s">
        <v>48</v>
      </c>
      <c r="C13" s="23" t="s">
        <v>37</v>
      </c>
      <c r="D13" s="22" t="s">
        <v>118</v>
      </c>
      <c r="E13" s="66" t="s">
        <v>39</v>
      </c>
      <c r="F13" s="61">
        <v>46119</v>
      </c>
      <c r="G13" s="67">
        <v>46146</v>
      </c>
      <c r="H13" s="68">
        <v>46149</v>
      </c>
      <c r="I13" s="66" t="s">
        <v>41</v>
      </c>
      <c r="J13" s="61">
        <v>46150</v>
      </c>
      <c r="K13" s="68">
        <v>46175</v>
      </c>
      <c r="L13" s="68">
        <v>46156</v>
      </c>
      <c r="M13" s="61"/>
      <c r="N13" s="61"/>
      <c r="O13" s="61"/>
      <c r="P13" s="61"/>
      <c r="Q13" s="71"/>
      <c r="R13" s="18"/>
      <c r="S13" s="18"/>
      <c r="T13" s="18"/>
      <c r="U13" s="20" cm="1">
        <f t="array" ref="U13">LOOKUP(2,1/(B13:INDEX(Table1[#This Row],COLUMN()-1)&lt;&gt;""),(B13:INDEX(Table1[#This Row],COLUMN()-1)))</f>
        <v>46156</v>
      </c>
    </row>
    <row r="14" spans="1:23" s="15" customFormat="1" ht="30" x14ac:dyDescent="0.25">
      <c r="A14" s="15" t="s">
        <v>119</v>
      </c>
      <c r="B14" s="24" t="s">
        <v>48</v>
      </c>
      <c r="C14" s="23" t="s">
        <v>37</v>
      </c>
      <c r="D14" s="22" t="s">
        <v>120</v>
      </c>
      <c r="E14" s="66" t="s">
        <v>39</v>
      </c>
      <c r="F14" s="61">
        <v>46119</v>
      </c>
      <c r="G14" s="68">
        <v>46135</v>
      </c>
      <c r="H14" s="68">
        <v>46149</v>
      </c>
      <c r="I14" s="66" t="s">
        <v>41</v>
      </c>
      <c r="J14" s="61">
        <v>46150</v>
      </c>
      <c r="K14" s="68">
        <v>46175</v>
      </c>
      <c r="L14" s="68">
        <v>46156</v>
      </c>
      <c r="M14" s="61"/>
      <c r="N14" s="61"/>
      <c r="O14" s="61"/>
      <c r="P14" s="61"/>
      <c r="Q14" s="71"/>
      <c r="R14" s="18"/>
      <c r="S14" s="18"/>
      <c r="T14" s="18"/>
      <c r="U14" s="20" cm="1">
        <f t="array" ref="U14">LOOKUP(2,1/(B14:INDEX(Table1[#This Row],COLUMN()-1)&lt;&gt;""),(B14:INDEX(Table1[#This Row],COLUMN()-1)))</f>
        <v>46156</v>
      </c>
    </row>
    <row r="15" spans="1:23" s="21" customFormat="1" hidden="1" x14ac:dyDescent="0.25">
      <c r="A15" s="26" t="s">
        <v>121</v>
      </c>
      <c r="B15" s="27" t="s">
        <v>36</v>
      </c>
      <c r="C15" s="33" t="s">
        <v>56</v>
      </c>
      <c r="D15" s="29" t="s">
        <v>122</v>
      </c>
      <c r="E15" s="69" t="s">
        <v>39</v>
      </c>
      <c r="F15" s="70">
        <v>46045</v>
      </c>
      <c r="G15" s="72">
        <v>46064</v>
      </c>
      <c r="H15" s="72">
        <v>46076</v>
      </c>
      <c r="I15" s="69" t="s">
        <v>41</v>
      </c>
      <c r="J15" s="70">
        <v>46099</v>
      </c>
      <c r="K15" s="70"/>
      <c r="L15" s="73">
        <v>46111</v>
      </c>
      <c r="M15" s="69"/>
      <c r="N15" s="70"/>
      <c r="O15" s="70"/>
      <c r="P15" s="70"/>
      <c r="Q15" s="69"/>
      <c r="R15" s="31"/>
      <c r="S15" s="31"/>
      <c r="T15" s="31"/>
      <c r="U15" s="36" cm="1">
        <f t="array" ref="U15">LOOKUP(2,1/(B15:INDEX(Table1[#This Row],COLUMN()-1)&lt;&gt;""),(B15:INDEX(Table1[#This Row],COLUMN()-1)))</f>
        <v>46111</v>
      </c>
    </row>
    <row r="16" spans="1:23" ht="30" hidden="1" x14ac:dyDescent="0.25">
      <c r="A16" s="26" t="s">
        <v>123</v>
      </c>
      <c r="B16" s="27" t="s">
        <v>124</v>
      </c>
      <c r="C16" s="33" t="s">
        <v>56</v>
      </c>
      <c r="D16" s="29" t="s">
        <v>125</v>
      </c>
      <c r="E16" s="69" t="s">
        <v>39</v>
      </c>
      <c r="F16" s="70">
        <v>46045</v>
      </c>
      <c r="G16" s="72">
        <v>46064</v>
      </c>
      <c r="H16" s="72">
        <v>46076</v>
      </c>
      <c r="I16" s="69" t="s">
        <v>41</v>
      </c>
      <c r="J16" s="70">
        <v>46099</v>
      </c>
      <c r="K16" s="70"/>
      <c r="L16" s="73">
        <v>46111</v>
      </c>
      <c r="M16" s="69"/>
      <c r="N16" s="70"/>
      <c r="O16" s="70"/>
      <c r="P16" s="70"/>
      <c r="Q16" s="69"/>
      <c r="R16" s="31"/>
      <c r="S16" s="31"/>
      <c r="T16" s="31"/>
      <c r="U16" s="36" cm="1">
        <f t="array" ref="U16">LOOKUP(2,1/(B16:INDEX(Table1[#This Row],COLUMN()-1)&lt;&gt;""),(B16:INDEX(Table1[#This Row],COLUMN()-1)))</f>
        <v>46111</v>
      </c>
    </row>
    <row r="17" spans="1:21" ht="30" hidden="1" x14ac:dyDescent="0.25">
      <c r="A17" s="26" t="s">
        <v>126</v>
      </c>
      <c r="B17" s="27" t="s">
        <v>36</v>
      </c>
      <c r="C17" s="28" t="s">
        <v>61</v>
      </c>
      <c r="D17" s="29" t="s">
        <v>127</v>
      </c>
      <c r="E17" s="69" t="s">
        <v>39</v>
      </c>
      <c r="F17" s="70">
        <v>46066</v>
      </c>
      <c r="G17" s="72">
        <v>46100</v>
      </c>
      <c r="H17" s="72">
        <v>46086</v>
      </c>
      <c r="I17" s="69"/>
      <c r="J17" s="70"/>
      <c r="K17" s="70"/>
      <c r="L17" s="70"/>
      <c r="M17" s="69"/>
      <c r="N17" s="70"/>
      <c r="O17" s="70"/>
      <c r="P17" s="70"/>
      <c r="Q17" s="70"/>
      <c r="R17" s="31"/>
      <c r="S17" s="31"/>
      <c r="T17" s="31"/>
      <c r="U17" s="36" cm="1">
        <f t="array" ref="U17">LOOKUP(2,1/(B17:INDEX(Table1[#This Row],COLUMN()-1)&lt;&gt;""),(B17:INDEX(Table1[#This Row],COLUMN()-1)))</f>
        <v>46086</v>
      </c>
    </row>
    <row r="18" spans="1:21" hidden="1" x14ac:dyDescent="0.25">
      <c r="A18" s="26" t="s">
        <v>128</v>
      </c>
      <c r="B18" s="27" t="s">
        <v>43</v>
      </c>
      <c r="C18" s="28" t="s">
        <v>61</v>
      </c>
      <c r="D18" s="29" t="s">
        <v>129</v>
      </c>
      <c r="E18" s="69" t="s">
        <v>39</v>
      </c>
      <c r="F18" s="70">
        <v>46066</v>
      </c>
      <c r="G18" s="72">
        <v>46100</v>
      </c>
      <c r="H18" s="72">
        <v>46086</v>
      </c>
      <c r="I18" s="69"/>
      <c r="J18" s="70"/>
      <c r="K18" s="70"/>
      <c r="L18" s="70"/>
      <c r="M18" s="69"/>
      <c r="N18" s="70"/>
      <c r="O18" s="70"/>
      <c r="P18" s="70"/>
      <c r="Q18" s="70"/>
      <c r="R18" s="31"/>
      <c r="S18" s="31"/>
      <c r="T18" s="31"/>
      <c r="U18" s="36" cm="1">
        <f t="array" ref="U18">LOOKUP(2,1/(B18:INDEX(Table1[#This Row],COLUMN()-1)&lt;&gt;""),(B18:INDEX(Table1[#This Row],COLUMN()-1)))</f>
        <v>46086</v>
      </c>
    </row>
    <row r="19" spans="1:21" ht="30" hidden="1" x14ac:dyDescent="0.25">
      <c r="A19" s="26" t="s">
        <v>130</v>
      </c>
      <c r="B19" s="27" t="s">
        <v>48</v>
      </c>
      <c r="C19" s="28" t="s">
        <v>61</v>
      </c>
      <c r="D19" s="29" t="s">
        <v>131</v>
      </c>
      <c r="E19" s="69" t="s">
        <v>39</v>
      </c>
      <c r="F19" s="70">
        <v>46066</v>
      </c>
      <c r="G19" s="72">
        <v>46100</v>
      </c>
      <c r="H19" s="72">
        <v>46086</v>
      </c>
      <c r="I19" s="69"/>
      <c r="J19" s="70"/>
      <c r="K19" s="70"/>
      <c r="L19" s="70"/>
      <c r="M19" s="69"/>
      <c r="N19" s="70"/>
      <c r="O19" s="70"/>
      <c r="P19" s="70"/>
      <c r="Q19" s="70"/>
      <c r="R19" s="31"/>
      <c r="S19" s="31"/>
      <c r="T19" s="31"/>
      <c r="U19" s="36" cm="1">
        <f t="array" ref="U19">LOOKUP(2,1/(B19:INDEX(Table1[#This Row],COLUMN()-1)&lt;&gt;""),(B19:INDEX(Table1[#This Row],COLUMN()-1)))</f>
        <v>46086</v>
      </c>
    </row>
    <row r="20" spans="1:21" ht="30" hidden="1" x14ac:dyDescent="0.25">
      <c r="A20" s="26" t="s">
        <v>132</v>
      </c>
      <c r="B20" s="27" t="s">
        <v>48</v>
      </c>
      <c r="C20" s="28" t="s">
        <v>61</v>
      </c>
      <c r="D20" s="29" t="s">
        <v>133</v>
      </c>
      <c r="E20" s="69" t="s">
        <v>39</v>
      </c>
      <c r="F20" s="70">
        <v>46066</v>
      </c>
      <c r="G20" s="72">
        <v>46100</v>
      </c>
      <c r="H20" s="72">
        <v>46086</v>
      </c>
      <c r="I20" s="69"/>
      <c r="J20" s="70"/>
      <c r="K20" s="70"/>
      <c r="L20" s="70"/>
      <c r="M20" s="69"/>
      <c r="N20" s="70"/>
      <c r="O20" s="70"/>
      <c r="P20" s="70"/>
      <c r="Q20" s="70"/>
      <c r="R20" s="31"/>
      <c r="S20" s="31"/>
      <c r="T20" s="31"/>
      <c r="U20" s="36" cm="1">
        <f t="array" ref="U20">LOOKUP(2,1/(B20:INDEX(Table1[#This Row],COLUMN()-1)&lt;&gt;""),(B20:INDEX(Table1[#This Row],COLUMN()-1)))</f>
        <v>46086</v>
      </c>
    </row>
    <row r="21" spans="1:21" ht="30" hidden="1" x14ac:dyDescent="0.25">
      <c r="A21" s="26" t="s">
        <v>134</v>
      </c>
      <c r="B21" s="27" t="s">
        <v>36</v>
      </c>
      <c r="C21" s="33" t="s">
        <v>69</v>
      </c>
      <c r="D21" s="29" t="s">
        <v>135</v>
      </c>
      <c r="E21" s="69" t="s">
        <v>39</v>
      </c>
      <c r="F21" s="70">
        <v>46066</v>
      </c>
      <c r="G21" s="72">
        <v>46100</v>
      </c>
      <c r="H21" s="72">
        <v>46086</v>
      </c>
      <c r="I21" s="69"/>
      <c r="J21" s="70"/>
      <c r="K21" s="70"/>
      <c r="L21" s="70"/>
      <c r="M21" s="69"/>
      <c r="N21" s="70"/>
      <c r="O21" s="70"/>
      <c r="P21" s="70"/>
      <c r="Q21" s="70"/>
      <c r="R21" s="31"/>
      <c r="S21" s="31"/>
      <c r="T21" s="31"/>
      <c r="U21" s="36" cm="1">
        <f t="array" ref="U21">LOOKUP(2,1/(B21:INDEX(Table1[#This Row],COLUMN()-1)&lt;&gt;""),(B21:INDEX(Table1[#This Row],COLUMN()-1)))</f>
        <v>46086</v>
      </c>
    </row>
    <row r="22" spans="1:21" ht="30" hidden="1" x14ac:dyDescent="0.25">
      <c r="A22" s="26" t="s">
        <v>136</v>
      </c>
      <c r="B22" s="27" t="s">
        <v>43</v>
      </c>
      <c r="C22" s="33" t="s">
        <v>69</v>
      </c>
      <c r="D22" s="29" t="s">
        <v>137</v>
      </c>
      <c r="E22" s="69" t="s">
        <v>39</v>
      </c>
      <c r="F22" s="70">
        <v>46066</v>
      </c>
      <c r="G22" s="72">
        <v>46100</v>
      </c>
      <c r="H22" s="72">
        <v>46086</v>
      </c>
      <c r="I22" s="69"/>
      <c r="J22" s="70"/>
      <c r="K22" s="70"/>
      <c r="L22" s="70"/>
      <c r="M22" s="69"/>
      <c r="N22" s="70"/>
      <c r="O22" s="70"/>
      <c r="P22" s="70"/>
      <c r="Q22" s="70"/>
      <c r="R22" s="31"/>
      <c r="S22" s="31"/>
      <c r="T22" s="31"/>
      <c r="U22" s="36" cm="1">
        <f t="array" ref="U22">LOOKUP(2,1/(B22:INDEX(Table1[#This Row],COLUMN()-1)&lt;&gt;""),(B22:INDEX(Table1[#This Row],COLUMN()-1)))</f>
        <v>46086</v>
      </c>
    </row>
    <row r="23" spans="1:21" hidden="1" x14ac:dyDescent="0.25">
      <c r="A23" s="26" t="s">
        <v>138</v>
      </c>
      <c r="B23" s="27" t="s">
        <v>48</v>
      </c>
      <c r="C23" s="33" t="s">
        <v>69</v>
      </c>
      <c r="D23" s="29" t="s">
        <v>139</v>
      </c>
      <c r="E23" s="69" t="s">
        <v>39</v>
      </c>
      <c r="F23" s="70">
        <v>46066</v>
      </c>
      <c r="G23" s="72">
        <v>46100</v>
      </c>
      <c r="H23" s="72">
        <v>46086</v>
      </c>
      <c r="I23" s="69"/>
      <c r="J23" s="70"/>
      <c r="K23" s="70"/>
      <c r="L23" s="70"/>
      <c r="M23" s="69"/>
      <c r="N23" s="70"/>
      <c r="O23" s="70"/>
      <c r="P23" s="70"/>
      <c r="Q23" s="70"/>
      <c r="R23" s="31"/>
      <c r="S23" s="31"/>
      <c r="T23" s="31"/>
      <c r="U23" s="36" cm="1">
        <f t="array" ref="U23">LOOKUP(2,1/(B23:INDEX(Table1[#This Row],COLUMN()-1)&lt;&gt;""),(B23:INDEX(Table1[#This Row],COLUMN()-1)))</f>
        <v>46086</v>
      </c>
    </row>
    <row r="24" spans="1:21" ht="30" hidden="1" x14ac:dyDescent="0.25">
      <c r="A24" s="15" t="s">
        <v>140</v>
      </c>
      <c r="B24" s="24" t="s">
        <v>36</v>
      </c>
      <c r="C24" s="23" t="s">
        <v>76</v>
      </c>
      <c r="D24" s="22" t="s">
        <v>141</v>
      </c>
      <c r="E24" s="66" t="s">
        <v>39</v>
      </c>
      <c r="F24" s="61">
        <v>46086</v>
      </c>
      <c r="G24" s="67">
        <v>46106</v>
      </c>
      <c r="H24" s="68">
        <v>46211</v>
      </c>
      <c r="I24" s="66" t="s">
        <v>41</v>
      </c>
      <c r="J24" s="61">
        <v>46198</v>
      </c>
      <c r="K24" s="35" t="s">
        <v>142</v>
      </c>
      <c r="L24" s="61"/>
      <c r="M24" s="66"/>
      <c r="N24" s="61"/>
      <c r="O24" s="61"/>
      <c r="P24" s="61"/>
      <c r="Q24" s="61"/>
      <c r="R24" s="18"/>
      <c r="S24" s="18"/>
      <c r="T24" s="18"/>
      <c r="U24" s="20" t="str" cm="1">
        <f t="array" ref="U24">LOOKUP(2,1/(B24:INDEX(Table1[#This Row],COLUMN()-1)&lt;&gt;""),(B24:INDEX(Table1[#This Row],COLUMN()-1)))</f>
        <v>davit clash needs to be checked</v>
      </c>
    </row>
    <row r="25" spans="1:21" ht="45" hidden="1" x14ac:dyDescent="0.25">
      <c r="A25" s="15" t="s">
        <v>143</v>
      </c>
      <c r="B25" s="24" t="s">
        <v>124</v>
      </c>
      <c r="C25" s="23" t="s">
        <v>76</v>
      </c>
      <c r="D25" s="22" t="s">
        <v>144</v>
      </c>
      <c r="E25" s="66" t="s">
        <v>145</v>
      </c>
      <c r="F25" s="61">
        <v>46080</v>
      </c>
      <c r="G25" s="61"/>
      <c r="H25" s="67">
        <v>46093</v>
      </c>
      <c r="I25" s="66" t="s">
        <v>145</v>
      </c>
      <c r="J25" s="61">
        <v>46112</v>
      </c>
      <c r="K25" s="61"/>
      <c r="L25" s="68">
        <v>46134</v>
      </c>
      <c r="M25" s="38" t="s">
        <v>146</v>
      </c>
      <c r="N25" s="61"/>
      <c r="O25" s="61"/>
      <c r="P25" s="61"/>
      <c r="Q25" s="61"/>
      <c r="R25" s="18"/>
      <c r="S25" s="18"/>
      <c r="T25" s="18"/>
      <c r="U25" s="20" t="str" cm="1">
        <f t="array" ref="U25">LOOKUP(2,1/(B25:INDEX(Table1[#This Row],COLUMN()-1)&lt;&gt;""),(B25:INDEX(Table1[#This Row],COLUMN()-1)))</f>
        <v>waiting client CRS and installation drawings to issue REV02</v>
      </c>
    </row>
    <row r="26" spans="1:21" ht="30" hidden="1" x14ac:dyDescent="0.25">
      <c r="A26" s="26" t="s">
        <v>147</v>
      </c>
      <c r="B26" s="27" t="s">
        <v>43</v>
      </c>
      <c r="C26" s="33" t="s">
        <v>83</v>
      </c>
      <c r="D26" s="29" t="s">
        <v>148</v>
      </c>
      <c r="E26" s="69" t="s">
        <v>149</v>
      </c>
      <c r="F26" s="70">
        <v>46066</v>
      </c>
      <c r="G26" s="72">
        <v>46100</v>
      </c>
      <c r="H26" s="73">
        <v>46085</v>
      </c>
      <c r="I26" s="69"/>
      <c r="J26" s="70"/>
      <c r="K26" s="70"/>
      <c r="L26" s="70"/>
      <c r="M26" s="69"/>
      <c r="N26" s="70"/>
      <c r="O26" s="70"/>
      <c r="P26" s="70"/>
      <c r="Q26" s="69"/>
      <c r="R26" s="31"/>
      <c r="S26" s="31"/>
      <c r="T26" s="31"/>
      <c r="U26" s="36" cm="1">
        <f t="array" ref="U26">LOOKUP(2,1/(B26:INDEX(Table1[#This Row],COLUMN()-1)&lt;&gt;""),(B26:INDEX(Table1[#This Row],COLUMN()-1)))</f>
        <v>46085</v>
      </c>
    </row>
    <row r="27" spans="1:21" hidden="1" x14ac:dyDescent="0.25">
      <c r="A27" s="26" t="s">
        <v>150</v>
      </c>
      <c r="B27" s="27" t="s">
        <v>43</v>
      </c>
      <c r="C27" s="28" t="s">
        <v>88</v>
      </c>
      <c r="D27" s="29" t="s">
        <v>151</v>
      </c>
      <c r="E27" s="69" t="s">
        <v>39</v>
      </c>
      <c r="F27" s="70">
        <v>46066</v>
      </c>
      <c r="G27" s="72">
        <v>46100</v>
      </c>
      <c r="H27" s="72">
        <v>46093</v>
      </c>
      <c r="I27" s="66"/>
      <c r="J27" s="61"/>
      <c r="K27" s="61"/>
      <c r="L27" s="61"/>
      <c r="M27" s="66"/>
      <c r="N27" s="61"/>
      <c r="O27" s="61"/>
      <c r="P27" s="61"/>
      <c r="Q27" s="61"/>
      <c r="R27" s="18"/>
      <c r="S27" s="18"/>
      <c r="T27" s="18"/>
      <c r="U27" s="20" cm="1">
        <f t="array" ref="U27">LOOKUP(2,1/(B27:INDEX(Table1[#This Row],COLUMN()-1)&lt;&gt;""),(B27:INDEX(Table1[#This Row],COLUMN()-1)))</f>
        <v>46093</v>
      </c>
    </row>
    <row r="28" spans="1:21" ht="30.75" hidden="1" customHeight="1" x14ac:dyDescent="0.25">
      <c r="A28" s="26" t="s">
        <v>152</v>
      </c>
      <c r="B28" s="27" t="s">
        <v>48</v>
      </c>
      <c r="C28" s="28" t="s">
        <v>88</v>
      </c>
      <c r="D28" s="29" t="s">
        <v>153</v>
      </c>
      <c r="E28" s="69" t="s">
        <v>39</v>
      </c>
      <c r="F28" s="70">
        <v>46066</v>
      </c>
      <c r="G28" s="72">
        <v>46100</v>
      </c>
      <c r="H28" s="72">
        <v>46093</v>
      </c>
      <c r="I28" s="66"/>
      <c r="J28" s="61"/>
      <c r="K28" s="61"/>
      <c r="L28" s="61"/>
      <c r="M28" s="66"/>
      <c r="N28" s="61"/>
      <c r="O28" s="61"/>
      <c r="P28" s="61"/>
      <c r="Q28" s="61"/>
      <c r="R28" s="18"/>
      <c r="S28" s="18"/>
      <c r="T28" s="18"/>
      <c r="U28" s="20" cm="1">
        <f t="array" ref="U28">LOOKUP(2,1/(B28:INDEX(Table1[#This Row],COLUMN()-1)&lt;&gt;""),(B28:INDEX(Table1[#This Row],COLUMN()-1)))</f>
        <v>46093</v>
      </c>
    </row>
    <row r="29" spans="1:21" ht="30.75" hidden="1" customHeight="1" x14ac:dyDescent="0.25">
      <c r="A29" s="26" t="s">
        <v>154</v>
      </c>
      <c r="B29" s="27" t="s">
        <v>155</v>
      </c>
      <c r="C29" s="28" t="s">
        <v>88</v>
      </c>
      <c r="D29" s="29" t="s">
        <v>156</v>
      </c>
      <c r="E29" s="69" t="s">
        <v>39</v>
      </c>
      <c r="F29" s="70">
        <v>46066</v>
      </c>
      <c r="G29" s="72">
        <v>46106</v>
      </c>
      <c r="H29" s="72">
        <v>46093</v>
      </c>
      <c r="I29" s="66"/>
      <c r="J29" s="61"/>
      <c r="K29" s="61"/>
      <c r="L29" s="61"/>
      <c r="M29" s="66"/>
      <c r="N29" s="61"/>
      <c r="O29" s="61"/>
      <c r="P29" s="61"/>
      <c r="Q29" s="61"/>
      <c r="R29" s="18"/>
      <c r="S29" s="18"/>
      <c r="T29" s="18"/>
      <c r="U29" s="20" cm="1">
        <f t="array" ref="U29">LOOKUP(2,1/(B29:INDEX(Table1[#This Row],COLUMN()-1)&lt;&gt;""),(B29:INDEX(Table1[#This Row],COLUMN()-1)))</f>
        <v>46093</v>
      </c>
    </row>
    <row r="30" spans="1:21" ht="31.5" hidden="1" customHeight="1" x14ac:dyDescent="0.25">
      <c r="A30" s="15" t="s">
        <v>157</v>
      </c>
      <c r="B30" s="24" t="s">
        <v>43</v>
      </c>
      <c r="C30" s="16" t="s">
        <v>88</v>
      </c>
      <c r="D30" s="22" t="s">
        <v>158</v>
      </c>
      <c r="E30" s="66" t="s">
        <v>39</v>
      </c>
      <c r="F30" s="61"/>
      <c r="G30" s="67"/>
      <c r="H30" s="67"/>
      <c r="I30" s="66"/>
      <c r="J30" s="61"/>
      <c r="K30" s="61"/>
      <c r="L30" s="61"/>
      <c r="M30" s="66"/>
      <c r="N30" s="61"/>
      <c r="O30" s="61"/>
      <c r="P30" s="61"/>
      <c r="Q30" s="61"/>
      <c r="R30" s="18"/>
      <c r="S30" s="18"/>
      <c r="T30" s="18"/>
      <c r="U30" s="20" t="str" cm="1">
        <f t="array" ref="U30">LOOKUP(2,1/(B30:INDEX(Table1[#This Row],COLUMN()-1)&lt;&gt;""),(B30:INDEX(Table1[#This Row],COLUMN()-1)))</f>
        <v>A1</v>
      </c>
    </row>
    <row r="31" spans="1:21" ht="31.5" hidden="1" customHeight="1" x14ac:dyDescent="0.25">
      <c r="A31" s="15" t="s">
        <v>159</v>
      </c>
      <c r="B31" s="24" t="s">
        <v>160</v>
      </c>
      <c r="C31" s="16" t="s">
        <v>88</v>
      </c>
      <c r="D31" s="22" t="s">
        <v>161</v>
      </c>
      <c r="E31" s="66" t="s">
        <v>39</v>
      </c>
      <c r="F31" s="61"/>
      <c r="G31" s="67"/>
      <c r="H31" s="67"/>
      <c r="I31" s="66"/>
      <c r="J31" s="61"/>
      <c r="K31" s="61"/>
      <c r="L31" s="61"/>
      <c r="M31" s="66"/>
      <c r="N31" s="61"/>
      <c r="O31" s="61"/>
      <c r="P31" s="61"/>
      <c r="Q31" s="61"/>
      <c r="R31" s="18"/>
      <c r="S31" s="18"/>
      <c r="T31" s="18"/>
      <c r="U31" s="20" t="str" cm="1">
        <f t="array" ref="U31">LOOKUP(2,1/(B31:INDEX(Table1[#This Row],COLUMN()-1)&lt;&gt;""),(B31:INDEX(Table1[#This Row],COLUMN()-1)))</f>
        <v>A1</v>
      </c>
    </row>
    <row r="32" spans="1:21" ht="31.5" hidden="1" customHeight="1" x14ac:dyDescent="0.25">
      <c r="A32" s="15" t="s">
        <v>162</v>
      </c>
      <c r="B32" s="24" t="s">
        <v>43</v>
      </c>
      <c r="C32" s="16" t="s">
        <v>163</v>
      </c>
      <c r="D32" s="22" t="s">
        <v>164</v>
      </c>
      <c r="E32" s="66" t="s">
        <v>39</v>
      </c>
      <c r="F32" s="61">
        <v>46084</v>
      </c>
      <c r="G32" s="67">
        <v>46100</v>
      </c>
      <c r="H32" s="67">
        <v>46093</v>
      </c>
      <c r="I32" s="66"/>
      <c r="J32" s="61"/>
      <c r="K32" s="61"/>
      <c r="L32" s="61"/>
      <c r="M32" s="66"/>
      <c r="N32" s="61"/>
      <c r="O32" s="61"/>
      <c r="P32" s="61"/>
      <c r="Q32" s="61"/>
      <c r="R32" s="18"/>
      <c r="S32" s="18"/>
      <c r="T32" s="18"/>
      <c r="U32" s="20" cm="1">
        <f t="array" ref="U32">LOOKUP(2,1/(B32:INDEX(Table1[#This Row],COLUMN()-1)&lt;&gt;""),(B32:INDEX(Table1[#This Row],COLUMN()-1)))</f>
        <v>46093</v>
      </c>
    </row>
    <row r="33" spans="1:21" ht="31.5" hidden="1" customHeight="1" x14ac:dyDescent="0.25">
      <c r="A33" s="15" t="s">
        <v>165</v>
      </c>
      <c r="B33" s="24" t="s">
        <v>48</v>
      </c>
      <c r="C33" s="16" t="s">
        <v>163</v>
      </c>
      <c r="D33" s="22" t="s">
        <v>166</v>
      </c>
      <c r="E33" s="66" t="s">
        <v>39</v>
      </c>
      <c r="F33" s="61">
        <v>46084</v>
      </c>
      <c r="G33" s="67">
        <v>46100</v>
      </c>
      <c r="H33" s="67">
        <v>46093</v>
      </c>
      <c r="I33" s="66"/>
      <c r="J33" s="61"/>
      <c r="K33" s="61"/>
      <c r="L33" s="61"/>
      <c r="M33" s="66"/>
      <c r="N33" s="61"/>
      <c r="O33" s="61"/>
      <c r="P33" s="61"/>
      <c r="Q33" s="61"/>
      <c r="R33" s="18"/>
      <c r="S33" s="18"/>
      <c r="T33" s="18"/>
      <c r="U33" s="20" cm="1">
        <f t="array" ref="U33">LOOKUP(2,1/(B33:INDEX(Table1[#This Row],COLUMN()-1)&lt;&gt;""),(B33:INDEX(Table1[#This Row],COLUMN()-1)))</f>
        <v>46093</v>
      </c>
    </row>
    <row r="34" spans="1:21" ht="31.5" hidden="1" customHeight="1" x14ac:dyDescent="0.25">
      <c r="A34" s="15" t="s">
        <v>167</v>
      </c>
      <c r="B34" s="24" t="s">
        <v>168</v>
      </c>
      <c r="C34" s="16" t="s">
        <v>163</v>
      </c>
      <c r="D34" s="22" t="s">
        <v>169</v>
      </c>
      <c r="E34" s="66" t="s">
        <v>39</v>
      </c>
      <c r="F34" s="61"/>
      <c r="G34" s="61"/>
      <c r="H34" s="61"/>
      <c r="I34" s="66"/>
      <c r="J34" s="61"/>
      <c r="K34" s="61"/>
      <c r="L34" s="61"/>
      <c r="M34" s="66"/>
      <c r="N34" s="61"/>
      <c r="O34" s="61"/>
      <c r="P34" s="61"/>
      <c r="Q34" s="61"/>
      <c r="R34" s="18"/>
      <c r="S34" s="18"/>
      <c r="T34" s="18"/>
      <c r="U34" s="20" t="str" cm="1">
        <f t="array" ref="U34">LOOKUP(2,1/(B34:INDEX(Table1[#This Row],COLUMN()-1)&lt;&gt;""),(B34:INDEX(Table1[#This Row],COLUMN()-1)))</f>
        <v>A1</v>
      </c>
    </row>
    <row r="35" spans="1:21" ht="31.5" hidden="1" customHeight="1" x14ac:dyDescent="0.25">
      <c r="A35" s="15" t="s">
        <v>170</v>
      </c>
      <c r="B35" s="24" t="s">
        <v>98</v>
      </c>
      <c r="C35" s="16" t="s">
        <v>171</v>
      </c>
      <c r="D35" s="22" t="s">
        <v>172</v>
      </c>
      <c r="E35" s="66" t="s">
        <v>39</v>
      </c>
      <c r="F35" s="35">
        <v>46210</v>
      </c>
      <c r="G35" s="61"/>
      <c r="H35" s="61"/>
      <c r="I35" s="35" t="s">
        <v>173</v>
      </c>
      <c r="J35" s="61"/>
      <c r="K35" s="61"/>
      <c r="L35" s="61"/>
      <c r="M35" s="66"/>
      <c r="N35" s="61"/>
      <c r="O35" s="61"/>
      <c r="P35" s="61"/>
      <c r="Q35" s="61"/>
      <c r="R35" s="18"/>
      <c r="S35" s="18"/>
      <c r="T35" s="18"/>
      <c r="U35" s="20" t="str" cm="1">
        <f t="array" ref="U35">LOOKUP(2,1/(B35:INDEX(Table1[#This Row],COLUMN()-1)&lt;&gt;""),(B35:INDEX(Table1[#This Row],COLUMN()-1)))</f>
        <v>sancheevi to modify working platform STBD side</v>
      </c>
    </row>
    <row r="36" spans="1:21" ht="31.5" hidden="1" customHeight="1" x14ac:dyDescent="0.25">
      <c r="A36" s="15" t="s">
        <v>174</v>
      </c>
      <c r="B36" s="24" t="s">
        <v>98</v>
      </c>
      <c r="C36" s="16" t="s">
        <v>175</v>
      </c>
      <c r="D36" s="22" t="s">
        <v>176</v>
      </c>
      <c r="E36" s="66" t="s">
        <v>149</v>
      </c>
      <c r="F36" s="35">
        <v>46210</v>
      </c>
      <c r="G36" s="61"/>
      <c r="H36" s="110">
        <v>46212</v>
      </c>
      <c r="I36" s="35" t="s">
        <v>173</v>
      </c>
      <c r="J36" s="61"/>
      <c r="K36" s="61"/>
      <c r="L36" s="61"/>
      <c r="M36" s="66"/>
      <c r="N36" s="61"/>
      <c r="O36" s="61"/>
      <c r="P36" s="61"/>
      <c r="Q36" s="61"/>
      <c r="R36" s="18"/>
      <c r="S36" s="18"/>
      <c r="T36" s="18"/>
      <c r="U36" s="20" t="str" cm="1">
        <f t="array" ref="U36">LOOKUP(2,1/(B36:INDEX(Table1[#This Row],COLUMN()-1)&lt;&gt;""),(B36:INDEX(Table1[#This Row],COLUMN()-1)))</f>
        <v>sancheevi to modify working platform STBD side</v>
      </c>
    </row>
    <row r="37" spans="1:21" x14ac:dyDescent="0.25">
      <c r="A37" s="15" t="s">
        <v>100</v>
      </c>
      <c r="B37" s="16"/>
      <c r="C37" s="16">
        <f>SUBTOTAL(103,Table1[PF])</f>
        <v>8</v>
      </c>
      <c r="D37" s="16"/>
      <c r="E37" s="74"/>
      <c r="F37" s="74">
        <f>SUBTOTAL(103,Table1[CYL'#01      ISSUE DATA])</f>
        <v>8</v>
      </c>
      <c r="G37" s="74"/>
      <c r="H37" s="74"/>
      <c r="I37" s="74"/>
      <c r="J37" s="74"/>
      <c r="K37" s="74"/>
      <c r="L37" s="74"/>
      <c r="M37" s="74"/>
      <c r="N37" s="74"/>
      <c r="O37" s="74"/>
      <c r="P37" s="74"/>
      <c r="Q37" s="74"/>
      <c r="R37" s="16"/>
      <c r="S37" s="16"/>
      <c r="T37" s="16"/>
      <c r="U37" s="22">
        <f>SUBTOTAL(103,Table1[LATEST STATUS])</f>
        <v>8</v>
      </c>
    </row>
  </sheetData>
  <mergeCells count="6">
    <mergeCell ref="A1:U1"/>
    <mergeCell ref="A2:U2"/>
    <mergeCell ref="E4:H4"/>
    <mergeCell ref="I4:L4"/>
    <mergeCell ref="M4:P4"/>
    <mergeCell ref="Q4:T4"/>
  </mergeCells>
  <phoneticPr fontId="3" type="noConversion"/>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4D18D-C2E9-4570-87C1-D8920379AFC9}">
  <sheetPr codeName="Sheet2"/>
  <dimension ref="A1:W40"/>
  <sheetViews>
    <sheetView zoomScaleNormal="100" workbookViewId="0">
      <pane xSplit="4" ySplit="6" topLeftCell="J7" activePane="bottomRight" state="frozen"/>
      <selection pane="topRight" activeCell="E1" sqref="E1"/>
      <selection pane="bottomLeft" activeCell="A7" sqref="A7"/>
      <selection pane="bottomRight" activeCell="D49" sqref="D49"/>
    </sheetView>
  </sheetViews>
  <sheetFormatPr defaultRowHeight="15" x14ac:dyDescent="0.25"/>
  <cols>
    <col min="1" max="1" width="26.28515625" customWidth="1"/>
    <col min="2" max="2" width="11.42578125" customWidth="1"/>
    <col min="3" max="3" width="10.85546875" customWidth="1"/>
    <col min="4" max="4" width="67.42578125" customWidth="1"/>
    <col min="5" max="5" width="9.140625" style="1"/>
    <col min="6" max="6" width="12.140625" customWidth="1"/>
    <col min="7" max="7" width="12.42578125" customWidth="1"/>
    <col min="8" max="8" width="12.5703125" customWidth="1"/>
    <col min="9" max="9" width="11.28515625" customWidth="1"/>
    <col min="10" max="10" width="15.42578125" customWidth="1"/>
    <col min="11" max="11" width="15.28515625" customWidth="1"/>
    <col min="12" max="12" width="12.5703125" customWidth="1"/>
    <col min="13" max="13" width="11.28515625" customWidth="1"/>
    <col min="14" max="14" width="15.42578125" customWidth="1"/>
    <col min="15" max="15" width="15.28515625" customWidth="1"/>
    <col min="16" max="16" width="12.5703125" customWidth="1"/>
    <col min="17" max="17" width="13" customWidth="1"/>
    <col min="18" max="18" width="16.7109375" customWidth="1"/>
    <col min="19" max="19" width="15.28515625" customWidth="1"/>
    <col min="20" max="20" width="13" customWidth="1"/>
    <col min="21" max="21" width="27.28515625" customWidth="1"/>
    <col min="22" max="22" width="27.5703125" customWidth="1"/>
    <col min="23" max="23" width="16.140625" customWidth="1"/>
  </cols>
  <sheetData>
    <row r="1" spans="1:23" ht="24" x14ac:dyDescent="0.4">
      <c r="A1" s="115" t="s">
        <v>0</v>
      </c>
      <c r="B1" s="115"/>
      <c r="C1" s="115"/>
      <c r="D1" s="115"/>
      <c r="E1" s="115"/>
      <c r="F1" s="115"/>
      <c r="G1" s="115"/>
      <c r="H1" s="115"/>
      <c r="I1" s="115"/>
      <c r="J1" s="115"/>
      <c r="K1" s="115"/>
      <c r="L1" s="115"/>
      <c r="M1" s="115"/>
      <c r="N1" s="115"/>
      <c r="O1" s="115"/>
      <c r="P1" s="115"/>
      <c r="Q1" s="115"/>
      <c r="R1" s="115"/>
      <c r="S1" s="115"/>
      <c r="T1" s="115"/>
      <c r="U1" s="115"/>
    </row>
    <row r="2" spans="1:23" ht="18.75" x14ac:dyDescent="0.3">
      <c r="A2" s="116" t="s">
        <v>101</v>
      </c>
      <c r="B2" s="116"/>
      <c r="C2" s="116"/>
      <c r="D2" s="116"/>
      <c r="E2" s="116"/>
      <c r="F2" s="116"/>
      <c r="G2" s="116"/>
      <c r="H2" s="116"/>
      <c r="I2" s="116"/>
      <c r="J2" s="116"/>
      <c r="K2" s="116"/>
      <c r="L2" s="116"/>
      <c r="M2" s="116"/>
      <c r="N2" s="116"/>
      <c r="O2" s="116"/>
      <c r="P2" s="116"/>
      <c r="Q2" s="116"/>
      <c r="R2" s="116"/>
      <c r="S2" s="116"/>
      <c r="T2" s="116"/>
      <c r="U2" s="116"/>
    </row>
    <row r="3" spans="1:23" ht="30.75" customHeight="1" x14ac:dyDescent="0.25">
      <c r="A3" s="5"/>
      <c r="B3" s="53"/>
      <c r="P3" s="5"/>
      <c r="Q3" s="14"/>
      <c r="R3" s="5"/>
      <c r="S3" s="5"/>
      <c r="T3" s="5"/>
      <c r="U3" s="6"/>
    </row>
    <row r="4" spans="1:23" x14ac:dyDescent="0.25">
      <c r="A4" s="5"/>
      <c r="B4" s="53"/>
      <c r="E4" s="121" t="s">
        <v>3</v>
      </c>
      <c r="F4" s="121"/>
      <c r="G4" s="121"/>
      <c r="H4" s="121"/>
      <c r="I4" s="122" t="s">
        <v>4</v>
      </c>
      <c r="J4" s="122"/>
      <c r="K4" s="122"/>
      <c r="L4" s="122"/>
      <c r="M4" s="123" t="s">
        <v>5</v>
      </c>
      <c r="N4" s="123"/>
      <c r="O4" s="123"/>
      <c r="P4" s="123"/>
      <c r="Q4" s="124" t="s">
        <v>6</v>
      </c>
      <c r="R4" s="124"/>
      <c r="S4" s="124"/>
      <c r="T4" s="124"/>
      <c r="U4" s="6"/>
    </row>
    <row r="5" spans="1:23" ht="15.75" thickBot="1" x14ac:dyDescent="0.3">
      <c r="A5" s="5"/>
      <c r="B5" s="53"/>
      <c r="E5"/>
      <c r="G5" s="63" t="s">
        <v>7</v>
      </c>
      <c r="H5" s="63" t="s">
        <v>8</v>
      </c>
      <c r="K5" s="64" t="s">
        <v>7</v>
      </c>
      <c r="L5" s="64" t="s">
        <v>8</v>
      </c>
      <c r="O5" s="65" t="s">
        <v>7</v>
      </c>
      <c r="P5" s="65" t="s">
        <v>8</v>
      </c>
      <c r="S5" s="75" t="s">
        <v>7</v>
      </c>
      <c r="T5" s="75" t="s">
        <v>8</v>
      </c>
      <c r="U5" s="6"/>
    </row>
    <row r="6" spans="1:23" s="2" customFormat="1" ht="30" x14ac:dyDescent="0.25">
      <c r="A6" s="2" t="s">
        <v>102</v>
      </c>
      <c r="B6" s="2" t="s">
        <v>11</v>
      </c>
      <c r="C6" s="2" t="s">
        <v>12</v>
      </c>
      <c r="D6" s="2" t="s">
        <v>13</v>
      </c>
      <c r="E6" s="41" t="s">
        <v>14</v>
      </c>
      <c r="F6" s="42" t="s">
        <v>15</v>
      </c>
      <c r="G6" s="42" t="s">
        <v>16</v>
      </c>
      <c r="H6" s="43" t="s">
        <v>17</v>
      </c>
      <c r="I6" s="41" t="s">
        <v>19</v>
      </c>
      <c r="J6" s="42" t="s">
        <v>20</v>
      </c>
      <c r="K6" s="48" t="s">
        <v>21</v>
      </c>
      <c r="L6" s="43" t="s">
        <v>22</v>
      </c>
      <c r="M6" s="41" t="s">
        <v>24</v>
      </c>
      <c r="N6" s="42" t="s">
        <v>25</v>
      </c>
      <c r="O6" s="42" t="s">
        <v>26</v>
      </c>
      <c r="P6" s="43" t="s">
        <v>27</v>
      </c>
      <c r="Q6" s="41" t="s">
        <v>29</v>
      </c>
      <c r="R6" s="42" t="s">
        <v>30</v>
      </c>
      <c r="S6" s="48" t="s">
        <v>31</v>
      </c>
      <c r="T6" s="43" t="s">
        <v>32</v>
      </c>
      <c r="U6" s="2" t="s">
        <v>103</v>
      </c>
      <c r="V6" s="2" t="s">
        <v>34</v>
      </c>
      <c r="W6" s="62"/>
    </row>
    <row r="7" spans="1:23" s="15" customFormat="1" x14ac:dyDescent="0.25">
      <c r="A7" s="15" t="s">
        <v>177</v>
      </c>
      <c r="B7" s="24" t="s">
        <v>43</v>
      </c>
      <c r="C7" s="23" t="s">
        <v>37</v>
      </c>
      <c r="D7" s="22" t="s">
        <v>178</v>
      </c>
      <c r="E7" s="76" t="s">
        <v>39</v>
      </c>
      <c r="F7" s="35">
        <v>46197</v>
      </c>
      <c r="G7" s="110">
        <v>46213</v>
      </c>
      <c r="H7" s="113">
        <v>46211</v>
      </c>
      <c r="I7" s="76" t="s">
        <v>41</v>
      </c>
      <c r="J7" s="61">
        <v>46213</v>
      </c>
      <c r="K7" s="61"/>
      <c r="L7" s="78"/>
      <c r="M7" s="76"/>
      <c r="N7" s="61"/>
      <c r="O7" s="61"/>
      <c r="P7" s="78"/>
      <c r="Q7" s="76"/>
      <c r="R7" s="61"/>
      <c r="S7" s="61"/>
      <c r="T7" s="78"/>
      <c r="U7" s="35" cm="1">
        <f t="array" ref="U7">LOOKUP(2,1/(B7:INDEX(Table14[#This Row],COLUMN()-1)&lt;&gt;""),(B7:INDEX(Table14[#This Row],COLUMN()-1)))</f>
        <v>46213</v>
      </c>
      <c r="V7" s="79"/>
      <c r="W7" s="19"/>
    </row>
    <row r="8" spans="1:23" s="15" customFormat="1" ht="20.25" customHeight="1" x14ac:dyDescent="0.25">
      <c r="A8" s="15" t="s">
        <v>179</v>
      </c>
      <c r="B8" s="24" t="s">
        <v>48</v>
      </c>
      <c r="C8" s="23" t="s">
        <v>37</v>
      </c>
      <c r="D8" s="22" t="s">
        <v>180</v>
      </c>
      <c r="E8" s="76" t="s">
        <v>39</v>
      </c>
      <c r="F8" s="35">
        <v>46204</v>
      </c>
      <c r="G8" s="81">
        <v>46219</v>
      </c>
      <c r="H8" s="67">
        <v>46218</v>
      </c>
      <c r="I8" s="76" t="s">
        <v>41</v>
      </c>
      <c r="J8" s="35">
        <v>46212</v>
      </c>
      <c r="K8" s="35" t="s">
        <v>181</v>
      </c>
      <c r="L8" s="61"/>
      <c r="M8" s="76" t="s">
        <v>40</v>
      </c>
      <c r="N8" s="61">
        <v>46219</v>
      </c>
      <c r="O8" s="61"/>
      <c r="P8" s="81">
        <v>46223</v>
      </c>
      <c r="Q8" s="76" t="s">
        <v>145</v>
      </c>
      <c r="R8" s="61">
        <v>46231</v>
      </c>
      <c r="S8" s="61"/>
      <c r="T8" s="78"/>
      <c r="U8" s="35" cm="1">
        <f t="array" ref="U8">LOOKUP(2,1/(B8:INDEX(Table14[#This Row],COLUMN()-1)&lt;&gt;""),(B8:INDEX(Table14[#This Row],COLUMN()-1)))</f>
        <v>46231</v>
      </c>
      <c r="V8" s="79"/>
      <c r="W8" s="19"/>
    </row>
    <row r="9" spans="1:23" s="15" customFormat="1" x14ac:dyDescent="0.25">
      <c r="A9" s="15" t="s">
        <v>182</v>
      </c>
      <c r="B9" s="24" t="s">
        <v>48</v>
      </c>
      <c r="C9" s="23" t="s">
        <v>37</v>
      </c>
      <c r="D9" s="22" t="s">
        <v>183</v>
      </c>
      <c r="E9" s="76" t="s">
        <v>39</v>
      </c>
      <c r="F9" s="35">
        <v>46204</v>
      </c>
      <c r="G9" s="81">
        <v>46217</v>
      </c>
      <c r="H9" s="81">
        <v>46211</v>
      </c>
      <c r="I9" s="76" t="s">
        <v>41</v>
      </c>
      <c r="J9" s="35">
        <v>46213</v>
      </c>
      <c r="K9" s="61"/>
      <c r="L9" s="61"/>
      <c r="M9" s="61"/>
      <c r="N9" s="61"/>
      <c r="O9" s="61"/>
      <c r="P9" s="78"/>
      <c r="Q9" s="80"/>
      <c r="R9" s="61"/>
      <c r="S9" s="61"/>
      <c r="T9" s="78"/>
      <c r="U9" s="35" cm="1">
        <f t="array" ref="U9">LOOKUP(2,1/(B9:INDEX(Table14[#This Row],COLUMN()-1)&lt;&gt;""),(B9:INDEX(Table14[#This Row],COLUMN()-1)))</f>
        <v>46213</v>
      </c>
      <c r="V9" s="79"/>
    </row>
    <row r="10" spans="1:23" s="15" customFormat="1" ht="30" x14ac:dyDescent="0.25">
      <c r="A10" s="15" t="s">
        <v>184</v>
      </c>
      <c r="B10" s="24" t="s">
        <v>36</v>
      </c>
      <c r="C10" s="23" t="s">
        <v>37</v>
      </c>
      <c r="D10" s="22" t="s">
        <v>185</v>
      </c>
      <c r="E10" s="76" t="s">
        <v>39</v>
      </c>
      <c r="F10" s="61">
        <v>46122</v>
      </c>
      <c r="G10" s="67">
        <v>46146</v>
      </c>
      <c r="H10" s="81">
        <v>46149</v>
      </c>
      <c r="I10" s="76" t="s">
        <v>41</v>
      </c>
      <c r="J10" s="61">
        <v>46164</v>
      </c>
      <c r="K10" s="68">
        <v>46177</v>
      </c>
      <c r="L10" s="81">
        <v>46176</v>
      </c>
      <c r="M10" s="76" t="s">
        <v>145</v>
      </c>
      <c r="N10" s="61">
        <v>46184</v>
      </c>
      <c r="O10" s="61"/>
      <c r="P10" s="81">
        <v>46182</v>
      </c>
      <c r="Q10" s="76"/>
      <c r="R10" s="61"/>
      <c r="S10" s="61"/>
      <c r="T10" s="78"/>
      <c r="U10" s="82" cm="1">
        <f t="array" ref="U10">LOOKUP(2,1/(B10:INDEX(Table14[#This Row],COLUMN()-1)&lt;&gt;""),(B10:INDEX(Table14[#This Row],COLUMN()-1)))</f>
        <v>46182</v>
      </c>
      <c r="V10" s="79"/>
    </row>
    <row r="11" spans="1:23" s="15" customFormat="1" ht="30" x14ac:dyDescent="0.25">
      <c r="A11" s="15" t="s">
        <v>186</v>
      </c>
      <c r="B11" s="24" t="s">
        <v>36</v>
      </c>
      <c r="C11" s="23" t="s">
        <v>37</v>
      </c>
      <c r="D11" s="22" t="s">
        <v>187</v>
      </c>
      <c r="E11" s="76" t="s">
        <v>39</v>
      </c>
      <c r="F11" s="61">
        <v>46122</v>
      </c>
      <c r="G11" s="67">
        <v>46146</v>
      </c>
      <c r="H11" s="81">
        <v>46149</v>
      </c>
      <c r="I11" s="76" t="s">
        <v>41</v>
      </c>
      <c r="J11" s="61">
        <v>46150</v>
      </c>
      <c r="K11" s="68">
        <v>46167</v>
      </c>
      <c r="L11" s="81">
        <v>46156</v>
      </c>
      <c r="M11" s="76"/>
      <c r="N11" s="61"/>
      <c r="O11" s="61"/>
      <c r="P11" s="78"/>
      <c r="Q11" s="76"/>
      <c r="R11" s="61"/>
      <c r="S11" s="61"/>
      <c r="T11" s="78"/>
      <c r="U11" s="35" cm="1">
        <f t="array" ref="U11">LOOKUP(2,1/(B11:INDEX(Table14[#This Row],COLUMN()-1)&lt;&gt;""),(B11:INDEX(Table14[#This Row],COLUMN()-1)))</f>
        <v>46156</v>
      </c>
      <c r="V11" s="79"/>
    </row>
    <row r="12" spans="1:23" s="15" customFormat="1" hidden="1" x14ac:dyDescent="0.25">
      <c r="A12" s="15" t="s">
        <v>188</v>
      </c>
      <c r="B12" s="24" t="s">
        <v>36</v>
      </c>
      <c r="C12" s="16" t="s">
        <v>56</v>
      </c>
      <c r="D12" s="22" t="s">
        <v>189</v>
      </c>
      <c r="E12" s="76" t="s">
        <v>39</v>
      </c>
      <c r="F12" s="61">
        <v>46135</v>
      </c>
      <c r="G12" s="67">
        <v>46149</v>
      </c>
      <c r="H12" s="110">
        <v>46150</v>
      </c>
      <c r="I12" s="76" t="s">
        <v>41</v>
      </c>
      <c r="J12" s="61">
        <v>46177</v>
      </c>
      <c r="K12" s="61"/>
      <c r="L12" s="110">
        <v>46185</v>
      </c>
      <c r="M12" s="97" t="s">
        <v>190</v>
      </c>
      <c r="N12" s="61"/>
      <c r="O12" s="61"/>
      <c r="P12" s="78"/>
      <c r="Q12" s="76"/>
      <c r="R12" s="61"/>
      <c r="S12" s="61"/>
      <c r="T12" s="78"/>
      <c r="U12" s="35" t="str" cm="1">
        <f t="array" ref="U12">LOOKUP(2,1/(B12:INDEX(Table14[#This Row],COLUMN()-1)&lt;&gt;""),(B12:INDEX(Table14[#This Row],COLUMN()-1)))</f>
        <v>waiting client CRS</v>
      </c>
      <c r="V12" s="79"/>
    </row>
    <row r="13" spans="1:23" s="15" customFormat="1" hidden="1" x14ac:dyDescent="0.25">
      <c r="A13" s="15" t="s">
        <v>191</v>
      </c>
      <c r="B13" s="24" t="s">
        <v>43</v>
      </c>
      <c r="C13" s="16" t="s">
        <v>56</v>
      </c>
      <c r="D13" s="22" t="s">
        <v>192</v>
      </c>
      <c r="E13" s="76" t="s">
        <v>39</v>
      </c>
      <c r="F13" s="61">
        <v>46135</v>
      </c>
      <c r="G13" s="67">
        <v>46149</v>
      </c>
      <c r="H13" s="110">
        <v>46150</v>
      </c>
      <c r="I13" s="76" t="s">
        <v>41</v>
      </c>
      <c r="J13" s="61">
        <v>46196</v>
      </c>
      <c r="K13" s="110">
        <v>46213</v>
      </c>
      <c r="L13" s="110">
        <v>46209</v>
      </c>
      <c r="M13" s="76"/>
      <c r="N13" s="61"/>
      <c r="O13" s="61"/>
      <c r="P13" s="78"/>
      <c r="Q13" s="76"/>
      <c r="R13" s="61"/>
      <c r="S13" s="61"/>
      <c r="T13" s="78"/>
      <c r="U13" s="35" cm="1">
        <f t="array" ref="U13">LOOKUP(2,1/(B13:INDEX(Table14[#This Row],COLUMN()-1)&lt;&gt;""),(B13:INDEX(Table14[#This Row],COLUMN()-1)))</f>
        <v>46209</v>
      </c>
      <c r="V13" s="79"/>
    </row>
    <row r="14" spans="1:23" s="15" customFormat="1" hidden="1" x14ac:dyDescent="0.25">
      <c r="A14" s="15" t="s">
        <v>193</v>
      </c>
      <c r="B14" s="24" t="s">
        <v>36</v>
      </c>
      <c r="C14" s="23" t="s">
        <v>61</v>
      </c>
      <c r="D14" s="22" t="s">
        <v>194</v>
      </c>
      <c r="E14" s="76" t="s">
        <v>39</v>
      </c>
      <c r="F14" s="61">
        <v>46135</v>
      </c>
      <c r="G14" s="67">
        <v>46149</v>
      </c>
      <c r="H14" s="81">
        <v>46156</v>
      </c>
      <c r="I14" s="76" t="s">
        <v>41</v>
      </c>
      <c r="J14" s="61">
        <v>46197</v>
      </c>
      <c r="K14" s="81">
        <v>46213</v>
      </c>
      <c r="L14" s="78"/>
      <c r="M14" s="97" t="s">
        <v>195</v>
      </c>
      <c r="N14" s="61"/>
      <c r="O14" s="61"/>
      <c r="P14" s="78"/>
      <c r="Q14" s="83"/>
      <c r="R14" s="61"/>
      <c r="S14" s="61"/>
      <c r="T14" s="78"/>
      <c r="U14" s="35" t="str" cm="1">
        <f t="array" ref="U14">LOOKUP(2,1/(B14:INDEX(Table14[#This Row],COLUMN()-1)&lt;&gt;""),(B14:INDEX(Table14[#This Row],COLUMN()-1)))</f>
        <v>bagus to revise davit strops arrangement</v>
      </c>
      <c r="V14" s="79"/>
    </row>
    <row r="15" spans="1:23" s="21" customFormat="1" hidden="1" x14ac:dyDescent="0.25">
      <c r="A15" s="15" t="s">
        <v>196</v>
      </c>
      <c r="B15" s="24" t="s">
        <v>43</v>
      </c>
      <c r="C15" s="23" t="s">
        <v>61</v>
      </c>
      <c r="D15" s="22" t="s">
        <v>197</v>
      </c>
      <c r="E15" s="76" t="s">
        <v>39</v>
      </c>
      <c r="F15" s="61">
        <v>46135</v>
      </c>
      <c r="G15" s="67">
        <v>46157</v>
      </c>
      <c r="H15" s="81">
        <v>46156</v>
      </c>
      <c r="I15" s="76" t="s">
        <v>41</v>
      </c>
      <c r="J15" s="35" t="s">
        <v>198</v>
      </c>
      <c r="K15" s="61"/>
      <c r="L15" s="78"/>
      <c r="M15" s="76"/>
      <c r="N15" s="61"/>
      <c r="O15" s="61"/>
      <c r="P15" s="78"/>
      <c r="Q15" s="83"/>
      <c r="R15" s="61"/>
      <c r="S15" s="61"/>
      <c r="T15" s="78"/>
      <c r="U15" s="35" t="str" cm="1">
        <f t="array" ref="U15">LOOKUP(2,1/(B15:INDEX(Table14[#This Row],COLUMN()-1)&lt;&gt;""),(B15:INDEX(Table14[#This Row],COLUMN()-1)))</f>
        <v>waiting for lifting and installation drawings</v>
      </c>
      <c r="V15" s="79"/>
    </row>
    <row r="16" spans="1:23" hidden="1" x14ac:dyDescent="0.25">
      <c r="A16" s="15" t="s">
        <v>199</v>
      </c>
      <c r="B16" s="24" t="s">
        <v>48</v>
      </c>
      <c r="C16" s="23" t="s">
        <v>61</v>
      </c>
      <c r="D16" s="22" t="s">
        <v>200</v>
      </c>
      <c r="E16" s="76" t="s">
        <v>39</v>
      </c>
      <c r="F16" s="61">
        <v>46135</v>
      </c>
      <c r="G16" s="67">
        <v>46157</v>
      </c>
      <c r="H16" s="81">
        <v>46156</v>
      </c>
      <c r="I16" s="76" t="s">
        <v>41</v>
      </c>
      <c r="J16" s="35" t="s">
        <v>198</v>
      </c>
      <c r="K16" s="61"/>
      <c r="L16" s="78"/>
      <c r="M16" s="76"/>
      <c r="N16" s="61"/>
      <c r="O16" s="61"/>
      <c r="P16" s="78"/>
      <c r="Q16" s="83"/>
      <c r="R16" s="61"/>
      <c r="S16" s="61"/>
      <c r="T16" s="78"/>
      <c r="U16" s="35" t="str" cm="1">
        <f t="array" ref="U16">LOOKUP(2,1/(B16:INDEX(Table14[#This Row],COLUMN()-1)&lt;&gt;""),(B16:INDEX(Table14[#This Row],COLUMN()-1)))</f>
        <v>waiting for lifting and installation drawings</v>
      </c>
      <c r="V16" s="79"/>
    </row>
    <row r="17" spans="1:22" hidden="1" x14ac:dyDescent="0.25">
      <c r="A17" s="15" t="s">
        <v>201</v>
      </c>
      <c r="B17" s="24" t="s">
        <v>48</v>
      </c>
      <c r="C17" s="23" t="s">
        <v>61</v>
      </c>
      <c r="D17" s="22" t="s">
        <v>202</v>
      </c>
      <c r="E17" s="76" t="s">
        <v>39</v>
      </c>
      <c r="F17" s="61">
        <v>46135</v>
      </c>
      <c r="G17" s="67">
        <v>46157</v>
      </c>
      <c r="H17" s="81">
        <v>46156</v>
      </c>
      <c r="I17" s="76" t="s">
        <v>41</v>
      </c>
      <c r="J17" s="35" t="s">
        <v>198</v>
      </c>
      <c r="K17" s="61"/>
      <c r="L17" s="78"/>
      <c r="M17" s="76"/>
      <c r="N17" s="61"/>
      <c r="O17" s="61"/>
      <c r="P17" s="78"/>
      <c r="Q17" s="83"/>
      <c r="R17" s="61"/>
      <c r="S17" s="61"/>
      <c r="T17" s="78"/>
      <c r="U17" s="35" t="str" cm="1">
        <f t="array" ref="U17">LOOKUP(2,1/(B17:INDEX(Table14[#This Row],COLUMN()-1)&lt;&gt;""),(B17:INDEX(Table14[#This Row],COLUMN()-1)))</f>
        <v>waiting for lifting and installation drawings</v>
      </c>
      <c r="V17" s="79"/>
    </row>
    <row r="18" spans="1:22" ht="34.5" hidden="1" customHeight="1" x14ac:dyDescent="0.25">
      <c r="A18" s="15" t="s">
        <v>203</v>
      </c>
      <c r="B18" s="24" t="s">
        <v>36</v>
      </c>
      <c r="C18" s="16" t="s">
        <v>69</v>
      </c>
      <c r="D18" s="22" t="s">
        <v>204</v>
      </c>
      <c r="E18" s="76" t="s">
        <v>39</v>
      </c>
      <c r="F18" s="35">
        <v>46192</v>
      </c>
      <c r="G18" s="111">
        <v>46213</v>
      </c>
      <c r="H18" s="107">
        <v>46217</v>
      </c>
      <c r="I18" s="76" t="s">
        <v>41</v>
      </c>
      <c r="J18" s="61">
        <v>46212</v>
      </c>
      <c r="K18" s="35" t="s">
        <v>205</v>
      </c>
      <c r="L18" s="78"/>
      <c r="M18" s="76"/>
      <c r="N18" s="61"/>
      <c r="O18" s="61"/>
      <c r="P18" s="78"/>
      <c r="Q18" s="83"/>
      <c r="R18" s="61"/>
      <c r="S18" s="61"/>
      <c r="T18" s="78"/>
      <c r="U18" s="35" t="str" cm="1">
        <f t="array" ref="U18">LOOKUP(2,1/(B18:INDEX(Table14[#This Row],COLUMN()-1)&lt;&gt;""),(B18:INDEX(Table14[#This Row],COLUMN()-1)))</f>
        <v>waiting ABL and client reply</v>
      </c>
      <c r="V18" s="79"/>
    </row>
    <row r="19" spans="1:22" hidden="1" x14ac:dyDescent="0.25">
      <c r="A19" s="15" t="s">
        <v>206</v>
      </c>
      <c r="B19" s="24" t="s">
        <v>43</v>
      </c>
      <c r="C19" s="16" t="s">
        <v>69</v>
      </c>
      <c r="D19" s="22" t="s">
        <v>207</v>
      </c>
      <c r="E19" s="76" t="s">
        <v>39</v>
      </c>
      <c r="F19" s="35">
        <v>46192</v>
      </c>
      <c r="G19" s="111">
        <v>46213</v>
      </c>
      <c r="H19" s="107">
        <v>46217</v>
      </c>
      <c r="I19" s="76" t="s">
        <v>41</v>
      </c>
      <c r="J19" s="61">
        <v>46212</v>
      </c>
      <c r="K19" s="35" t="s">
        <v>205</v>
      </c>
      <c r="L19" s="78"/>
      <c r="M19" s="76"/>
      <c r="N19" s="61"/>
      <c r="O19" s="61"/>
      <c r="P19" s="78"/>
      <c r="Q19" s="83"/>
      <c r="R19" s="61"/>
      <c r="S19" s="61"/>
      <c r="T19" s="78"/>
      <c r="U19" s="35" t="str" cm="1">
        <f t="array" ref="U19">LOOKUP(2,1/(B19:INDEX(Table14[#This Row],COLUMN()-1)&lt;&gt;""),(B19:INDEX(Table14[#This Row],COLUMN()-1)))</f>
        <v>waiting ABL and client reply</v>
      </c>
      <c r="V19" s="79"/>
    </row>
    <row r="20" spans="1:22" hidden="1" x14ac:dyDescent="0.25">
      <c r="A20" s="15" t="s">
        <v>208</v>
      </c>
      <c r="B20" s="24" t="s">
        <v>48</v>
      </c>
      <c r="C20" s="16" t="s">
        <v>69</v>
      </c>
      <c r="D20" s="22" t="s">
        <v>209</v>
      </c>
      <c r="E20" s="76" t="s">
        <v>39</v>
      </c>
      <c r="F20" s="35">
        <v>46192</v>
      </c>
      <c r="G20" s="111">
        <v>46213</v>
      </c>
      <c r="H20" s="107">
        <v>46217</v>
      </c>
      <c r="I20" s="76" t="s">
        <v>41</v>
      </c>
      <c r="J20" s="61">
        <v>46212</v>
      </c>
      <c r="K20" s="35" t="s">
        <v>205</v>
      </c>
      <c r="L20" s="78"/>
      <c r="M20" s="76"/>
      <c r="N20" s="61"/>
      <c r="O20" s="61"/>
      <c r="P20" s="78"/>
      <c r="Q20" s="83"/>
      <c r="R20" s="61"/>
      <c r="S20" s="61"/>
      <c r="T20" s="78"/>
      <c r="U20" s="35" t="str" cm="1">
        <f t="array" ref="U20">LOOKUP(2,1/(B20:INDEX(Table14[#This Row],COLUMN()-1)&lt;&gt;""),(B20:INDEX(Table14[#This Row],COLUMN()-1)))</f>
        <v>waiting ABL and client reply</v>
      </c>
      <c r="V20" s="79"/>
    </row>
    <row r="21" spans="1:22" hidden="1" x14ac:dyDescent="0.25">
      <c r="A21" s="26" t="s">
        <v>210</v>
      </c>
      <c r="B21" s="27" t="s">
        <v>36</v>
      </c>
      <c r="C21" s="28" t="s">
        <v>76</v>
      </c>
      <c r="D21" s="29" t="s">
        <v>211</v>
      </c>
      <c r="E21" s="84" t="s">
        <v>39</v>
      </c>
      <c r="F21" s="70"/>
      <c r="G21" s="85"/>
      <c r="H21" s="86"/>
      <c r="I21" s="84"/>
      <c r="J21" s="70"/>
      <c r="K21" s="70"/>
      <c r="L21" s="87"/>
      <c r="M21" s="84"/>
      <c r="N21" s="70"/>
      <c r="O21" s="70"/>
      <c r="P21" s="87"/>
      <c r="Q21" s="88"/>
      <c r="R21" s="70"/>
      <c r="S21" s="70"/>
      <c r="T21" s="87"/>
      <c r="U21" s="89" t="str" cm="1">
        <f t="array" ref="U21">LOOKUP(2,1/(B21:INDEX(Table14[#This Row],COLUMN()-1)&lt;&gt;""),(B21:INDEX(Table14[#This Row],COLUMN()-1)))</f>
        <v>A1</v>
      </c>
      <c r="V21" s="90"/>
    </row>
    <row r="22" spans="1:22" hidden="1" x14ac:dyDescent="0.25">
      <c r="A22" s="26" t="s">
        <v>212</v>
      </c>
      <c r="B22" s="27" t="s">
        <v>43</v>
      </c>
      <c r="C22" s="28" t="s">
        <v>76</v>
      </c>
      <c r="D22" s="29" t="s">
        <v>213</v>
      </c>
      <c r="E22" s="84" t="s">
        <v>145</v>
      </c>
      <c r="F22" s="70"/>
      <c r="G22" s="70"/>
      <c r="H22" s="86"/>
      <c r="I22" s="84"/>
      <c r="J22" s="70"/>
      <c r="K22" s="70"/>
      <c r="L22" s="87"/>
      <c r="M22" s="84"/>
      <c r="N22" s="70"/>
      <c r="O22" s="70"/>
      <c r="P22" s="87"/>
      <c r="Q22" s="88"/>
      <c r="R22" s="70"/>
      <c r="S22" s="70"/>
      <c r="T22" s="87"/>
      <c r="U22" s="89" t="str" cm="1">
        <f t="array" ref="U22">LOOKUP(2,1/(B22:INDEX(Table14[#This Row],COLUMN()-1)&lt;&gt;""),(B22:INDEX(Table14[#This Row],COLUMN()-1)))</f>
        <v>01</v>
      </c>
      <c r="V22" s="90"/>
    </row>
    <row r="23" spans="1:22" hidden="1" x14ac:dyDescent="0.25">
      <c r="A23" s="15" t="s">
        <v>214</v>
      </c>
      <c r="B23" s="24" t="s">
        <v>43</v>
      </c>
      <c r="C23" s="16" t="s">
        <v>83</v>
      </c>
      <c r="D23" s="22" t="s">
        <v>215</v>
      </c>
      <c r="E23" s="76" t="s">
        <v>39</v>
      </c>
      <c r="F23" s="35">
        <v>46192</v>
      </c>
      <c r="G23" s="77"/>
      <c r="H23" s="107">
        <v>46210</v>
      </c>
      <c r="I23" s="97" t="s">
        <v>216</v>
      </c>
      <c r="J23" s="61"/>
      <c r="K23" s="61"/>
      <c r="L23" s="78"/>
      <c r="M23" s="76"/>
      <c r="N23" s="61"/>
      <c r="O23" s="61"/>
      <c r="P23" s="78"/>
      <c r="Q23" s="76"/>
      <c r="R23" s="61"/>
      <c r="S23" s="61"/>
      <c r="T23" s="78"/>
      <c r="U23" s="35" t="str" cm="1">
        <f t="array" ref="U23">LOOKUP(2,1/(B23:INDEX(Table14[#This Row],COLUMN()-1)&lt;&gt;""),(B23:INDEX(Table14[#This Row],COLUMN()-1)))</f>
        <v>waiting for ABL reply</v>
      </c>
      <c r="V23" s="79"/>
    </row>
    <row r="24" spans="1:22" hidden="1" x14ac:dyDescent="0.25">
      <c r="A24" s="15" t="s">
        <v>217</v>
      </c>
      <c r="B24" s="24" t="s">
        <v>43</v>
      </c>
      <c r="C24" s="23" t="s">
        <v>88</v>
      </c>
      <c r="D24" s="22" t="s">
        <v>218</v>
      </c>
      <c r="E24" s="76" t="s">
        <v>39</v>
      </c>
      <c r="F24" s="35">
        <v>46192</v>
      </c>
      <c r="G24" s="110">
        <v>46213</v>
      </c>
      <c r="H24" s="107">
        <v>46210</v>
      </c>
      <c r="I24" s="97" t="s">
        <v>216</v>
      </c>
      <c r="J24" s="61"/>
      <c r="K24" s="61"/>
      <c r="L24" s="78"/>
      <c r="M24" s="76"/>
      <c r="N24" s="61"/>
      <c r="O24" s="61"/>
      <c r="P24" s="78"/>
      <c r="Q24" s="83"/>
      <c r="R24" s="61"/>
      <c r="S24" s="61"/>
      <c r="T24" s="78"/>
      <c r="U24" s="35" t="str" cm="1">
        <f t="array" ref="U24">LOOKUP(2,1/(B24:INDEX(Table14[#This Row],COLUMN()-1)&lt;&gt;""),(B24:INDEX(Table14[#This Row],COLUMN()-1)))</f>
        <v>waiting for ABL reply</v>
      </c>
      <c r="V24" s="79"/>
    </row>
    <row r="25" spans="1:22" hidden="1" x14ac:dyDescent="0.25">
      <c r="A25" s="15" t="s">
        <v>219</v>
      </c>
      <c r="B25" s="24" t="s">
        <v>48</v>
      </c>
      <c r="C25" s="23" t="s">
        <v>88</v>
      </c>
      <c r="D25" s="22" t="s">
        <v>220</v>
      </c>
      <c r="E25" s="76" t="s">
        <v>39</v>
      </c>
      <c r="F25" s="35">
        <v>46192</v>
      </c>
      <c r="G25" s="77"/>
      <c r="H25" s="107">
        <v>46210</v>
      </c>
      <c r="I25" s="97" t="s">
        <v>216</v>
      </c>
      <c r="J25" s="61"/>
      <c r="K25" s="61"/>
      <c r="L25" s="78"/>
      <c r="M25" s="76"/>
      <c r="N25" s="61"/>
      <c r="O25" s="61"/>
      <c r="P25" s="78"/>
      <c r="Q25" s="83"/>
      <c r="R25" s="61"/>
      <c r="S25" s="61"/>
      <c r="T25" s="78"/>
      <c r="U25" s="35" t="str" cm="1">
        <f t="array" ref="U25">LOOKUP(2,1/(B25:INDEX(Table14[#This Row],COLUMN()-1)&lt;&gt;""),(B25:INDEX(Table14[#This Row],COLUMN()-1)))</f>
        <v>waiting for ABL reply</v>
      </c>
      <c r="V25" s="79"/>
    </row>
    <row r="26" spans="1:22" ht="30" hidden="1" x14ac:dyDescent="0.25">
      <c r="A26" s="15" t="s">
        <v>221</v>
      </c>
      <c r="B26" s="24" t="s">
        <v>155</v>
      </c>
      <c r="C26" s="23" t="s">
        <v>88</v>
      </c>
      <c r="D26" s="22" t="s">
        <v>222</v>
      </c>
      <c r="E26" s="76" t="s">
        <v>39</v>
      </c>
      <c r="F26" s="35">
        <v>46192</v>
      </c>
      <c r="G26" s="110">
        <v>46213</v>
      </c>
      <c r="H26" s="107">
        <v>46210</v>
      </c>
      <c r="I26" s="97" t="s">
        <v>216</v>
      </c>
      <c r="J26" s="61"/>
      <c r="K26" s="61"/>
      <c r="L26" s="78"/>
      <c r="M26" s="76"/>
      <c r="N26" s="61"/>
      <c r="O26" s="61"/>
      <c r="P26" s="78"/>
      <c r="Q26" s="83"/>
      <c r="R26" s="61"/>
      <c r="S26" s="61"/>
      <c r="T26" s="78"/>
      <c r="U26" s="35" t="str" cm="1">
        <f t="array" ref="U26">LOOKUP(2,1/(B26:INDEX(Table14[#This Row],COLUMN()-1)&lt;&gt;""),(B26:INDEX(Table14[#This Row],COLUMN()-1)))</f>
        <v>waiting for ABL reply</v>
      </c>
      <c r="V26" s="79"/>
    </row>
    <row r="27" spans="1:22" hidden="1" x14ac:dyDescent="0.25">
      <c r="A27" s="15" t="s">
        <v>223</v>
      </c>
      <c r="B27" s="24" t="s">
        <v>43</v>
      </c>
      <c r="C27" s="16" t="s">
        <v>163</v>
      </c>
      <c r="D27" s="22" t="s">
        <v>224</v>
      </c>
      <c r="E27" s="76" t="s">
        <v>39</v>
      </c>
      <c r="F27" s="35">
        <v>46192</v>
      </c>
      <c r="G27" s="77"/>
      <c r="H27" s="107">
        <v>46210</v>
      </c>
      <c r="I27" s="76" t="s">
        <v>41</v>
      </c>
      <c r="J27" s="97" t="s">
        <v>225</v>
      </c>
      <c r="K27" s="61"/>
      <c r="L27" s="78"/>
      <c r="M27" s="76"/>
      <c r="N27" s="61"/>
      <c r="O27" s="61"/>
      <c r="P27" s="78"/>
      <c r="Q27" s="83"/>
      <c r="R27" s="61"/>
      <c r="S27" s="61"/>
      <c r="T27" s="78"/>
      <c r="U27" s="35" t="str" cm="1">
        <f t="array" ref="U27">LOOKUP(2,1/(B27:INDEX(Table14[#This Row],COLUMN()-1)&lt;&gt;""),(B27:INDEX(Table14[#This Row],COLUMN()-1)))</f>
        <v>issued for ABL only for review, waiting for lifting and installation drawing to modify REV00</v>
      </c>
      <c r="V27" s="79"/>
    </row>
    <row r="28" spans="1:22" ht="30.75" hidden="1" customHeight="1" x14ac:dyDescent="0.25">
      <c r="A28" s="15" t="s">
        <v>226</v>
      </c>
      <c r="B28" s="24" t="s">
        <v>48</v>
      </c>
      <c r="C28" s="16" t="s">
        <v>163</v>
      </c>
      <c r="D28" s="22" t="s">
        <v>227</v>
      </c>
      <c r="E28" s="76" t="s">
        <v>39</v>
      </c>
      <c r="F28" s="35">
        <v>46192</v>
      </c>
      <c r="G28" s="77"/>
      <c r="H28" s="107">
        <v>46210</v>
      </c>
      <c r="I28" s="76" t="s">
        <v>41</v>
      </c>
      <c r="J28" s="97" t="s">
        <v>225</v>
      </c>
      <c r="K28" s="61"/>
      <c r="L28" s="78"/>
      <c r="M28" s="76"/>
      <c r="N28" s="61"/>
      <c r="O28" s="61"/>
      <c r="P28" s="78"/>
      <c r="Q28" s="83"/>
      <c r="R28" s="61"/>
      <c r="S28" s="61"/>
      <c r="T28" s="78"/>
      <c r="U28" s="35" t="str" cm="1">
        <f t="array" ref="U28">LOOKUP(2,1/(B28:INDEX(Table14[#This Row],COLUMN()-1)&lt;&gt;""),(B28:INDEX(Table14[#This Row],COLUMN()-1)))</f>
        <v>issued for ABL only for review, waiting for lifting and installation drawing to modify REV00</v>
      </c>
      <c r="V28" s="79"/>
    </row>
    <row r="29" spans="1:22" ht="30.75" hidden="1" customHeight="1" x14ac:dyDescent="0.25">
      <c r="A29" s="15" t="s">
        <v>228</v>
      </c>
      <c r="B29" s="24" t="s">
        <v>168</v>
      </c>
      <c r="C29" s="16" t="s">
        <v>163</v>
      </c>
      <c r="D29" s="22" t="s">
        <v>229</v>
      </c>
      <c r="E29" s="76" t="s">
        <v>39</v>
      </c>
      <c r="F29" s="35">
        <v>46192</v>
      </c>
      <c r="G29" s="61"/>
      <c r="H29" s="107">
        <v>46210</v>
      </c>
      <c r="I29" s="76" t="s">
        <v>41</v>
      </c>
      <c r="J29" s="97" t="s">
        <v>225</v>
      </c>
      <c r="K29" s="61"/>
      <c r="L29" s="78"/>
      <c r="M29" s="76"/>
      <c r="N29" s="61"/>
      <c r="O29" s="61"/>
      <c r="P29" s="78"/>
      <c r="Q29" s="83"/>
      <c r="R29" s="61"/>
      <c r="S29" s="61"/>
      <c r="T29" s="78"/>
      <c r="U29" s="35" t="str" cm="1">
        <f t="array" ref="U29">LOOKUP(2,1/(B29:INDEX(Table14[#This Row],COLUMN()-1)&lt;&gt;""),(B29:INDEX(Table14[#This Row],COLUMN()-1)))</f>
        <v>issued for ABL only for review, waiting for lifting and installation drawing to modify REV00</v>
      </c>
      <c r="V29" s="79"/>
    </row>
    <row r="30" spans="1:22" ht="30.75" hidden="1" customHeight="1" x14ac:dyDescent="0.25">
      <c r="A30" s="15" t="s">
        <v>230</v>
      </c>
      <c r="B30" s="24" t="s">
        <v>98</v>
      </c>
      <c r="C30" s="16" t="s">
        <v>171</v>
      </c>
      <c r="D30" s="22" t="s">
        <v>231</v>
      </c>
      <c r="E30" s="76" t="s">
        <v>39</v>
      </c>
      <c r="F30" s="35" t="s">
        <v>232</v>
      </c>
      <c r="G30" s="61"/>
      <c r="H30" s="78"/>
      <c r="I30" s="76"/>
      <c r="J30" s="61"/>
      <c r="K30" s="61"/>
      <c r="L30" s="78"/>
      <c r="M30" s="76"/>
      <c r="N30" s="61"/>
      <c r="O30" s="61"/>
      <c r="P30" s="78"/>
      <c r="Q30" s="83"/>
      <c r="R30" s="61"/>
      <c r="S30" s="61"/>
      <c r="T30" s="78"/>
      <c r="U30" s="35" t="str" cm="1">
        <f t="array" ref="U30">LOOKUP(2,1/(B30:INDEX(Table14[#This Row],COLUMN()-1)&lt;&gt;""),(B30:INDEX(Table14[#This Row],COLUMN()-1)))</f>
        <v>under PMT reveiew</v>
      </c>
      <c r="V30" s="79"/>
    </row>
    <row r="31" spans="1:22" ht="30.75" hidden="1" customHeight="1" x14ac:dyDescent="0.25">
      <c r="A31" s="15" t="s">
        <v>233</v>
      </c>
      <c r="B31" s="24" t="s">
        <v>98</v>
      </c>
      <c r="C31" s="16" t="s">
        <v>175</v>
      </c>
      <c r="D31" s="22" t="s">
        <v>234</v>
      </c>
      <c r="E31" s="76" t="s">
        <v>39</v>
      </c>
      <c r="F31" s="35" t="s">
        <v>232</v>
      </c>
      <c r="G31" s="61"/>
      <c r="H31" s="78"/>
      <c r="I31" s="76"/>
      <c r="J31" s="61"/>
      <c r="K31" s="61"/>
      <c r="L31" s="78"/>
      <c r="M31" s="76"/>
      <c r="N31" s="61"/>
      <c r="O31" s="61"/>
      <c r="P31" s="78"/>
      <c r="Q31" s="83"/>
      <c r="R31" s="61"/>
      <c r="S31" s="61"/>
      <c r="T31" s="78"/>
      <c r="U31" s="35" t="str" cm="1">
        <f t="array" ref="U31">LOOKUP(2,1/(B31:INDEX(Table14[#This Row],COLUMN()-1)&lt;&gt;""),(B31:INDEX(Table14[#This Row],COLUMN()-1)))</f>
        <v>under PMT reveiew</v>
      </c>
      <c r="V31" s="79"/>
    </row>
    <row r="32" spans="1:22" ht="31.5" customHeight="1" x14ac:dyDescent="0.25">
      <c r="A32" s="15" t="s">
        <v>235</v>
      </c>
      <c r="B32" s="24" t="s">
        <v>236</v>
      </c>
      <c r="C32" s="16" t="s">
        <v>37</v>
      </c>
      <c r="D32" s="22" t="s">
        <v>237</v>
      </c>
      <c r="E32" s="76" t="s">
        <v>39</v>
      </c>
      <c r="F32" s="61">
        <v>46104</v>
      </c>
      <c r="G32" s="67">
        <v>46119</v>
      </c>
      <c r="H32" s="91">
        <v>46118</v>
      </c>
      <c r="I32" s="76" t="s">
        <v>41</v>
      </c>
      <c r="J32" s="35">
        <v>46202</v>
      </c>
      <c r="K32" s="61"/>
      <c r="L32" s="78"/>
      <c r="M32" s="76"/>
      <c r="N32" s="61"/>
      <c r="O32" s="61"/>
      <c r="P32" s="78"/>
      <c r="Q32" s="83"/>
      <c r="R32" s="61"/>
      <c r="S32" s="61"/>
      <c r="T32" s="78"/>
      <c r="U32" s="35" cm="1">
        <f t="array" ref="U32">LOOKUP(2,1/(B32:INDEX(Table14[#This Row],COLUMN()-1)&lt;&gt;""),(B32:INDEX(Table14[#This Row],COLUMN()-1)))</f>
        <v>46202</v>
      </c>
      <c r="V32" s="79"/>
    </row>
    <row r="33" spans="1:22" ht="31.5" hidden="1" customHeight="1" x14ac:dyDescent="0.25">
      <c r="A33" s="15" t="s">
        <v>238</v>
      </c>
      <c r="B33" s="24" t="s">
        <v>236</v>
      </c>
      <c r="C33" s="16" t="s">
        <v>56</v>
      </c>
      <c r="D33" s="22" t="s">
        <v>239</v>
      </c>
      <c r="E33" s="76" t="s">
        <v>39</v>
      </c>
      <c r="F33" s="61">
        <v>46104</v>
      </c>
      <c r="G33" s="67">
        <v>46119</v>
      </c>
      <c r="H33" s="91">
        <v>46118</v>
      </c>
      <c r="I33" s="76" t="s">
        <v>41</v>
      </c>
      <c r="J33" s="35" t="s">
        <v>240</v>
      </c>
      <c r="K33" s="61"/>
      <c r="L33" s="78"/>
      <c r="M33" s="76"/>
      <c r="N33" s="61"/>
      <c r="O33" s="61"/>
      <c r="P33" s="78"/>
      <c r="Q33" s="83"/>
      <c r="R33" s="61"/>
      <c r="S33" s="61"/>
      <c r="T33" s="78"/>
      <c r="U33" s="35" t="str" cm="1">
        <f t="array" ref="U33">LOOKUP(2,1/(B33:INDEX(Table14[#This Row],COLUMN()-1)&lt;&gt;""),(B33:INDEX(Table14[#This Row],COLUMN()-1)))</f>
        <v>sancheevi to issue</v>
      </c>
      <c r="V33" s="79"/>
    </row>
    <row r="34" spans="1:22" ht="31.5" hidden="1" customHeight="1" x14ac:dyDescent="0.25">
      <c r="A34" s="15" t="s">
        <v>241</v>
      </c>
      <c r="B34" s="24" t="s">
        <v>236</v>
      </c>
      <c r="C34" s="16" t="s">
        <v>61</v>
      </c>
      <c r="D34" s="22" t="s">
        <v>242</v>
      </c>
      <c r="E34" s="76" t="s">
        <v>39</v>
      </c>
      <c r="F34" s="35" t="s">
        <v>240</v>
      </c>
      <c r="G34" s="61"/>
      <c r="H34" s="78"/>
      <c r="I34" s="76"/>
      <c r="J34" s="61"/>
      <c r="K34" s="61"/>
      <c r="L34" s="78"/>
      <c r="M34" s="76"/>
      <c r="N34" s="61"/>
      <c r="O34" s="61"/>
      <c r="P34" s="78"/>
      <c r="Q34" s="83"/>
      <c r="R34" s="61"/>
      <c r="S34" s="61"/>
      <c r="T34" s="78"/>
      <c r="U34" s="35" t="str" cm="1">
        <f t="array" ref="U34">LOOKUP(2,1/(B34:INDEX(Table14[#This Row],COLUMN()-1)&lt;&gt;""),(B34:INDEX(Table14[#This Row],COLUMN()-1)))</f>
        <v>sancheevi to issue</v>
      </c>
      <c r="V34" s="79"/>
    </row>
    <row r="35" spans="1:22" ht="31.5" hidden="1" customHeight="1" x14ac:dyDescent="0.25">
      <c r="A35" s="15" t="s">
        <v>243</v>
      </c>
      <c r="B35" s="24" t="s">
        <v>236</v>
      </c>
      <c r="C35" s="16" t="s">
        <v>69</v>
      </c>
      <c r="D35" s="22" t="s">
        <v>244</v>
      </c>
      <c r="E35" s="76" t="s">
        <v>39</v>
      </c>
      <c r="F35" s="35" t="s">
        <v>240</v>
      </c>
      <c r="G35" s="61"/>
      <c r="H35" s="78"/>
      <c r="I35" s="76"/>
      <c r="J35" s="61"/>
      <c r="K35" s="61"/>
      <c r="L35" s="78"/>
      <c r="M35" s="76"/>
      <c r="N35" s="61"/>
      <c r="O35" s="61"/>
      <c r="P35" s="78"/>
      <c r="Q35" s="83"/>
      <c r="R35" s="61"/>
      <c r="S35" s="61"/>
      <c r="T35" s="78"/>
      <c r="U35" s="35" t="str" cm="1">
        <f t="array" ref="U35">LOOKUP(2,1/(B35:INDEX(Table14[#This Row],COLUMN()-1)&lt;&gt;""),(B35:INDEX(Table14[#This Row],COLUMN()-1)))</f>
        <v>sancheevi to issue</v>
      </c>
      <c r="V35" s="79"/>
    </row>
    <row r="36" spans="1:22" ht="31.5" hidden="1" customHeight="1" x14ac:dyDescent="0.25">
      <c r="A36" s="15" t="s">
        <v>245</v>
      </c>
      <c r="B36" s="24" t="s">
        <v>236</v>
      </c>
      <c r="C36" s="16" t="s">
        <v>76</v>
      </c>
      <c r="D36" s="22" t="s">
        <v>246</v>
      </c>
      <c r="E36" s="76" t="s">
        <v>39</v>
      </c>
      <c r="F36" s="35" t="s">
        <v>240</v>
      </c>
      <c r="G36" s="61"/>
      <c r="H36" s="78"/>
      <c r="I36" s="76"/>
      <c r="J36" s="61"/>
      <c r="K36" s="61"/>
      <c r="L36" s="78"/>
      <c r="M36" s="76"/>
      <c r="N36" s="61"/>
      <c r="O36" s="61"/>
      <c r="P36" s="78"/>
      <c r="Q36" s="83"/>
      <c r="R36" s="61"/>
      <c r="S36" s="61"/>
      <c r="T36" s="78"/>
      <c r="U36" s="35" t="str" cm="1">
        <f t="array" ref="U36">LOOKUP(2,1/(B36:INDEX(Table14[#This Row],COLUMN()-1)&lt;&gt;""),(B36:INDEX(Table14[#This Row],COLUMN()-1)))</f>
        <v>sancheevi to issue</v>
      </c>
      <c r="V36" s="79"/>
    </row>
    <row r="37" spans="1:22" ht="31.5" hidden="1" customHeight="1" x14ac:dyDescent="0.25">
      <c r="A37" s="15" t="s">
        <v>247</v>
      </c>
      <c r="B37" s="24" t="s">
        <v>236</v>
      </c>
      <c r="C37" s="16" t="s">
        <v>83</v>
      </c>
      <c r="D37" s="22" t="s">
        <v>248</v>
      </c>
      <c r="E37" s="76" t="s">
        <v>39</v>
      </c>
      <c r="F37" s="35" t="s">
        <v>240</v>
      </c>
      <c r="G37" s="61"/>
      <c r="H37" s="78"/>
      <c r="I37" s="76"/>
      <c r="J37" s="61"/>
      <c r="K37" s="61"/>
      <c r="L37" s="78"/>
      <c r="M37" s="76"/>
      <c r="N37" s="61"/>
      <c r="O37" s="61"/>
      <c r="P37" s="78"/>
      <c r="Q37" s="83"/>
      <c r="R37" s="61"/>
      <c r="S37" s="61"/>
      <c r="T37" s="78"/>
      <c r="U37" s="35" t="str" cm="1">
        <f t="array" ref="U37">LOOKUP(2,1/(B37:INDEX(Table14[#This Row],COLUMN()-1)&lt;&gt;""),(B37:INDEX(Table14[#This Row],COLUMN()-1)))</f>
        <v>sancheevi to issue</v>
      </c>
      <c r="V37" s="79"/>
    </row>
    <row r="38" spans="1:22" ht="31.5" hidden="1" customHeight="1" x14ac:dyDescent="0.25">
      <c r="A38" s="15" t="s">
        <v>249</v>
      </c>
      <c r="B38" s="24" t="s">
        <v>236</v>
      </c>
      <c r="C38" s="16" t="s">
        <v>88</v>
      </c>
      <c r="D38" s="22" t="s">
        <v>250</v>
      </c>
      <c r="E38" s="76" t="s">
        <v>39</v>
      </c>
      <c r="F38" s="35" t="s">
        <v>240</v>
      </c>
      <c r="G38" s="61"/>
      <c r="H38" s="78"/>
      <c r="I38" s="76"/>
      <c r="J38" s="61"/>
      <c r="K38" s="61"/>
      <c r="L38" s="78"/>
      <c r="M38" s="76"/>
      <c r="N38" s="61"/>
      <c r="O38" s="61"/>
      <c r="P38" s="78"/>
      <c r="Q38" s="83"/>
      <c r="R38" s="61"/>
      <c r="S38" s="61"/>
      <c r="T38" s="78"/>
      <c r="U38" s="35" t="str" cm="1">
        <f t="array" ref="U38">LOOKUP(2,1/(B38:INDEX(Table14[#This Row],COLUMN()-1)&lt;&gt;""),(B38:INDEX(Table14[#This Row],COLUMN()-1)))</f>
        <v>sancheevi to issue</v>
      </c>
      <c r="V38" s="79"/>
    </row>
    <row r="39" spans="1:22" ht="31.5" hidden="1" customHeight="1" thickBot="1" x14ac:dyDescent="0.3">
      <c r="A39" s="15" t="s">
        <v>251</v>
      </c>
      <c r="B39" s="24" t="s">
        <v>236</v>
      </c>
      <c r="C39" s="16" t="s">
        <v>163</v>
      </c>
      <c r="D39" s="22" t="s">
        <v>252</v>
      </c>
      <c r="E39" s="92" t="s">
        <v>39</v>
      </c>
      <c r="F39" s="59" t="s">
        <v>240</v>
      </c>
      <c r="G39" s="93"/>
      <c r="H39" s="94"/>
      <c r="I39" s="92"/>
      <c r="J39" s="93"/>
      <c r="K39" s="93"/>
      <c r="L39" s="94"/>
      <c r="M39" s="92"/>
      <c r="N39" s="93"/>
      <c r="O39" s="93"/>
      <c r="P39" s="94"/>
      <c r="Q39" s="95"/>
      <c r="R39" s="93"/>
      <c r="S39" s="93"/>
      <c r="T39" s="94"/>
      <c r="U39" s="35" t="str" cm="1">
        <f t="array" ref="U39">LOOKUP(2,1/(B39:INDEX(Table14[#This Row],COLUMN()-1)&lt;&gt;""),(B39:INDEX(Table14[#This Row],COLUMN()-1)))</f>
        <v>sancheevi to issue</v>
      </c>
      <c r="V39" s="79"/>
    </row>
    <row r="40" spans="1:22" x14ac:dyDescent="0.25">
      <c r="A40" s="15" t="s">
        <v>100</v>
      </c>
      <c r="B40" s="16"/>
      <c r="C40" s="16">
        <f>SUBTOTAL(103,Table14[PF])</f>
        <v>6</v>
      </c>
      <c r="D40" s="16"/>
      <c r="E40" s="74"/>
      <c r="F40" s="74">
        <f>SUBTOTAL(103,Table14[CYL'#01      ISSUE DATA])</f>
        <v>6</v>
      </c>
      <c r="G40" s="74"/>
      <c r="H40" s="74"/>
      <c r="I40" s="74"/>
      <c r="J40" s="74"/>
      <c r="K40" s="74"/>
      <c r="L40" s="74"/>
      <c r="M40" s="74"/>
      <c r="N40" s="74"/>
      <c r="O40" s="74"/>
      <c r="P40" s="74"/>
      <c r="Q40" s="74"/>
      <c r="R40" s="74"/>
      <c r="S40" s="74"/>
      <c r="T40" s="74"/>
      <c r="U40" s="96">
        <f>SUBTOTAL(103,Table14[LATEST STATUS])</f>
        <v>6</v>
      </c>
      <c r="V40" s="74"/>
    </row>
  </sheetData>
  <mergeCells count="6">
    <mergeCell ref="A1:U1"/>
    <mergeCell ref="A2:U2"/>
    <mergeCell ref="E4:H4"/>
    <mergeCell ref="I4:L4"/>
    <mergeCell ref="M4:P4"/>
    <mergeCell ref="Q4:T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F1BD5-3C06-4756-8362-5AA59A945B28}">
  <sheetPr codeName="Sheet3"/>
  <dimension ref="A1:V13"/>
  <sheetViews>
    <sheetView zoomScale="115" zoomScaleNormal="115" workbookViewId="0">
      <pane xSplit="3" ySplit="4" topLeftCell="I5" activePane="bottomRight" state="frozen"/>
      <selection pane="topRight" activeCell="D1" sqref="D1"/>
      <selection pane="bottomLeft" activeCell="A2" sqref="A2"/>
      <selection pane="bottomRight" activeCell="T5" sqref="T5"/>
    </sheetView>
  </sheetViews>
  <sheetFormatPr defaultRowHeight="15" x14ac:dyDescent="0.25"/>
  <cols>
    <col min="1" max="1" width="26.28515625" customWidth="1"/>
    <col min="2" max="2" width="9.85546875" customWidth="1"/>
    <col min="3" max="3" width="10.85546875" customWidth="1"/>
    <col min="4" max="4" width="9.140625" style="1"/>
    <col min="5" max="5" width="12.140625" customWidth="1"/>
    <col min="6" max="6" width="12.42578125" customWidth="1"/>
    <col min="7" max="7" width="12.5703125" customWidth="1"/>
    <col min="8" max="8" width="11.28515625" customWidth="1"/>
    <col min="9" max="9" width="15.42578125" customWidth="1"/>
    <col min="10" max="10" width="15.28515625" customWidth="1"/>
    <col min="11" max="11" width="12.5703125" customWidth="1"/>
    <col min="12" max="12" width="11.28515625" customWidth="1"/>
    <col min="13" max="13" width="15.42578125" customWidth="1"/>
    <col min="14" max="14" width="15.28515625" customWidth="1"/>
    <col min="15" max="15" width="12.5703125" customWidth="1"/>
    <col min="16" max="16" width="13" customWidth="1"/>
    <col min="17" max="17" width="16.7109375" customWidth="1"/>
    <col min="18" max="18" width="15.28515625" customWidth="1"/>
    <col min="19" max="19" width="13" customWidth="1"/>
    <col min="20" max="20" width="27.28515625" customWidth="1"/>
    <col min="21" max="21" width="8.140625" customWidth="1"/>
    <col min="22" max="22" width="16.140625" customWidth="1"/>
  </cols>
  <sheetData>
    <row r="1" spans="1:22" ht="24" x14ac:dyDescent="0.4">
      <c r="A1" s="115" t="s">
        <v>0</v>
      </c>
      <c r="B1" s="115"/>
      <c r="C1" s="115"/>
      <c r="D1" s="115"/>
      <c r="E1" s="115"/>
      <c r="F1" s="115"/>
      <c r="G1" s="115"/>
      <c r="H1" s="115"/>
      <c r="I1" s="115"/>
      <c r="J1" s="115"/>
      <c r="K1" s="115"/>
      <c r="L1" s="115"/>
      <c r="M1" s="115"/>
      <c r="N1" s="115"/>
      <c r="O1" s="115"/>
      <c r="P1" s="115"/>
      <c r="Q1" s="115"/>
      <c r="R1" s="115"/>
      <c r="S1" s="115"/>
      <c r="T1" s="115"/>
    </row>
    <row r="2" spans="1:22" ht="18.75" x14ac:dyDescent="0.3">
      <c r="A2" s="116" t="s">
        <v>101</v>
      </c>
      <c r="B2" s="116"/>
      <c r="C2" s="116"/>
      <c r="D2" s="116"/>
      <c r="E2" s="116"/>
      <c r="F2" s="116"/>
      <c r="G2" s="116"/>
      <c r="H2" s="116"/>
      <c r="I2" s="116"/>
      <c r="J2" s="116"/>
      <c r="K2" s="116"/>
      <c r="L2" s="116"/>
      <c r="M2" s="116"/>
      <c r="N2" s="116"/>
      <c r="O2" s="116"/>
      <c r="P2" s="116"/>
      <c r="Q2" s="116"/>
      <c r="R2" s="116"/>
      <c r="S2" s="116"/>
      <c r="T2" s="116"/>
    </row>
    <row r="3" spans="1:22" x14ac:dyDescent="0.25">
      <c r="O3" s="5" t="s">
        <v>2</v>
      </c>
      <c r="P3" s="14">
        <v>46064</v>
      </c>
      <c r="Q3" s="5"/>
      <c r="R3" s="5"/>
      <c r="S3" s="5"/>
      <c r="T3" s="6">
        <v>45882</v>
      </c>
    </row>
    <row r="4" spans="1:22" s="2" customFormat="1" ht="33" customHeight="1" x14ac:dyDescent="0.25">
      <c r="A4" s="2" t="s">
        <v>102</v>
      </c>
      <c r="B4" s="2" t="s">
        <v>253</v>
      </c>
      <c r="C4" s="2" t="s">
        <v>254</v>
      </c>
      <c r="D4" s="4" t="s">
        <v>255</v>
      </c>
      <c r="E4" s="2" t="s">
        <v>256</v>
      </c>
      <c r="F4" s="2" t="s">
        <v>257</v>
      </c>
      <c r="G4" s="2" t="s">
        <v>258</v>
      </c>
      <c r="H4" s="4" t="s">
        <v>259</v>
      </c>
      <c r="I4" s="2" t="s">
        <v>260</v>
      </c>
      <c r="J4" s="2" t="s">
        <v>261</v>
      </c>
      <c r="K4" s="2" t="s">
        <v>262</v>
      </c>
      <c r="L4" s="2" t="s">
        <v>263</v>
      </c>
      <c r="M4" s="2" t="s">
        <v>264</v>
      </c>
      <c r="N4" s="2" t="s">
        <v>265</v>
      </c>
      <c r="O4" s="2" t="s">
        <v>266</v>
      </c>
      <c r="P4" s="2" t="s">
        <v>267</v>
      </c>
      <c r="Q4" s="2" t="s">
        <v>268</v>
      </c>
      <c r="R4" s="2" t="s">
        <v>269</v>
      </c>
      <c r="S4" s="2" t="s">
        <v>270</v>
      </c>
      <c r="T4" s="2" t="s">
        <v>103</v>
      </c>
      <c r="V4" s="3" t="s">
        <v>271</v>
      </c>
    </row>
    <row r="5" spans="1:22" s="7" customFormat="1" ht="44.25" customHeight="1" x14ac:dyDescent="0.25">
      <c r="A5" s="7" t="s">
        <v>272</v>
      </c>
      <c r="B5" s="2" t="s">
        <v>273</v>
      </c>
      <c r="C5" s="2" t="s">
        <v>56</v>
      </c>
      <c r="D5" s="4" t="s">
        <v>274</v>
      </c>
      <c r="E5" s="8">
        <v>45590</v>
      </c>
      <c r="F5" s="9">
        <v>45680</v>
      </c>
      <c r="G5" s="2"/>
      <c r="H5" s="4" t="s">
        <v>39</v>
      </c>
      <c r="I5" s="8">
        <v>45779</v>
      </c>
      <c r="J5" s="9">
        <v>45804</v>
      </c>
      <c r="K5" s="10">
        <v>45805</v>
      </c>
      <c r="L5" s="4" t="s">
        <v>41</v>
      </c>
      <c r="M5" s="8">
        <v>45807</v>
      </c>
      <c r="N5" s="9">
        <v>45825</v>
      </c>
      <c r="O5" s="10">
        <v>45818</v>
      </c>
      <c r="P5" s="4" t="s">
        <v>145</v>
      </c>
      <c r="Q5" s="8">
        <v>45832</v>
      </c>
      <c r="R5" s="10">
        <v>45842</v>
      </c>
      <c r="S5" s="10">
        <v>45834</v>
      </c>
      <c r="T5" s="12" cm="1">
        <f t="array" ref="T5">LOOKUP(2,1/(A5:INDEX(Table13[#This Row],COLUMN()-1)&lt;&gt;""),(A5:INDEX(Table13[#This Row],COLUMN()-1)))</f>
        <v>45834</v>
      </c>
      <c r="V5" s="10" t="s">
        <v>275</v>
      </c>
    </row>
    <row r="6" spans="1:22" s="7" customFormat="1" ht="44.25" customHeight="1" x14ac:dyDescent="0.25">
      <c r="A6" s="7" t="s">
        <v>147</v>
      </c>
      <c r="B6" s="2" t="s">
        <v>273</v>
      </c>
      <c r="C6" s="2" t="s">
        <v>83</v>
      </c>
      <c r="D6" s="4" t="s">
        <v>39</v>
      </c>
      <c r="E6" s="8">
        <v>45769</v>
      </c>
      <c r="F6" s="9">
        <v>45796</v>
      </c>
      <c r="G6" s="10">
        <v>45819</v>
      </c>
      <c r="H6" s="4" t="s">
        <v>41</v>
      </c>
      <c r="I6" s="8">
        <v>45819</v>
      </c>
      <c r="J6" s="9">
        <v>45838</v>
      </c>
      <c r="K6" s="10">
        <v>45825</v>
      </c>
      <c r="L6" s="4" t="s">
        <v>145</v>
      </c>
      <c r="M6" s="8" t="s">
        <v>276</v>
      </c>
      <c r="N6" s="10">
        <v>45861</v>
      </c>
      <c r="O6" s="10">
        <v>45854</v>
      </c>
      <c r="P6" s="4"/>
      <c r="Q6" s="8"/>
      <c r="R6" s="8"/>
      <c r="S6" s="8"/>
      <c r="T6" s="12" cm="1">
        <f t="array" ref="T6">LOOKUP(2,1/(A6:INDEX(Table13[#This Row],COLUMN()-1)&lt;&gt;""),(A6:INDEX(Table13[#This Row],COLUMN()-1)))</f>
        <v>45854</v>
      </c>
      <c r="V6" s="13" t="s">
        <v>277</v>
      </c>
    </row>
    <row r="7" spans="1:22" s="7" customFormat="1" ht="44.25" customHeight="1" x14ac:dyDescent="0.25">
      <c r="A7" s="7" t="s">
        <v>278</v>
      </c>
      <c r="B7" s="2" t="s">
        <v>273</v>
      </c>
      <c r="C7" s="2" t="s">
        <v>37</v>
      </c>
      <c r="D7" s="4" t="s">
        <v>274</v>
      </c>
      <c r="E7" s="8">
        <v>45568</v>
      </c>
      <c r="F7" s="9">
        <v>45680</v>
      </c>
      <c r="G7" s="2"/>
      <c r="H7" s="4" t="s">
        <v>39</v>
      </c>
      <c r="I7" s="4" t="s">
        <v>279</v>
      </c>
      <c r="J7" s="9">
        <v>45797</v>
      </c>
      <c r="K7" s="9">
        <v>45841</v>
      </c>
      <c r="L7" s="4" t="s">
        <v>41</v>
      </c>
      <c r="M7" s="8">
        <v>45842</v>
      </c>
      <c r="N7" s="11" t="s">
        <v>280</v>
      </c>
      <c r="O7" s="9">
        <v>45852</v>
      </c>
      <c r="P7" s="4" t="s">
        <v>41</v>
      </c>
      <c r="Q7" s="8">
        <v>45860</v>
      </c>
      <c r="R7" s="10">
        <v>45874</v>
      </c>
      <c r="S7" s="10">
        <v>45874</v>
      </c>
      <c r="T7" s="12" cm="1">
        <f t="array" ref="T7">LOOKUP(2,1/(A7:INDEX(Table13[#This Row],COLUMN()-1)&lt;&gt;""),(A7:INDEX(Table13[#This Row],COLUMN()-1)))</f>
        <v>45874</v>
      </c>
    </row>
    <row r="8" spans="1:22" s="7" customFormat="1" ht="44.25" customHeight="1" x14ac:dyDescent="0.25">
      <c r="A8" s="7" t="s">
        <v>281</v>
      </c>
      <c r="B8" s="2" t="s">
        <v>273</v>
      </c>
      <c r="C8" s="2" t="s">
        <v>69</v>
      </c>
      <c r="D8" s="4" t="s">
        <v>274</v>
      </c>
      <c r="E8" s="8">
        <v>45954</v>
      </c>
      <c r="F8" s="9">
        <v>45680</v>
      </c>
      <c r="G8" s="2"/>
      <c r="H8" s="4" t="s">
        <v>39</v>
      </c>
      <c r="I8" s="8">
        <v>45779</v>
      </c>
      <c r="J8" s="9">
        <v>45804</v>
      </c>
      <c r="K8" s="9">
        <v>45820</v>
      </c>
      <c r="L8" s="4" t="s">
        <v>41</v>
      </c>
      <c r="M8" s="8">
        <v>45827</v>
      </c>
      <c r="N8" s="11" t="s">
        <v>280</v>
      </c>
      <c r="O8" s="10">
        <v>45861</v>
      </c>
      <c r="P8" s="4" t="s">
        <v>145</v>
      </c>
      <c r="Q8" s="8">
        <v>45859</v>
      </c>
      <c r="R8" s="10">
        <v>45881</v>
      </c>
      <c r="S8" s="10">
        <v>45881</v>
      </c>
      <c r="T8" s="12" cm="1">
        <f t="array" ref="T8">LOOKUP(2,1/(A8:INDEX(Table13[#This Row],COLUMN()-1)&lt;&gt;""),(A8:INDEX(Table13[#This Row],COLUMN()-1)))</f>
        <v>45881</v>
      </c>
    </row>
    <row r="9" spans="1:22" s="7" customFormat="1" ht="44.25" customHeight="1" x14ac:dyDescent="0.25">
      <c r="A9" s="7" t="s">
        <v>143</v>
      </c>
      <c r="B9" s="2" t="s">
        <v>273</v>
      </c>
      <c r="C9" s="2" t="s">
        <v>76</v>
      </c>
      <c r="D9" s="4" t="s">
        <v>274</v>
      </c>
      <c r="E9" s="8">
        <v>45955</v>
      </c>
      <c r="F9" s="9">
        <v>45680</v>
      </c>
      <c r="G9" s="2"/>
      <c r="H9" s="4" t="s">
        <v>39</v>
      </c>
      <c r="I9" s="8">
        <v>45832</v>
      </c>
      <c r="J9" s="9">
        <v>45861</v>
      </c>
      <c r="K9" s="11" t="s">
        <v>282</v>
      </c>
      <c r="L9" s="4" t="s">
        <v>41</v>
      </c>
      <c r="M9" s="8">
        <v>45882</v>
      </c>
      <c r="N9" s="11" t="s">
        <v>280</v>
      </c>
      <c r="O9" s="10">
        <v>45888</v>
      </c>
      <c r="P9" s="10">
        <v>45889</v>
      </c>
      <c r="Q9" s="8"/>
      <c r="R9" s="8"/>
      <c r="S9" s="8"/>
      <c r="T9" s="12" cm="1">
        <f t="array" ref="T9">LOOKUP(2,1/(A9:INDEX(Table13[#This Row],COLUMN()-1)&lt;&gt;""),(A9:INDEX(Table13[#This Row],COLUMN()-1)))</f>
        <v>45889</v>
      </c>
    </row>
    <row r="10" spans="1:22" s="7" customFormat="1" ht="44.25" customHeight="1" x14ac:dyDescent="0.25">
      <c r="A10" s="7" t="s">
        <v>283</v>
      </c>
      <c r="B10" s="2" t="s">
        <v>273</v>
      </c>
      <c r="C10" s="2" t="s">
        <v>88</v>
      </c>
      <c r="D10" s="4" t="s">
        <v>39</v>
      </c>
      <c r="E10" s="8">
        <v>45832</v>
      </c>
      <c r="F10" s="9">
        <v>45861</v>
      </c>
      <c r="G10" s="9">
        <v>45891</v>
      </c>
      <c r="H10" s="4" t="s">
        <v>41</v>
      </c>
      <c r="I10" s="4" t="s">
        <v>284</v>
      </c>
      <c r="J10" s="10">
        <v>45918</v>
      </c>
      <c r="K10" s="10">
        <v>45902</v>
      </c>
      <c r="L10" s="4"/>
      <c r="M10" s="8"/>
      <c r="N10" s="8"/>
      <c r="O10" s="8"/>
      <c r="P10" s="4"/>
      <c r="Q10" s="8"/>
      <c r="R10" s="8"/>
      <c r="S10" s="8"/>
      <c r="T10" s="12" cm="1">
        <f t="array" ref="T10">LOOKUP(2,1/(A10:INDEX(Table13[#This Row],COLUMN()-1)&lt;&gt;""),(A10:INDEX(Table13[#This Row],COLUMN()-1)))</f>
        <v>45902</v>
      </c>
    </row>
    <row r="11" spans="1:22" s="7" customFormat="1" ht="44.25" customHeight="1" x14ac:dyDescent="0.25">
      <c r="A11" s="7" t="s">
        <v>285</v>
      </c>
      <c r="B11" s="2" t="s">
        <v>273</v>
      </c>
      <c r="C11" s="2" t="s">
        <v>61</v>
      </c>
      <c r="D11" s="4" t="s">
        <v>39</v>
      </c>
      <c r="E11" s="8">
        <v>45989</v>
      </c>
      <c r="F11" s="9">
        <v>45796</v>
      </c>
      <c r="G11" s="10">
        <v>45883</v>
      </c>
      <c r="H11" s="4" t="s">
        <v>41</v>
      </c>
      <c r="I11" s="4" t="s">
        <v>286</v>
      </c>
      <c r="J11" s="10">
        <v>45902</v>
      </c>
      <c r="K11" s="10">
        <v>45904</v>
      </c>
      <c r="L11" s="4" t="s">
        <v>145</v>
      </c>
      <c r="M11" s="8">
        <v>45916</v>
      </c>
      <c r="N11" s="9">
        <v>45929</v>
      </c>
      <c r="O11" s="10">
        <v>45929</v>
      </c>
      <c r="P11" s="4" t="s">
        <v>149</v>
      </c>
      <c r="Q11" s="8">
        <v>45930</v>
      </c>
      <c r="R11" s="11" t="s">
        <v>280</v>
      </c>
      <c r="S11" s="10">
        <v>45932</v>
      </c>
      <c r="T11" s="12" cm="1">
        <f t="array" ref="T11">LOOKUP(2,1/(A11:INDEX(Table13[#This Row],COLUMN()-1)&lt;&gt;""),(A11:INDEX(Table13[#This Row],COLUMN()-1)))</f>
        <v>45932</v>
      </c>
    </row>
    <row r="12" spans="1:22" s="7" customFormat="1" ht="45" customHeight="1" x14ac:dyDescent="0.25">
      <c r="A12" s="7" t="s">
        <v>287</v>
      </c>
      <c r="B12" s="2" t="s">
        <v>273</v>
      </c>
      <c r="C12" s="2" t="s">
        <v>93</v>
      </c>
      <c r="D12" s="4" t="s">
        <v>274</v>
      </c>
      <c r="E12" s="8">
        <v>45589</v>
      </c>
      <c r="F12" s="9">
        <v>45680</v>
      </c>
      <c r="G12" s="2"/>
      <c r="H12" s="4" t="s">
        <v>39</v>
      </c>
      <c r="I12" s="8">
        <v>45832</v>
      </c>
      <c r="J12" s="9">
        <v>45861</v>
      </c>
      <c r="K12" s="10">
        <v>45891</v>
      </c>
      <c r="L12" s="4" t="s">
        <v>41</v>
      </c>
      <c r="M12" s="8">
        <v>45891</v>
      </c>
      <c r="N12" s="10">
        <v>45910</v>
      </c>
      <c r="O12" s="10">
        <v>45929</v>
      </c>
      <c r="P12" s="4" t="s">
        <v>145</v>
      </c>
      <c r="Q12" s="8" t="s">
        <v>288</v>
      </c>
      <c r="R12" s="8"/>
      <c r="S12" s="8"/>
      <c r="T12" s="12" t="str" cm="1">
        <f t="array" ref="T12">LOOKUP(2,1/(A12:INDEX(Table13[#This Row],COLUMN()-1)&lt;&gt;""),(A12:INDEX(Table13[#This Row],COLUMN()-1)))</f>
        <v>UNDER ISSUE</v>
      </c>
    </row>
    <row r="13" spans="1:22" ht="45" customHeight="1" x14ac:dyDescent="0.25">
      <c r="A13" s="7" t="s">
        <v>174</v>
      </c>
      <c r="B13" s="2" t="s">
        <v>289</v>
      </c>
      <c r="C13" s="2" t="s">
        <v>289</v>
      </c>
      <c r="D13" s="4" t="s">
        <v>39</v>
      </c>
      <c r="E13" s="8">
        <v>45923</v>
      </c>
      <c r="F13" s="9">
        <v>45937</v>
      </c>
      <c r="G13" s="10">
        <v>45938</v>
      </c>
      <c r="H13" s="4"/>
      <c r="I13" s="4"/>
      <c r="J13" s="8"/>
      <c r="K13" s="8"/>
      <c r="L13" s="4"/>
      <c r="M13" s="8"/>
      <c r="N13" s="8"/>
      <c r="O13" s="8"/>
      <c r="P13" s="8"/>
      <c r="Q13" s="8"/>
      <c r="R13" s="8"/>
      <c r="S13" s="8"/>
      <c r="T13" s="12" cm="1">
        <f t="array" ref="T13">LOOKUP(2,1/(A13:INDEX(Table13[#This Row],COLUMN()-1)&lt;&gt;""),(A13:INDEX(Table13[#This Row],COLUMN()-1)))</f>
        <v>45938</v>
      </c>
    </row>
  </sheetData>
  <mergeCells count="2">
    <mergeCell ref="A1:T1"/>
    <mergeCell ref="A2:T2"/>
  </mergeCell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PROCEDURES</vt:lpstr>
      <vt:lpstr>APs SAFEEN3000</vt:lpstr>
      <vt:lpstr>APs DLS-4200</vt:lpstr>
      <vt:lpstr>1ST CAMPAIGN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Mohamed Harfoush (Energy)</dc:creator>
  <cp:keywords/>
  <dc:description/>
  <cp:lastModifiedBy>Mathews Thomas (Energy)</cp:lastModifiedBy>
  <cp:revision/>
  <dcterms:created xsi:type="dcterms:W3CDTF">2015-06-05T18:17:20Z</dcterms:created>
  <dcterms:modified xsi:type="dcterms:W3CDTF">2026-08-10T10:34:13Z</dcterms:modified>
  <cp:category/>
  <cp:contentStatus/>
</cp:coreProperties>
</file>