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mdc.local\fs\DATA\OFFSHORE\Support\Methods\DocumentRegister\Offshore Technical Register - Methods (Mathews)\11 Project deliverables\"/>
    </mc:Choice>
  </mc:AlternateContent>
  <xr:revisionPtr revIDLastSave="0" documentId="13_ncr:1_{D9140131-3E12-4F9D-A2BA-CE118ABF825F}" xr6:coauthVersionLast="47" xr6:coauthVersionMax="47" xr10:uidLastSave="{00000000-0000-0000-0000-000000000000}"/>
  <bookViews>
    <workbookView xWindow="-120" yWindow="-120" windowWidth="29040" windowHeight="15720" tabRatio="789" activeTab="1" xr2:uid="{00000000-000D-0000-FFFF-FFFF00000000}"/>
  </bookViews>
  <sheets>
    <sheet name="Installation Procedures " sheetId="19" r:id="rId1"/>
    <sheet name="Setup Plans &amp; Anchor Patterns" sheetId="26" r:id="rId2"/>
    <sheet name="Sketches" sheetId="27" r:id="rId3"/>
  </sheets>
  <definedNames>
    <definedName name="_xlnm._FilterDatabase" localSheetId="0" hidden="1">'Installation Procedures '!$A$5:$G$8</definedName>
    <definedName name="_xlnm._FilterDatabase" localSheetId="1" hidden="1">'Setup Plans &amp; Anchor Patterns'!$A$5:$G$8</definedName>
    <definedName name="_xlnm._FilterDatabase" localSheetId="2" hidden="1">Sketches!$A$5:$F$8</definedName>
    <definedName name="Print_Area_MI" localSheetId="1">#REF!</definedName>
    <definedName name="Print_Area_MI" localSheetId="2">#REF!</definedName>
    <definedName name="Print_Area_MI">#REF!</definedName>
    <definedName name="_xlnm.Print_Titles" localSheetId="0">'Installation Procedures '!$1:$8</definedName>
    <definedName name="_xlnm.Print_Titles" localSheetId="1">'Setup Plans &amp; Anchor Patterns'!$1:$8</definedName>
    <definedName name="_xlnm.Print_Titles" localSheetId="2">Sketches!$1:$8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3" i="26" l="1"/>
  <c r="G113" i="26" s="1"/>
  <c r="G112" i="26"/>
  <c r="H104" i="26"/>
  <c r="G104" i="26"/>
  <c r="G103" i="26"/>
  <c r="H97" i="26"/>
  <c r="G97" i="26" s="1"/>
  <c r="G96" i="26"/>
  <c r="G95" i="26"/>
  <c r="G94" i="26"/>
  <c r="H93" i="26"/>
  <c r="G93" i="26"/>
  <c r="G92" i="26"/>
  <c r="H91" i="26"/>
  <c r="G91" i="26"/>
  <c r="G90" i="26"/>
  <c r="H89" i="26"/>
  <c r="G89" i="26"/>
  <c r="G88" i="26"/>
  <c r="G87" i="26"/>
  <c r="G86" i="26"/>
  <c r="G85" i="26"/>
  <c r="G84" i="26"/>
  <c r="G83" i="26"/>
  <c r="G82" i="26"/>
  <c r="G81" i="26"/>
  <c r="G80" i="26"/>
  <c r="G79" i="26"/>
  <c r="H74" i="26"/>
  <c r="G74" i="26"/>
  <c r="G73" i="26"/>
  <c r="G72" i="26"/>
  <c r="G71" i="26"/>
  <c r="G70" i="26"/>
  <c r="G69" i="26"/>
  <c r="G68" i="26"/>
  <c r="G67" i="26"/>
  <c r="G66" i="26"/>
  <c r="G65" i="26"/>
  <c r="G62" i="26"/>
  <c r="G61" i="26"/>
  <c r="G60" i="26"/>
  <c r="G59" i="26"/>
  <c r="G58" i="26"/>
  <c r="G57" i="26"/>
  <c r="G56" i="26"/>
  <c r="G55" i="26"/>
  <c r="G54" i="26"/>
  <c r="G53" i="26"/>
  <c r="G52" i="26"/>
  <c r="G51" i="26"/>
  <c r="G50" i="26"/>
  <c r="G49" i="26"/>
  <c r="G48" i="26"/>
  <c r="G47" i="26"/>
  <c r="G46" i="26"/>
  <c r="G45" i="26"/>
  <c r="G44" i="26"/>
  <c r="G43" i="26"/>
  <c r="G42" i="26"/>
  <c r="G41" i="26"/>
  <c r="G40" i="26"/>
  <c r="G39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9" i="26"/>
  <c r="G38" i="19"/>
  <c r="G37" i="19"/>
  <c r="G36" i="19"/>
  <c r="G35" i="19"/>
  <c r="G34" i="19"/>
  <c r="G33" i="19"/>
  <c r="G32" i="19"/>
  <c r="G31" i="19"/>
  <c r="G29" i="19"/>
  <c r="G28" i="19"/>
  <c r="G26" i="19"/>
  <c r="G24" i="19"/>
  <c r="G23" i="19"/>
  <c r="G22" i="19"/>
  <c r="G21" i="19"/>
  <c r="G20" i="19"/>
  <c r="G17" i="19"/>
  <c r="G16" i="19"/>
  <c r="G15" i="19"/>
  <c r="G14" i="19"/>
  <c r="G11" i="19"/>
  <c r="G9" i="19"/>
  <c r="Q4" i="19"/>
  <c r="Q4" i="26"/>
  <c r="P4" i="27"/>
  <c r="H114" i="26" l="1"/>
  <c r="G114" i="26" s="1"/>
  <c r="H98" i="26"/>
  <c r="H105" i="26"/>
  <c r="H75" i="26"/>
  <c r="H99" i="26" l="1"/>
  <c r="G98" i="26"/>
  <c r="G105" i="26"/>
  <c r="H106" i="26"/>
  <c r="G75" i="26"/>
  <c r="H76" i="26"/>
  <c r="H100" i="26" l="1"/>
  <c r="G100" i="26" s="1"/>
  <c r="G99" i="26"/>
  <c r="H107" i="26"/>
  <c r="G106" i="26"/>
  <c r="H77" i="26"/>
  <c r="G76" i="26"/>
  <c r="H108" i="26" l="1"/>
  <c r="G107" i="26"/>
  <c r="G77" i="26"/>
  <c r="H78" i="26"/>
  <c r="G78" i="26" s="1"/>
  <c r="H109" i="26" l="1"/>
  <c r="G108" i="26"/>
  <c r="H110" i="26" l="1"/>
  <c r="G109" i="26"/>
  <c r="H111" i="26" l="1"/>
  <c r="G111" i="26" s="1"/>
  <c r="G110" i="26"/>
</calcChain>
</file>

<file path=xl/sharedStrings.xml><?xml version="1.0" encoding="utf-8"?>
<sst xmlns="http://schemas.openxmlformats.org/spreadsheetml/2006/main" count="664" uniqueCount="538">
  <si>
    <t>SR.
NO.</t>
  </si>
  <si>
    <t>DESCRIPTION</t>
  </si>
  <si>
    <t>REMARKS</t>
  </si>
  <si>
    <t>DATE</t>
  </si>
  <si>
    <t>SUBMISSION STATUS</t>
  </si>
  <si>
    <t>APPROVAL STATUS</t>
  </si>
  <si>
    <t>REF</t>
  </si>
  <si>
    <t>DATE :</t>
  </si>
  <si>
    <t>REVISION :</t>
  </si>
  <si>
    <t>CODE</t>
  </si>
  <si>
    <t xml:space="preserve">SUBMISSION PLAN </t>
  </si>
  <si>
    <t>REV.</t>
  </si>
  <si>
    <t>CLASS</t>
  </si>
  <si>
    <t>FROM CLIENT</t>
  </si>
  <si>
    <t>PMT TO MWS</t>
  </si>
  <si>
    <t>STATUS FROM MWS</t>
  </si>
  <si>
    <t>COMPANY DOCUMENT NUMBER</t>
  </si>
  <si>
    <t>OFFSHORE INSTALLATION PROCEDURES</t>
  </si>
  <si>
    <t>OFFSHORE ANCHOR PATTERN AND DP DRAWINGS</t>
  </si>
  <si>
    <t>NMDC DOC. No.: MDR-001</t>
  </si>
  <si>
    <r>
      <rPr>
        <b/>
        <sz val="8"/>
        <color rgb="FFC00000"/>
        <rFont val="Tahoma"/>
        <family val="2"/>
      </rPr>
      <t>ADNOC</t>
    </r>
    <r>
      <rPr>
        <b/>
        <sz val="8"/>
        <rFont val="Tahoma"/>
        <family val="2"/>
      </rPr>
      <t xml:space="preserve"> OFFSHORE</t>
    </r>
  </si>
  <si>
    <r>
      <t xml:space="preserve">PMT TO </t>
    </r>
    <r>
      <rPr>
        <b/>
        <sz val="8"/>
        <color rgb="FFC00000"/>
        <rFont val="Tahoma"/>
        <family val="2"/>
      </rPr>
      <t>ADNOC</t>
    </r>
  </si>
  <si>
    <t>OFFSHORE Sketches</t>
  </si>
  <si>
    <t>Methods  TO PMT</t>
  </si>
  <si>
    <t>NMDC
DOCUMENT NUMBER</t>
  </si>
  <si>
    <t>NMDC</t>
  </si>
  <si>
    <t>2820-PP-OF-018</t>
  </si>
  <si>
    <t>2820-PP-OF-019</t>
  </si>
  <si>
    <t>2820-PP-OF-021</t>
  </si>
  <si>
    <t>2820-PP-OF-022</t>
  </si>
  <si>
    <t>2820-PP-OF-023</t>
  </si>
  <si>
    <t>2820-PP-OF-024</t>
  </si>
  <si>
    <t>AD-27-G-03123</t>
  </si>
  <si>
    <t>AD-27-G-03124</t>
  </si>
  <si>
    <t>AD-27-G-03126</t>
  </si>
  <si>
    <t>AD-27-G-03127</t>
  </si>
  <si>
    <t>AD-27-G-03128</t>
  </si>
  <si>
    <t>AD-27-G-03129</t>
  </si>
  <si>
    <t>2820-PP-OF-025</t>
  </si>
  <si>
    <t>AD-27-G-03130</t>
  </si>
  <si>
    <t>2820-PP-OF-026</t>
  </si>
  <si>
    <t>AD-27-G-03131</t>
  </si>
  <si>
    <t>2820-PP-OF-027</t>
  </si>
  <si>
    <t>AD-27-G-03132</t>
  </si>
  <si>
    <t>2820-PP-OF-028</t>
  </si>
  <si>
    <t>AD-27-G-03133</t>
  </si>
  <si>
    <t>2820-PP-OF-034</t>
  </si>
  <si>
    <t>2820-PP-OF-035</t>
  </si>
  <si>
    <t>2820-PP-OF-036</t>
  </si>
  <si>
    <t>2820-PP-OF-037</t>
  </si>
  <si>
    <t>2820-PP-OF-038</t>
  </si>
  <si>
    <t>2820-PP-OF-039</t>
  </si>
  <si>
    <t>2820-PP-OF-040</t>
  </si>
  <si>
    <t>2820-PP-OF-041</t>
  </si>
  <si>
    <t>2820-PP-OF-042</t>
  </si>
  <si>
    <t>2820-PP-OF-043</t>
  </si>
  <si>
    <t>2820-PP-OF-044</t>
  </si>
  <si>
    <t>2820-PP-OF-045</t>
  </si>
  <si>
    <t>2820-PP-OF-046</t>
  </si>
  <si>
    <t>(Das Island_working area for DLB-1000 &amp; SAFEEN 3000)</t>
  </si>
  <si>
    <t>2820-A1-001</t>
  </si>
  <si>
    <t>EJJ</t>
  </si>
  <si>
    <t>AD-27-G-03166</t>
  </si>
  <si>
    <t>AD-27-G-03167</t>
  </si>
  <si>
    <t>AD-27-G-03168</t>
  </si>
  <si>
    <t>AD-27-G-03169</t>
  </si>
  <si>
    <t>AD-27-G-03170</t>
  </si>
  <si>
    <t>AD-27-G-03171</t>
  </si>
  <si>
    <t>AD-27-G-03172</t>
  </si>
  <si>
    <t>AD-27-G-03173</t>
  </si>
  <si>
    <t>AD-27-G-03174</t>
  </si>
  <si>
    <t>AD-27-G-03175</t>
  </si>
  <si>
    <t>AD-27-G-03176</t>
  </si>
  <si>
    <t>AD-27-G-03177</t>
  </si>
  <si>
    <t>AD-27-G-03178</t>
  </si>
  <si>
    <r>
      <t xml:space="preserve">NMDC PROJECT NO. </t>
    </r>
    <r>
      <rPr>
        <b/>
        <sz val="11"/>
        <color rgb="FFFF0000"/>
        <rFont val="Tahoma"/>
        <family val="2"/>
      </rPr>
      <t>2820</t>
    </r>
  </si>
  <si>
    <t>2820-A1-002</t>
  </si>
  <si>
    <t>2820-A1-003</t>
  </si>
  <si>
    <t>2820-A1-004</t>
  </si>
  <si>
    <t>2820-A1-005</t>
  </si>
  <si>
    <t>(DLB 750 AP PL-321)_START-UP AT G-ISLAND</t>
  </si>
  <si>
    <t>(DLB 750 AP PL-317)_START-UP @ WHT EA-4</t>
  </si>
  <si>
    <t>(DLB 750 AP PL-320)_START-UP @ WHT EA-6</t>
  </si>
  <si>
    <t>(DLB 750 AP PL-313)_START-UP @ WHT EA-6</t>
  </si>
  <si>
    <t>2820-A1-012_R5 - DLB-750 LAYDOWN PL-335 (38'') NEAR CRP</t>
  </si>
  <si>
    <t>2820-A1-015_R3 - DLB-750 START-UP PL-335 (38'') NEAR CRP-Option</t>
  </si>
  <si>
    <t>2820-A1-012</t>
  </si>
  <si>
    <t>2820-A1-015</t>
  </si>
  <si>
    <t>SKV</t>
  </si>
  <si>
    <t>2820-A1-026-1 TO 2_R0(HEA KRAKEN setup @ ZCSC CRP) - Option 1 (Origianl PDP)</t>
  </si>
  <si>
    <t>2820-A1-027-1 TO 2_R0(HEA KRAKEN setup @ ZCSC CRP)</t>
  </si>
  <si>
    <t>2820-A1-028-1 TO 2_R0(HEA KRAKEN setup @ ZCSC CSP)</t>
  </si>
  <si>
    <t>2820-A1-026</t>
  </si>
  <si>
    <t>2820-A1-027</t>
  </si>
  <si>
    <t>2820-A1-028</t>
  </si>
  <si>
    <t>A1</t>
  </si>
  <si>
    <t>T-014/26</t>
  </si>
  <si>
    <t>2820-A1-038</t>
  </si>
  <si>
    <t>AL OMAIRAH ISLAND ANCHOR ATUDY STRUCTURE AND PIPELINE INSTALLATION (CAMPAIGN-1)</t>
  </si>
  <si>
    <t>2820-A1-006_R1 (DLS4200 AP study for ERP platform installation)</t>
  </si>
  <si>
    <t>2820-A1-019_R1 (DLB-1000 AP DURING EA-2B JKT INSTALLATION)</t>
  </si>
  <si>
    <t>2820-A1-020_R1 (DLB-1000 AP DURING EA-2A JKT INSTALLATION)</t>
  </si>
  <si>
    <t>2820-A1-024_R1 (DLB-1000 AP DURING EA-1 JKT INSTALLATION)</t>
  </si>
  <si>
    <t>2820-A1-039_R0 (HLV AP DURING AGI WHT-1 JKT INSTALLATION)</t>
  </si>
  <si>
    <t>2820-A1-040_R0 (HLV AP DURING EA-4 JKT INSTALLATION)</t>
  </si>
  <si>
    <t>2820-A1-041_R0 (HLV AP DURING EA-6 JKT INSTALLATION)</t>
  </si>
  <si>
    <t>2820-A1-042_R0 (HLV AP DURING EA-5 JKT INSTALLATION)</t>
  </si>
  <si>
    <t>2820-A1-043_R0 (SAFEEN-3000 AP DURING EA-5 JKT INSTALLATION)</t>
  </si>
  <si>
    <t>2820-A3-021-RevA (DLB-750 UKC at PL335-CR27)</t>
  </si>
  <si>
    <t>2820-A3-022-RevA (DLS-4200 UKC at PL335-CR27)</t>
  </si>
  <si>
    <t>2820-A1-006</t>
  </si>
  <si>
    <t>2820-A1-019</t>
  </si>
  <si>
    <t>2820-A1-020</t>
  </si>
  <si>
    <t>2820-A1-024</t>
  </si>
  <si>
    <t>2820-A1-039</t>
  </si>
  <si>
    <t>2820-A1-040</t>
  </si>
  <si>
    <t>2820-A1-041</t>
  </si>
  <si>
    <t>2820-A1-042</t>
  </si>
  <si>
    <t>2820-A1-043</t>
  </si>
  <si>
    <t>2820-A3-021</t>
  </si>
  <si>
    <t>2820-A3-022</t>
  </si>
  <si>
    <t>A</t>
  </si>
  <si>
    <t>2820-A1-044_R0 (DLS-4200 AP DURING ERP JKT INSTALLATION - SIDE LIFT)</t>
  </si>
  <si>
    <t>2820-A1-044</t>
  </si>
  <si>
    <t>2820-A1-033-1 OF 2_R1(DLB 750 AP During PL-331 START-UP @ AOI-ERP)</t>
  </si>
  <si>
    <t>2820-A1-044_R2 (DLS-4200 AP DURING ERP JKT INSTALLATION - SIDE LIFT)</t>
  </si>
  <si>
    <t>2820-A1-045-1 TO 3_R1(ANCHOR POSITIONS AT AL OMAIRAH ISLAND)</t>
  </si>
  <si>
    <t>2820-A1-047_R0(DLB 750 AP During PL-330 START-UP @ AOI-ERP)</t>
  </si>
  <si>
    <t>2820-A1-033</t>
  </si>
  <si>
    <t>2820-A1-045</t>
  </si>
  <si>
    <t>2820-A1-047</t>
  </si>
  <si>
    <t>T-560/25</t>
  </si>
  <si>
    <t>2820-A1-002_R1(DLB 750 AP PL-321) 20 inch WF PL from EA4 TO AOI_START-UP</t>
  </si>
  <si>
    <t>2820-PP-OF-055</t>
  </si>
  <si>
    <t>AD-27-G-75142</t>
  </si>
  <si>
    <t>subcontract Document</t>
  </si>
  <si>
    <t>2820-A1-043_R1(SAFEEN-3000 AP DURING EA-5 JKT INSTALLATION)</t>
  </si>
  <si>
    <t>2820-A1-051_R0(SAFEEN 3000 AP DURING AGI WHT-1 JKT INSTALLATION)</t>
  </si>
  <si>
    <t>2820-A1-051</t>
  </si>
  <si>
    <t>2820-A1-052_R0(SAFEEN-3000 SET-UP DURING EA-4 JKT INSTALLATION)</t>
  </si>
  <si>
    <t>2820-A1-053_R0(SAFEEN-3000 SET-UP DURING EA-6 JKT INSTALLATION)</t>
  </si>
  <si>
    <t>2820-A1-052</t>
  </si>
  <si>
    <t>2820-A1-053</t>
  </si>
  <si>
    <t>LOWER ZAKUM LTDP1 PACKAGE 4 - ANCHOR PATTERN FOR DLB-750 DURING PIPELAY OF PL301 - 22" WF WHT EA-1 TO WHT EA-5</t>
  </si>
  <si>
    <t>2820-AP-1001</t>
  </si>
  <si>
    <t>LOWER ZAKUM LTDP1 PACKAGE 4 - ANCHOR PATTERN FOR DLB-750 DURING PIPELAY OF PL302 - 14" WI WHT EA-5 TO WHT EA-1</t>
  </si>
  <si>
    <t>2820-AP-1002</t>
  </si>
  <si>
    <t>LOWER ZAKUM LTDP1 PACKAGE 4 - ANCHOR PATTERN FOR DLB-750 DURING PIPELAY OF PL303 - 6" GL WHT EA-5 TO WHT EA-1</t>
  </si>
  <si>
    <t>2820-AP-1003</t>
  </si>
  <si>
    <t>LOWER ZAKUM LTDP1 PACKAGE 4 - ANCHOR PATTERN FOR DLB-750 DURING PIPELAY OF PL305 - 22" WF WHT EA-5 TO WHT EA-2B</t>
  </si>
  <si>
    <t>2820-AP-1004</t>
  </si>
  <si>
    <t>LOWER ZAKUM LTDP1 PACKAGE 4 - ANCHOR PATTERN FOR DLB-750 DURING PIPELAY OF PL306 - 14" WI WHT EA-2B TO WHT EA-5</t>
  </si>
  <si>
    <t>2820-AP-1005</t>
  </si>
  <si>
    <t>LOWER ZAKUM LTDP1 PACKAGE 4 - ANCHOR PATTERN FOR DLB-750 DURING PIPELAY OF PL307  - 6" GL WHT EA-2A TO WHT EA-5</t>
  </si>
  <si>
    <t>2820-AP-1006</t>
  </si>
  <si>
    <t>LOWER ZAKUM LTDP1 PACKAGE 4 - ANCHOR PATTERN FOR DLB-750 DURING PIPELAY OF PL309 - 22" WF WHT EA-2A TO ERP AOI-ISLAND</t>
  </si>
  <si>
    <t>2820-AP-1007</t>
  </si>
  <si>
    <t>LOWER ZAKUM LTDP1 PACKAGE 4 - ANCHOR PATTERN FOR DLB-750 DURING PIPELAY OF PL310 - 14" WI  ERP AOI-ISLAND TO WHT EA-2A</t>
  </si>
  <si>
    <t>2820-AP-1008</t>
  </si>
  <si>
    <t xml:space="preserve">LOWER ZAKUM LTDP1 PACKAGE 4 - ANCHOR PATTERN FOR DLB-750 DURING PIPELAY OF PL311 - 6" GL  ERP AOI-ISLAND TO WHT EA-2A       </t>
  </si>
  <si>
    <t>2820-AP-1009</t>
  </si>
  <si>
    <t>LOWER ZAKUM LTDP1 PACKAGE 4 - ANCHOR PATTERN FOR DLB-750 DURING PIPELAY OF PL317 - 20" WF WHT EA-6 TO WHT EA-4</t>
  </si>
  <si>
    <t>2820-AP-1010</t>
  </si>
  <si>
    <t>LOWER ZAKUM LTDP1 PACKAGE 4 - ANCHOR PATTERN FOR DLB-750 DURING PIPELAY OF PL318 - 14" WI  WHT EA-4 TO WHT EA-6</t>
  </si>
  <si>
    <t>2820-AP-1011</t>
  </si>
  <si>
    <t>LOWER ZAKUM LTDP1 PACKAGE 4 - ANCHOR PATTERN FOR DLB-750 DURING PIPELAY OF PL319 - 6" GL WHT EA-4 TO WHT EA-6</t>
  </si>
  <si>
    <t>2820-AP-1012</t>
  </si>
  <si>
    <t>LOWER ZAKUM LTDP1 PACKAGE 4 - ANCHOR PATTERN FOR DLB-750 DURING PIPELAY OF PL321 - 20" WF  WHT EA-4 TO ERP AOI-ISLAND</t>
  </si>
  <si>
    <t>2820-AP-1013</t>
  </si>
  <si>
    <t>LOWER ZAKUM LTDP1 PACKAGE 4 - ANCHOR PATTERN FOR DLB-750 DURING PIPELAY OF PL322 - 14" WI ERP AOI-ISLAND TO WHT EA-4</t>
  </si>
  <si>
    <t>2820-AP-1014</t>
  </si>
  <si>
    <t>LOWER ZAKUM LTDP1 PACKAGE 4 - ANCHOR PATTERN FOR DLB-750 DURING PIPELAY OF PL323 - 6" GL ERP AOI-ISLAND TO WHT EA-4</t>
  </si>
  <si>
    <t>2820-AP-1015</t>
  </si>
  <si>
    <t>LOWER ZAKUM LTDP1 PACKAGE 4 - ANCHOR PATTERN FOR DLB-750 DURING PIPELAY OF PL325 - 36" WG ERP AOI-ISLAND TO ZWSC-RP2 - SECTION-1</t>
  </si>
  <si>
    <t>2820-AP-1016</t>
  </si>
  <si>
    <t>LOWER ZAKUM LTDP1 PACKAGE 4 - ANCHOR PATTERN FOR DLB-750 DURING PIPELAY OF PL325 - 36" WG ERP AOI-ISLAND TO ZWSC-RP2 - SECTION-2</t>
  </si>
  <si>
    <t>2820-AP-1017</t>
  </si>
  <si>
    <t>LOWER ZAKUM LTDP1 PACKAGE 4 - ANCHOR PATTERN FOR DLB-750 DURING PIPELAY OF PL326 - 18" GE ERP AOI-ISLAND TO ZWSC-RP2 - SECTION-1</t>
  </si>
  <si>
    <t>2820-AP-1018</t>
  </si>
  <si>
    <t>LOWER ZAKUM LTDP1 PACKAGE 4 - ANCHOR PATTERN FOR DLB-750 DURING PIPELAY OF PL326 - 18" GE ERP AOI-ISLAND TO ZWSC-RP2 - SECTION-2</t>
  </si>
  <si>
    <t>2820-AP-1019</t>
  </si>
  <si>
    <t>LOWER ZAKUM LTDP1 PACKAGE 4 - ANCHOR PATTERN FOR DLB-750 DURING PIPELAY OF PL329 - 30" OE  ERP AOI-ISLAND TO ZWSC-NRP - SECTION-1</t>
  </si>
  <si>
    <t>2820-AP-1020</t>
  </si>
  <si>
    <t>LOWER ZAKUM LTDP1 PACKAGE 4 - ANCHOR PATTERN FOR DLB-750 DURING PIPELAY OF PL329 - 30" OE  ERP AOI-ISLAND TO ZWSC-NRP - SECTION-2</t>
  </si>
  <si>
    <t>2820-AP-1021</t>
  </si>
  <si>
    <t>LOWER ZAKUM LTDP1 PACKAGE 4 - ANCHOR PATTERN FOR DLB-750 DURING PIPELAY OF PL330 - 18" WF AGI WHT-1 TO ERP AOI-ISLAND</t>
  </si>
  <si>
    <t>2820-AP-1022</t>
  </si>
  <si>
    <t xml:space="preserve">LOWER ZAKUM LTDP1 PACKAGE 4 - ANCHOR PATTERN FOR DLB-750 DURING PIPELAY OF PL331 - 6" GL ERP AOI-ISLAND TO AGI WHT-1 </t>
  </si>
  <si>
    <t>2820-AP-1023</t>
  </si>
  <si>
    <t>LOWER ZAKUM LTDP1 PACKAGE 4 - ANCHOR PATTERN FOR DLB-750 DURING PIPELAY OF PL334 - 6" GI  WHT ZK-182 TO ERP AOI-ISLAND</t>
  </si>
  <si>
    <t>2820-AP-1024</t>
  </si>
  <si>
    <t>LOWER ZAKUM LTDP1 PACKAGE 4 - ANCHOR PATTERN FOR DLB-750 DURING PIPELAY OF PL335 - SECTION-1 38" WF ZCSC-CRP TO ERP AOI ISLAND - SECTION-1</t>
  </si>
  <si>
    <t>2820-AP-1025</t>
  </si>
  <si>
    <t>LOWER ZAKUM LTDP1 PACKAGE 4 - ANCHOR PATTERN FOR DLB-750 DURING PIPELAY OF PL335 - SECTION-1 38" WF ZCSC-CRP TO ERP AOI ISLAND - SECTION-2</t>
  </si>
  <si>
    <t>2820-AP-1026</t>
  </si>
  <si>
    <t>LOWER ZAKUM LTDP1 PACKAGE 4 - ANCHOR PATTERN FOR DLB-750 DURING PIPELAY OF PL337 - 6" GL AGI WHT-1 TO EPS-2 WHT-2</t>
  </si>
  <si>
    <t>2820-AP-1027</t>
  </si>
  <si>
    <t>LOWER ZAKUM LTDP1 PACKAGE 4 - ANCHOR PATTERN FOR DLB-750 DURING PIPELAY OF PL338 - 6" GL EPS-2 WHT-2 TO EPS-2 WHT-3</t>
  </si>
  <si>
    <t>2820-AP-1028</t>
  </si>
  <si>
    <t>LOWER ZAKUM LTDP1 PACKAGE 4 - ANCHOR PATTERN FOR DLB-1000 DURING SPOOL INSTALLATION AT EA-1 (PL301, PL302, PL303)</t>
  </si>
  <si>
    <t>2820-AP-1201</t>
  </si>
  <si>
    <t>LOWER ZAKUM LTDP1 PACKAGE 4 - ANCHOR PATTERN FOR DLB-1000 DURING SPOOL INSTALLATION AT EA-5 (PL301, PL302, PL303)</t>
  </si>
  <si>
    <t>2820-AP-1202</t>
  </si>
  <si>
    <t>LOWER ZAKUM LTDP1 PACKAGE 4 - ANCHOR PATTERN FOR DLB-1000 DURING SPOOL INSTALLATION AT EA-5 (PL305, PL306, PL307)</t>
  </si>
  <si>
    <t>2820-AP-1203</t>
  </si>
  <si>
    <t>LOWER ZAKUM LTDP1 PACKAGE 4 - ANCHOR PATTERN FOR DLB-1000 DURING SPOOL INSTALLATION AT EA-2B (PL305, PL306, PL307)</t>
  </si>
  <si>
    <t>2820-AP-1204</t>
  </si>
  <si>
    <t>LOWER ZAKUM LTDP1 PACKAGE 4 - ANCHOR PATTERN FOR DLB-1000 DURING SPOOL INSTALLATION AT EA-2A (PL309, PL310, PL311)</t>
  </si>
  <si>
    <t>2820-AP-1205</t>
  </si>
  <si>
    <t>LOWER ZAKUM LTDP1 PACKAGE 4 - ANCHOR PATTERN FOR DLB-1000 DURING SPOOL INSTALLATION AT ERP (PL309, PL310, PL311, PL335)</t>
  </si>
  <si>
    <t>2820-AP-1206</t>
  </si>
  <si>
    <t>LOWER ZAKUM LTDP1 PACKAGE 4 - ANCHOR PATTERN FOR DLB-1000 DURING SPOOL INSTALLATION AT EA-6 (PL317, PL318, PL319)</t>
  </si>
  <si>
    <t>2820-AP-1207</t>
  </si>
  <si>
    <t>LOWER ZAKUM LTDP1 PACKAGE 4 - ANCHOR PATTERN FOR DLB-1000 DURING SPOOL INSTALLATION AT EA-4 (PL317, PL318, PL319)</t>
  </si>
  <si>
    <t>2820-AP-1208</t>
  </si>
  <si>
    <t>LOWER ZAKUM LTDP1 PACKAGE 4 - ANCHOR PATTERN FOR DLB-1000 DURING SPOOL INSTALLATION AT EA-4 (PL321, PL322, PL323)</t>
  </si>
  <si>
    <t>2820-AP-1209</t>
  </si>
  <si>
    <t>LOWER ZAKUM LTDP1 PACKAGE 4 - ANCHOR PATTERN FOR DLB-1000 DURING SPOOL INSTALLATION AT ERP (PL321, PL322, PL323)</t>
  </si>
  <si>
    <t>2820-AP-1210</t>
  </si>
  <si>
    <t>LOWER ZAKUM LTDP1 PACKAGE 4 - ANCHOR PATTERN FOR DLB-1000 DURING SPOOL INSTALLATION AT ERP (PL325, PL326, PL329, PL330, PL331)</t>
  </si>
  <si>
    <t>2820-AP-1211</t>
  </si>
  <si>
    <t>LOWER ZAKUM LTDP1 PACKAGE 4 - ANCHOR PATTERN FOR DLB-1000 DURING RISER AND SPOOL INSTALLATION AT ZWSC-RP-2 (PL325, PL326)</t>
  </si>
  <si>
    <t>2820-AP-1212</t>
  </si>
  <si>
    <t>LOWER ZAKUM LTDP1 PACKAGE 4 - ANCHOR PATTERN FOR DLB-1000 DURING RISER AND SPOOL INSTALLATION AT ZWSC-NRP (PL329)</t>
  </si>
  <si>
    <t>2820-AP-1213</t>
  </si>
  <si>
    <t>LOWER ZAKUM LTDP1 PACKAGE 4 - ANCHOR PATTERN FOR DLB-1000 DURING SPOOL INSTALLATION AT AGI WHT-1 (PL330, PL331)</t>
  </si>
  <si>
    <t>2820-AP-1214</t>
  </si>
  <si>
    <t>LOWER ZAKUM LTDP1 PACKAGE 4 - ANCHOR PATTERN FOR DLB-1000 DURING SPOOL INSTALLATION AT ERP (PL334)</t>
  </si>
  <si>
    <t>2820-AP-1215</t>
  </si>
  <si>
    <t>LOWER ZAKUM LTDP1 PACKAGE 4 - ANCHOR PATTERN FOR DLB-1000 DURING RISER AND SPOOL INSTALLATION AT ZK-182 (PL334)</t>
  </si>
  <si>
    <t>2820-AP-1216</t>
  </si>
  <si>
    <t>LOWER ZAKUM LTDP1 PACKAGE 4 - ANCHOR PATTERN FOR DLB-1000 DURING RISER AND SPOOL INSTALLATION AT ZCSC-CRP (PL335)</t>
  </si>
  <si>
    <t>2820-AP-1217</t>
  </si>
  <si>
    <t>LOWER ZAKUM LTDP1 PACKAGE 4 - ANCHOR PATTERN FOR DLB-1000 DURING SPOOL INSTALLATION AT AGI-WHT-1 (PL337)</t>
  </si>
  <si>
    <t>2820-AP-1218</t>
  </si>
  <si>
    <t>LOWER ZAKUM LTDP1 PACKAGE 4 - ANCHOR PATTERN FOR DLB-1000 DURING RISER AND SPOOL INSTALLATION AT EPS-2 WHT-2 (PL337, PL338)</t>
  </si>
  <si>
    <t>2820-AP-1219</t>
  </si>
  <si>
    <t>LOWER ZAKUM LTDP1 PACKAGE 4 - ANCHOR PATTERN FOR DLB-1000 DURING RISER AND SPOOL INSTALLATION AT EPS-2 WHT-3 (PL338)</t>
  </si>
  <si>
    <t>2820-AP-1220</t>
  </si>
  <si>
    <t>LOWER ZAKUM LTDP1 PACKAGE 4 - ANCHOR PATTERN FOR DLB-1000 DURING MID TI-IN INSTALLATION FOR PL325</t>
  </si>
  <si>
    <t>2820-AP-1221</t>
  </si>
  <si>
    <t>LOWER ZAKUM LTDP1 PACKAGE 4 - ANCHOR PATTERN FOR DLB-1000 DURING MID TI-IN INSTALLATION FOR PL326</t>
  </si>
  <si>
    <t>2820-AP-1222</t>
  </si>
  <si>
    <t>LOWER ZAKUM LTDP1 PACKAGE 4 - ANCHOR PATTERN FOR DLB-1000 DURING MID TI-IN INSTALLATION FOR PL329</t>
  </si>
  <si>
    <t>2820-AP-1223</t>
  </si>
  <si>
    <t>LOWER ZAKUM LTDP1 PACKAGE 4 - ANCHOR PATTERN FOR DLB-1000 DURING MID TI-IN INSTALLATION FOR PL335</t>
  </si>
  <si>
    <t>2820-AP-1224</t>
  </si>
  <si>
    <t>LOWER ZAKUM LTDP1 PACKAGE 4 - SET UP PLAN FOR SAFEEN-3000 DURING JACKET INSTALLATION AT AGI WHT-1</t>
  </si>
  <si>
    <t>2820-AP-1501</t>
  </si>
  <si>
    <t>LOWER ZAKUM LTDP1 PACKAGE 4 - SET UP PLAN FOR SAFEEN-3000 DURING JACKET INSTALLATION AT WHT EA-4</t>
  </si>
  <si>
    <t>2820-AP-1502</t>
  </si>
  <si>
    <t>LOWER ZAKUM LTDP1 PACKAGE 4 - SET UP PLAN FOR SAFEEN-3000 DURING JACKET INSTALLATION AT WHT EA-5</t>
  </si>
  <si>
    <t>2820-AP-1503</t>
  </si>
  <si>
    <t>LOWER ZAKUM LTDP1 PACKAGE 4 - SET UP PLAN FOR SAFEEN-3000 DURING JACKET INSTALLATION AT WHT EA-6</t>
  </si>
  <si>
    <t>2820-AP-1504</t>
  </si>
  <si>
    <t>LOWER ZAKUM LTDP1 PACKAGE 4 - SET UP PLAN FOR SAFEEN-3000 DURING JACKET INSTALLATION AT ERP AOI ISLAND</t>
  </si>
  <si>
    <t>2820-AP-1505</t>
  </si>
  <si>
    <t>LOWER ZAKUM LTDP1 PACKAGE 4 - ANCHOR PATTERN FOR DLB-1000 DURING JACKET INSTALLATION AT WHT EA-1</t>
  </si>
  <si>
    <t>2820-AP-1506</t>
  </si>
  <si>
    <t>LOWER ZAKUM LTDP1 PACKAGE 4 - ANCHOR PATTERN FOR DLB-1000 DURING JACKET INSTALLATION AT WHT EA-2A</t>
  </si>
  <si>
    <t>2820-AP-1507</t>
  </si>
  <si>
    <t>LOWER ZAKUM LTDP1 PACKAGE 4 - ANCHOR PATTERN FOR DLB-1000 DURING JACKET INSTALLATION AT WHT EA-2B</t>
  </si>
  <si>
    <t>2820-AP-1508</t>
  </si>
  <si>
    <t>LOWER ZAKUM LTDP1 PACKAGE 4 - ANCHOR PATTERN FOR DLB-1000 DURING JACKET INSTALLATION AT BST-1</t>
  </si>
  <si>
    <t>2820-AP-1509</t>
  </si>
  <si>
    <t>LOWER ZAKUM LTDP1 PACKAGE 4 - ANCHOR PATTERN FOR DLB-1000 DURING JACKET INSTALLATION AT BST-2</t>
  </si>
  <si>
    <t>2820-AP-1510</t>
  </si>
  <si>
    <t>LOWER ZAKUM LTDP1 PACKAGE 4 - ANCHOR PATTERN FOR DLB-1000 DURING JACKET INSTALLATION AT BST-3</t>
  </si>
  <si>
    <t>2820-AP-1511</t>
  </si>
  <si>
    <t>LOWER ZAKUM LTDP1 PACKAGE 4 - ANCHOR PATTERN FOR DLB-1000 DURING JACKET INSTALLATION AT BST-4</t>
  </si>
  <si>
    <t>2820-AP-1512</t>
  </si>
  <si>
    <t>LOWER ZAKUM LTDP1 PACKAGE 4 - ANCHOR PATTERN FOR DLB-1000 DURING JACKET INSTALLATION AT FST-1</t>
  </si>
  <si>
    <t>2820-AP-1513</t>
  </si>
  <si>
    <t>LOWER ZAKUM LTDP1 PACKAGE 4 - ANCHOR PATTERN FOR DLB-1000 DURING JACKET INSTALLATION AT FST-2</t>
  </si>
  <si>
    <t>2820-AP-1514</t>
  </si>
  <si>
    <t>LOWER ZAKUM LTDP1 PACKAGE 4 - SET UP PLAN FOR DLS-4200 DURING DECK INSTALLATION AT AGI WHT-1</t>
  </si>
  <si>
    <t>2820-AP-1515</t>
  </si>
  <si>
    <t>LOWER ZAKUM LTDP1 PACKAGE 4 - SET UP PLAN FOR DLS-4200 DURING DECK INSTALLATION AT WHT EA-4</t>
  </si>
  <si>
    <t>2820-AP-1516</t>
  </si>
  <si>
    <t>LOWER ZAKUM LTDP1 PACKAGE 4 - SET UP PLAN FOR DLS-4200 DURING DECK INSTALLATION AT WHT EA-5</t>
  </si>
  <si>
    <t>2820-AP-1517</t>
  </si>
  <si>
    <t>LOWER ZAKUM LTDP1 PACKAGE 4 - SET UP PLAN FOR DLS-4200 DURING DECK INSTALLATION AT WHT EA-6</t>
  </si>
  <si>
    <t>2820-AP-1518</t>
  </si>
  <si>
    <t>LOWER ZAKUM LTDP1 PACKAGE 4 - SET UP PLAN FOR DLS-4200 DURING DECK INSTALLATION AT ERP AOI ISLAND</t>
  </si>
  <si>
    <t>2820-AP-1519</t>
  </si>
  <si>
    <t>LOWER ZAKUM LTDP1 PACKAGE 4 - SET UP PLAN FOR DLS-4200 DURING MODULE INSTALLATION AT ZWSC-RP-2</t>
  </si>
  <si>
    <t>2820-AP-1520</t>
  </si>
  <si>
    <t>LOWER ZAKUM LTDP1 PACKAGE 4 - ANCHOR PATTERN FOR SHEERLEG BARGE DURING DECK INSTALLATION AT WHT EA-1</t>
  </si>
  <si>
    <t>2820-AP-1521</t>
  </si>
  <si>
    <t>LOWER ZAKUM LTDP1 PACKAGE 4 - ANCHOR PATTERN FOR SHEERLEG BARGE DURING DECK INSTALLATION AT WHT EA-2A</t>
  </si>
  <si>
    <t>2820-AP-1522</t>
  </si>
  <si>
    <t>LOWER ZAKUM LTDP1 PACKAGE 4 - ANCHOR PATTERN FOR SHEERLEG BARGE DURING DECK INSTALLATION AT WHT EA-2B</t>
  </si>
  <si>
    <t>2820-AP-1523</t>
  </si>
  <si>
    <t>LOWER ZAKUM LTDP1 PACKAGE 4 - SET UP PLAN FOR SAFEEN-3000 DURING DECK INSTALLATION AT BST-1</t>
  </si>
  <si>
    <t>2820-AP-1524</t>
  </si>
  <si>
    <t>LOWER ZAKUM LTDP1 PACKAGE 4 - SET UP PLAN FOR SAFEEN-3000 DURING DECK INSTALLATION AT BST-2</t>
  </si>
  <si>
    <t>2820-AP-1525</t>
  </si>
  <si>
    <t>LOWER ZAKUM LTDP1 PACKAGE 4 - SET UP PLAN FOR SAFEEN-3000 DURING DECK INSTALLATION AT BST-3</t>
  </si>
  <si>
    <t>2820-AP-1526</t>
  </si>
  <si>
    <t>LOWER ZAKUM LTDP1 PACKAGE 4 - SET UP PLAN FOR SAFEEN-3000 DURING DECK INSTALLATION AT BST-4</t>
  </si>
  <si>
    <t>2820-AP-1527</t>
  </si>
  <si>
    <t>LOWER ZAKUM LTDP1 PACKAGE 4 - SET UP PLAN FOR SAFEEN-3000 DURING DECK INSTALLATION AT FST-1</t>
  </si>
  <si>
    <t>2820-AP-1528</t>
  </si>
  <si>
    <t>LOWER ZAKUM LTDP1 PACKAGE 4 - SET UP PLAN FOR SAFEEN-3000 DURING DECK INSTALLATION AT FST-2</t>
  </si>
  <si>
    <t>2820-AP-1529</t>
  </si>
  <si>
    <t>LOWER ZAKUM LTDP1 PACKAGE 4 - SET UP PLAN FOR DLS-4200 DURING RB-01 BRIDGE INSTALLATION AT ERP AOI ISLAND</t>
  </si>
  <si>
    <t>2820-AP-1530</t>
  </si>
  <si>
    <t>LOWER ZAKUM LTDP1 PACKAGE 4 - SET UP PLAN FOR DLS-4200 DURING RB-02 BRIDGE INSTALLATION AT ERP AOI ISLAND</t>
  </si>
  <si>
    <t>2820-AP-1531</t>
  </si>
  <si>
    <t>LOWER ZAKUM LTDP1 PACKAGE 4 - ANCHOR PATTERN FOR SHEERLEG BARGE DURING BRIDGE INSTALLATION AT WHT EA-2A EA-2B</t>
  </si>
  <si>
    <t>2820-AP-1532</t>
  </si>
  <si>
    <t>LOWER ZAKUM LTDP1 PACKAGE 4 - SET UP PLAN FOR SAFEEN-3000 DURING FB-01 BRIDGE INSTALLATION AT BST-4-AOI ISLAND</t>
  </si>
  <si>
    <t>2820-AP-1533</t>
  </si>
  <si>
    <t>LOWER ZAKUM LTDP1 PACKAGE 4 - SET UP PLAN FOR SAFEEN-3000 DURING FB-02 BRIDGE INSTALLATION AT BST-2 -BST-4</t>
  </si>
  <si>
    <t>2820-AP-1534</t>
  </si>
  <si>
    <t>LOWER ZAKUM LTDP1 PACKAGE 4 - SET UP PLAN FOR SAFEEN-3000 DURING FB-03 BRIDGE INSTALLATION AT BST-2 -FST-1</t>
  </si>
  <si>
    <t>2820-AP-1535</t>
  </si>
  <si>
    <t>LOWER ZAKUM LTDP1 PACKAGE 4 - SET UP PLAN FOR SAFEEN-3000 DURING FB-04 BRIDGE INSTALLATION AT BST-2 -FST-2</t>
  </si>
  <si>
    <t>2820-AP-1536</t>
  </si>
  <si>
    <t>LOWER ZAKUM LTDP1 PACKAGE 4 - SET-UP PLAN FOR UMM SHAIF DURING CABLE LAY OF CL-304 11KV ZK-50 TO AGI WHT-1</t>
  </si>
  <si>
    <t>2820-AP-1701</t>
  </si>
  <si>
    <t>LOWER ZAKUM LTDP1 PACKAGE 4 - SET-UP PLAN FOR UMM SHAIF DURING CABLE LAY OF CL-305 11KV AGI WHT-1 TO ZK-44</t>
  </si>
  <si>
    <t>2820-AP-1702</t>
  </si>
  <si>
    <t>LOWER ZAKUM LTDP1 PACKAGE 4 - SET-UP PLAN FOR UMM SHAIF DURING CABLE LAY OF CL-306 11KV ZK-24 TO WHT EA-4</t>
  </si>
  <si>
    <t>2820-AP-1703</t>
  </si>
  <si>
    <t>LOWER ZAKUM LTDP1 PACKAGE 4 - SET-UP PLAN FOR UMM SHAIF DURING CABLE LAY OF CL-307 11KV WHT EA-4 TO WHT EA-6</t>
  </si>
  <si>
    <t>2820-AP-1704</t>
  </si>
  <si>
    <t>LOWER ZAKUM LTDP1 PACKAGE 4 - SET-UP PLAN FOR UMM SHAIF DURING CABLE LAY OF CL-308 11KV WHT EA-6 TO ZK26A</t>
  </si>
  <si>
    <t>2820-AP-1705</t>
  </si>
  <si>
    <t>LOWER ZAKUM LTDP1 PACKAGE 4 - ANCHOR PATTERN FOR UMM SHAIF DURING CABLE LAY OF CL-309 11KV ZK-62 TO WHT EA-5</t>
  </si>
  <si>
    <t>2820-AP-1706</t>
  </si>
  <si>
    <t>LOWER ZAKUM LTDP1 PACKAGE 4 - ANCHOR PATTERN FOR UMM SHAIF DURING CABLE LAY OF CL-311 11KV WHT EA-5 TO WHT EA-1</t>
  </si>
  <si>
    <t>2820-AP-1707</t>
  </si>
  <si>
    <t>LOWER ZAKUM LTDP1 PACKAGE 4 - ANCHOR PATTERN FOR UMM SHAIF DURING CABLE LAY OF CL-312 11KV WHT EA-1 TO WHT EA-2B</t>
  </si>
  <si>
    <t>2820-AP-1708</t>
  </si>
  <si>
    <t>LOWER ZAKUM LTDP1 PACKAGE 4 - ANCHOR PATTERN FOR UMM SHAIF DURING CABLE LAY OF CL-313 11KV WHT EA-2B TO ZK-33</t>
  </si>
  <si>
    <t>2820-AP-1709</t>
  </si>
  <si>
    <t>LOWER ZAKUM LTDP1 PACKAGE 4 - ANCHOR PATTERN FOR UMM SHAIF DURING CABLE LAY OF CL-3021 132KV AGI ISLAND TO ERP AOI ISLAND</t>
  </si>
  <si>
    <t>2820-AP-1710</t>
  </si>
  <si>
    <t>LOWER ZAKUM LTDP1 PACKAGE 4 - ANCHOR PATTERN FOR UMM SHAIF DURING CABLE LAY OF CL-3022 132KV AGI ISLAND TO ERP AOI ISLAND</t>
  </si>
  <si>
    <t>2820-AP-1711</t>
  </si>
  <si>
    <t>LOWER ZAKUM LTDP1 PACKAGE 4 - ANCHOR PATTERN FOR UMM SHAIF DURING CABLE LAY OF CL-3033 132KV ERP AOI ISLAND TO ZCSC PDP</t>
  </si>
  <si>
    <t>2820-AP-1712</t>
  </si>
  <si>
    <t>2820-AP-1801</t>
  </si>
  <si>
    <t>2820-AP-2001</t>
  </si>
  <si>
    <t>WORK BOATS NEW DRAWINGS</t>
  </si>
  <si>
    <t>JACKUP BARGES NEW DRAWWINGS</t>
  </si>
  <si>
    <r>
      <t xml:space="preserve">NMDC PROJECT NO. </t>
    </r>
    <r>
      <rPr>
        <b/>
        <sz val="11"/>
        <color rgb="FFFF0000"/>
        <rFont val="Tahoma"/>
        <family val="2"/>
      </rPr>
      <t>2820</t>
    </r>
    <r>
      <rPr>
        <b/>
        <sz val="11"/>
        <rFont val="Tahoma"/>
        <family val="2"/>
      </rPr>
      <t xml:space="preserve">
EPC FOR LOWER ZAKUM LTDP PHASE-1 (LZ LTDP-1)PACKAGE-4 OFFSHORE FACILITIES</t>
    </r>
  </si>
  <si>
    <t>EPC FOR LOWER ZAKUM LTDP PHASE-1 (LZ LTDP-1)PACKAGE-4 OFFSHORE FACILITIES</t>
  </si>
  <si>
    <t>COMPANY DRAWING NUMBER</t>
  </si>
  <si>
    <t>AD-3022-Z-000026-SHT-001</t>
  </si>
  <si>
    <t>AD-3023-Z-000103-SHT-001</t>
  </si>
  <si>
    <t>AD-3023-Z-000104-SHT-001</t>
  </si>
  <si>
    <t>AD-3023-Z-000105-SHT-001</t>
  </si>
  <si>
    <t>AD-27-Z-000126-SHT-001</t>
  </si>
  <si>
    <t>AD-27-Z-000127-SHT-001</t>
  </si>
  <si>
    <t>AD-27-Z-000128-SHT-001</t>
  </si>
  <si>
    <t>AD-27-Z-000129-SHT-001</t>
  </si>
  <si>
    <t>AD-27-Z-000130-SHT-001</t>
  </si>
  <si>
    <t>AD-27-Z-000131-SHT-001</t>
  </si>
  <si>
    <t>AD-27-Z-000132-SHT-001</t>
  </si>
  <si>
    <t>AD-27-Z-000133-SHT-001</t>
  </si>
  <si>
    <t>AD-27-Z-000134-SHT-001</t>
  </si>
  <si>
    <t>AD-27-Z-000135-SHT-001</t>
  </si>
  <si>
    <t>AD-27-Z-000136-SHT-001</t>
  </si>
  <si>
    <t>AD-27-Z-000137-SHT-001</t>
  </si>
  <si>
    <t>AD-27-Z-000138-SHT-001</t>
  </si>
  <si>
    <t>AD-27-Z-000139-SHT-001</t>
  </si>
  <si>
    <t>AD-27-Z-000140-SHT-001</t>
  </si>
  <si>
    <t>AD-27-Z-000141-SHT-001</t>
  </si>
  <si>
    <t>AD-27-Z-000142-SHT-001</t>
  </si>
  <si>
    <t>AD-27-Z-000143-SHT-001</t>
  </si>
  <si>
    <t>AD-27-Z-000144-SHT-001</t>
  </si>
  <si>
    <t>AD-27-Z-000145-SHT-001</t>
  </si>
  <si>
    <t>AD-27-Z-000146-SHT-001</t>
  </si>
  <si>
    <t>AD-27-Z-000147-SHT-001</t>
  </si>
  <si>
    <t>AD-27-Z-000148-SHT-001</t>
  </si>
  <si>
    <t>AD-27-Z-000149-SHT-001</t>
  </si>
  <si>
    <t>AD-27-Z-000150-SHT-001</t>
  </si>
  <si>
    <t>AD-27-Z-000151-SHT-001</t>
  </si>
  <si>
    <t>AD-27-Z-000152-SHT-001</t>
  </si>
  <si>
    <t>AD-27-Z-000153-SHT-001</t>
  </si>
  <si>
    <t>AD-817-Z-000018-SHT-001</t>
  </si>
  <si>
    <t>AD-821-Z-000018-SHT-001</t>
  </si>
  <si>
    <t>AD-821-Z-000019-SHT-001</t>
  </si>
  <si>
    <t>AD-874-Z-000019-SHT-001</t>
  </si>
  <si>
    <t>AD-818-Z-000018-SHT-001</t>
  </si>
  <si>
    <t>AD-3022-Z-000030-SHT-001</t>
  </si>
  <si>
    <t>AD-822-Z-000018-SHT-001</t>
  </si>
  <si>
    <t>AD-820-Z-000018-SHT-001</t>
  </si>
  <si>
    <t>AD-820-Z-000019-SHT-001</t>
  </si>
  <si>
    <t>AD-3022-Z-000031-SHT-001</t>
  </si>
  <si>
    <t>AD-3022-Z-000032-SHT-001</t>
  </si>
  <si>
    <t>AD-812-Z-000010-SHT-001</t>
  </si>
  <si>
    <t>AD-417-Z-000005-SHT-001</t>
  </si>
  <si>
    <t>AD-811-Z-000018-SHT-001</t>
  </si>
  <si>
    <t>AD-3022-Z-000033-SHT-001</t>
  </si>
  <si>
    <t>AD-324-Z-000009-SHT-001</t>
  </si>
  <si>
    <t>AD-496-Z-000029-SHT-001</t>
  </si>
  <si>
    <t>AD-811-Z-000019-SHT-001</t>
  </si>
  <si>
    <t>AD-848-Z-000011-SHT-001</t>
  </si>
  <si>
    <t>AD-849-Z-000011-SHT-001</t>
  </si>
  <si>
    <t>AD-27-Z-000154-SHT-001</t>
  </si>
  <si>
    <t>AD-27-Z-000155-SHT-001</t>
  </si>
  <si>
    <t>AD-27-Z-000156-SHT-001</t>
  </si>
  <si>
    <t>AD-27-Z-000157-SHT-001</t>
  </si>
  <si>
    <t>AD-811-Z-000016-SHT-001</t>
  </si>
  <si>
    <t>AD-820-Z-000016-SHT-001</t>
  </si>
  <si>
    <t>AD-821-Z-000016-SHT-001</t>
  </si>
  <si>
    <t>AD-822-Z-000016-SHT-001</t>
  </si>
  <si>
    <t>AD-817-Z-000016-SHT-001</t>
  </si>
  <si>
    <t>AD-818-Z-000016-SHT-001</t>
  </si>
  <si>
    <t>AD-874-Z-000016-SHT-001</t>
  </si>
  <si>
    <t>AD-3023-Z-000106-SHT-001</t>
  </si>
  <si>
    <t>AD-3023-Z-000107-SHT-001</t>
  </si>
  <si>
    <t>AD-3023-Z-000108-SHT-001</t>
  </si>
  <si>
    <t>AD-811-Z-000017-SHT-001</t>
  </si>
  <si>
    <t>AD-820-Z-000017-SHT-001</t>
  </si>
  <si>
    <t>AD-821-Z-000017-SHT-001</t>
  </si>
  <si>
    <t>AD-822-Z-000017-SHT-001</t>
  </si>
  <si>
    <t>AD-3022-Z-000027-SHT-001</t>
  </si>
  <si>
    <t>AD-812-Z-000009-SHT-001</t>
  </si>
  <si>
    <t>AD-817-Z-000017-SHT-001</t>
  </si>
  <si>
    <t>AD-818-Z-000017-SHT-001</t>
  </si>
  <si>
    <t>AD-874-Z-000017-SHT-001</t>
  </si>
  <si>
    <t>AD-3023-Z-000109-SHT-001</t>
  </si>
  <si>
    <t>AD-3023-Z-000110-SHT-001</t>
  </si>
  <si>
    <t>AD-3023-Z-000111-SHT-001</t>
  </si>
  <si>
    <t>AD-3023-Z-000112-SHT-001</t>
  </si>
  <si>
    <t>AD-3023-Z-000113-SHT-001</t>
  </si>
  <si>
    <t>AD-3023-Z-000114-SHT-001</t>
  </si>
  <si>
    <t>AD-3022-Z-000028-SHT-001</t>
  </si>
  <si>
    <t>AD-3022-Z-000029-SHT-001</t>
  </si>
  <si>
    <t>AD-874-Z-000018-SHT-001</t>
  </si>
  <si>
    <t>AD-3023-Z-000115-SHT-001</t>
  </si>
  <si>
    <t>AD-3023-Z-000116-SHT-001</t>
  </si>
  <si>
    <t>AD-3023-Z-000117-SHT-001</t>
  </si>
  <si>
    <t>AD-3023-Z-000118-SHT-001</t>
  </si>
  <si>
    <t>AD-27-Z-000158-SHT-001</t>
  </si>
  <si>
    <t>AD-27-Z-000159-SHT-001</t>
  </si>
  <si>
    <t>AD-27-Z-000161-SHT-001</t>
  </si>
  <si>
    <t>AD-27-Z-000162-SHT-001</t>
  </si>
  <si>
    <t>AD-27-Z-000163-SHT-001</t>
  </si>
  <si>
    <t>AD-27-Z-000164-SHT-001</t>
  </si>
  <si>
    <t>AD-27-Z-000165-SHT-001</t>
  </si>
  <si>
    <t>AD-27-Z-000166-SHT-001</t>
  </si>
  <si>
    <t>AD-27-Z-000167-SHT-001</t>
  </si>
  <si>
    <t>AD-27-Z-000168-SHT-001</t>
  </si>
  <si>
    <t>AD-27-Z-000169-SHT-001</t>
  </si>
  <si>
    <t>AD-27-Z-000160-SHT-001</t>
  </si>
  <si>
    <t>T-142/26</t>
  </si>
  <si>
    <t>T-550/25</t>
  </si>
  <si>
    <t>1</t>
  </si>
  <si>
    <t>T-115/26</t>
  </si>
  <si>
    <t>T-239/26</t>
  </si>
  <si>
    <t>2820-NMDC-E-AO-PMT-T-00794</t>
  </si>
  <si>
    <t>LOWER ZAKUM LTDP-1 – SUBSEA FLANGE MANAGEMENT PROCEDURE</t>
  </si>
  <si>
    <t>LOWER ZAKUM LDTP1 PACKAGE 4 - FREE SPANS CORRECTION &amp; GROUT BAG INSTALLATION PROCEURE</t>
  </si>
  <si>
    <t>LOWER ZAKUM LDTP1 PACKAGE 4 - SLEEPERS/MATTRESS/BLOCKS INSTALLATION PROCEDURES</t>
  </si>
  <si>
    <t>LOWER ZAKUM LDTP1 PACKAGE 4 - PIPELINES INSTALLATION MANUAL</t>
  </si>
  <si>
    <t>LOWER ZAKUM LDTP1 PACKAGE 4 - 11 KV COMPOSITE CABLE INSTALLATION PROCEDURE</t>
  </si>
  <si>
    <t>LOWER ZAKUM LDTP1 PACKAGE 4 - FLANGED RISER INSTALLATION PROCEDURE</t>
  </si>
  <si>
    <t>LOWER ZAKUM LDTP1 PACKAGE 4 - TOPSIDE INSTALLATION PROCEDURE FOR WELL HEAD PLATFORM</t>
  </si>
  <si>
    <t>LOWER ZAKUM LDTP1 PACKAGE 4 - BRIDGE, FLARE STACK MSF, FLARE TOWERS AND BRIDGE SUPPORT TOWER INSTALLATION PROCEDURE</t>
  </si>
  <si>
    <t>LOWER ZAKUM LDTP1 PACKAGE 4 - PIPELINE PRECOMMISSIONING PROCEDURE - FLOODING, CLEANING, GAUGING AND HYDROTESTING PROCEDURE</t>
  </si>
  <si>
    <t>LOWER ZAKUM LDTP1 PACKAGE 4 - PIPELINE PRECOMMISSIONING PROCEDURE - PIPELINE CALIPER AND INTELLIGENT PROCEDURE</t>
  </si>
  <si>
    <t>LOWER ZAKUM LDTP1 PACKAGE 4 - PIPELINE PRECOMMISSIONING PROCEDURE - DEWATERING, DRYING AND NITROGEN PURGING PROCEDURE</t>
  </si>
  <si>
    <t>LOWER ZAKUM LDTP1 PACKAGE 4 - ANCHOR HANDLING AND MOORING PROCEDURE FOR FLOATING BARGES</t>
  </si>
  <si>
    <t>LOWER ZAKUM LDTP1 PACKAGE 4 - ANCHOR HANDLING AND MOORING PROCEDURE FOR JACKUP BARGES</t>
  </si>
  <si>
    <t>LOWER ZAKUM LDTP1 PACKAGE 4 - ANCHOR HANDLING PROCEDURE BY HAMMER HEAD CRANE VESSEL</t>
  </si>
  <si>
    <t>LOWER ZAKUM LDTP1 PACKAGE 4 - 132 KV COMPOSITE CABLE INSTALLATION PROCEDURE</t>
  </si>
  <si>
    <t>LOWER ZAKUM LDTP1 PACKAGE 4 - J-TUBE INSTALLATION PROCEDURE</t>
  </si>
  <si>
    <t>LOWER ZAKUM LDTP1 PACKAGE 4 - MIDLINE TIE-IN INSTALLATION PROCEDURE</t>
  </si>
  <si>
    <t>LOWER ZAKUM LDTP1 PACKAGE 4 - SUBSEA SPOOL INSTALLATION PROCEDURE</t>
  </si>
  <si>
    <t>LOWER ZAKUM LDTP1 PACKAGE 4 - TOPSIDE AND BRIDGE INSTALLATION PROCEDURE FOR EAST RISER PLATFORM (ERP)</t>
  </si>
  <si>
    <t>LOWER ZAKUM LDTP1 PACKAGE 4 - JACKET INSTALLATION PROCEDURE FOR EAST RISER PLATFORM</t>
  </si>
  <si>
    <t>T-241/26</t>
  </si>
  <si>
    <t>T-244/26</t>
  </si>
  <si>
    <t>2820-NMDC-E-AO-PMT-T-00800</t>
  </si>
  <si>
    <t>2820-NMDC-E-PMT-MWS-T-00003</t>
  </si>
  <si>
    <t>2820-NMDC-E-PMT-MWS-T-00004</t>
  </si>
  <si>
    <t>2820-A1-056_R0(DLS-4200 AP During RB-02 Bridge Installaion @ AOI-ERP)</t>
  </si>
  <si>
    <t>2820-A1-057_R0(DLS-4200 AP During RB-01 Bridge Installaion @ AOI-ERP)</t>
  </si>
  <si>
    <t>2820-A1-056</t>
  </si>
  <si>
    <t>2820-A1-057</t>
  </si>
  <si>
    <t>OFFSHORE INST PLAN</t>
  </si>
  <si>
    <t xml:space="preserve">OFFSHORE INST PLAN </t>
  </si>
  <si>
    <r>
      <t xml:space="preserve">LOWER ZAKUM LDTP1 PACKAGE 4 - JACKET INSTALLATION PROCEDURE </t>
    </r>
    <r>
      <rPr>
        <strike/>
        <sz val="10"/>
        <color rgb="FFFF0000"/>
        <rFont val="Tahoma"/>
        <family val="2"/>
      </rPr>
      <t>FOR WHT, BST AND FST</t>
    </r>
  </si>
  <si>
    <t>2820-NMDC-E-AO-PMT-T-00803</t>
  </si>
  <si>
    <t>2820-NMDC-E-PMT-MWS-T-00006</t>
  </si>
  <si>
    <t>T-247/26</t>
  </si>
  <si>
    <t>2820-NMDC-E-AO-PMT-T-00804</t>
  </si>
  <si>
    <t>2820-NMDC-E-PMT-MWS-T-00007</t>
  </si>
  <si>
    <t>T-168/26</t>
  </si>
  <si>
    <t>SAF234-MCE-NMDC-T-0002</t>
  </si>
  <si>
    <t xml:space="preserve">1. Approved </t>
  </si>
  <si>
    <t>T-277/26</t>
  </si>
  <si>
    <t>2820-AP-1022-1 TO 4_R1(DLB 750 AP during pipelaying of 18 inch WF PL330)</t>
  </si>
  <si>
    <t>SAF234-MCE-NMDC-T-0004</t>
  </si>
  <si>
    <r>
      <t xml:space="preserve">LOWER ZAKUM LDTP1 PACKAGE 4 - J-TUBE AND </t>
    </r>
    <r>
      <rPr>
        <sz val="10"/>
        <color rgb="FFFF0000"/>
        <rFont val="Tahoma"/>
        <family val="2"/>
      </rPr>
      <t>ASSOCIATED</t>
    </r>
    <r>
      <rPr>
        <sz val="10"/>
        <color theme="1"/>
        <rFont val="Tahoma"/>
        <family val="2"/>
      </rPr>
      <t xml:space="preserve"> CLAMPS INSTALLATION PROCEDURE</t>
    </r>
  </si>
  <si>
    <r>
      <t xml:space="preserve">LOWER ZAKUM LDTP1 PACKAGE 4 - RISERS </t>
    </r>
    <r>
      <rPr>
        <sz val="10"/>
        <color rgb="FFFF0000"/>
        <rFont val="Tahoma"/>
        <family val="2"/>
      </rPr>
      <t>(STALK-ON)</t>
    </r>
    <r>
      <rPr>
        <sz val="10"/>
        <color theme="1"/>
        <rFont val="Tahoma"/>
        <family val="2"/>
      </rPr>
      <t xml:space="preserve"> AND TIE IN SPOOL INSTALLATION PROCEDURE</t>
    </r>
  </si>
  <si>
    <t xml:space="preserve">LOWER ZAKUM LDTP1 PACKAGE 4 - SUBSEA DIVE SURVEY PROCEDURE BY WORKBOAT </t>
  </si>
  <si>
    <t>2820-AP-1013-1 TO 4_R1(DLB 750 AP during pipelaying of 20 inch WF PL321)</t>
  </si>
  <si>
    <t>2820-AP-1010-1 TO 2_R1(DLB 750 AP during pipelaying of 20 inch WF PL317)</t>
  </si>
  <si>
    <t>T-309/26</t>
  </si>
  <si>
    <t>PMT D</t>
  </si>
  <si>
    <t>2820-NMDC-E-AO-PMT-T-00936</t>
  </si>
  <si>
    <t>2820-NMDC-E-PMT-MWS-T-00022</t>
  </si>
  <si>
    <t>T-325/26</t>
  </si>
  <si>
    <t>2820-NMDC-E-AO-PMT-T-00949</t>
  </si>
  <si>
    <t>LZ-LTDP-1-10222-PKG4-TN-06089</t>
  </si>
  <si>
    <t>2 - Approved with Comments</t>
  </si>
  <si>
    <t>2820-NMDC-E-PMT-MWS-T-00026</t>
  </si>
  <si>
    <t>LZ-LTDP-1-10222-PKG4-TN-05833</t>
  </si>
  <si>
    <t>LZ-LTDP-1-10222-PKG4-TN-06154</t>
  </si>
  <si>
    <t>2820-PP-OF-065</t>
  </si>
  <si>
    <t>METHOD STATEMENT FOR INSTALLATION OF ANCHOR FRAMES AT THE AL OMAIRAH ISLAND (AOI)</t>
  </si>
  <si>
    <t>PMT CONSTRUCTION TEAM</t>
  </si>
  <si>
    <t>T-344/26</t>
  </si>
  <si>
    <t>2820-NMDC-E-AO-PMT-T-00987</t>
  </si>
  <si>
    <t>2820-NMDC-E-PMT-MWS-T-00033</t>
  </si>
  <si>
    <t>LZ-LTDP-1-10222-PKG4-TN-06248</t>
  </si>
  <si>
    <t>1 - Approved</t>
  </si>
  <si>
    <t>T-353/26</t>
  </si>
  <si>
    <t>2820-NMDC-E-AO-PMT-01004</t>
  </si>
  <si>
    <t>2820-NMDC-E-PMT-MWS-T-00035</t>
  </si>
  <si>
    <t>2820-AP-1501_R1(SAFEEN-3000 AP DURING AGI WHT-1 JKT INSTALLATION)</t>
  </si>
  <si>
    <t>LZ-LTDP-1-10222-PKG4-TN-06436</t>
  </si>
  <si>
    <t>SAF234-MCE-NMDC-T-0015</t>
  </si>
  <si>
    <t xml:space="preserve">3. Not Accepted </t>
  </si>
  <si>
    <t>LZ-LTDP-1-10222-PKG4-TN-06478</t>
  </si>
  <si>
    <t>3 - Reviewed with comments</t>
  </si>
  <si>
    <t>T-375/26</t>
  </si>
  <si>
    <t>LOWER ZAKUM LTDP1 PACKAGE 4 -SAFEEN-3000 AP DURING PIPELAYING OF 20 INCH WF PL321</t>
  </si>
  <si>
    <t>LOWER ZAKUM LTDP1 PACKAGE 4 -SAFEEN-3000 AP DURING PIPELAYING OF 20 INCH WF PL317</t>
  </si>
  <si>
    <t>2820-AP-1713</t>
  </si>
  <si>
    <t>2820-AP-1714</t>
  </si>
  <si>
    <t>Requested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</si>
</sst>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General_)"/>
    <numFmt numFmtId="165" formatCode="[$-409]d\-mmm\-yy;@"/>
    <numFmt numFmtId="166" formatCode="[$-409]dd\-mmm\-yy;@"/>
    <numFmt numFmtId="167" formatCode="[$-409]d\-mmm\-yyyy;@"/>
    <numFmt numFmtId="168" formatCode="[$-409]d/mmm/yyyy;@"/>
  </numFmts>
  <fonts count="34" x14ac:knownFonts="1">
    <font>
      <sz val="10"/>
      <name val="Tms Rmn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8"/>
      <color indexed="10"/>
      <name val="Tahoma"/>
      <family val="2"/>
    </font>
    <font>
      <sz val="8"/>
      <color rgb="FFFF0000"/>
      <name val="Tahoma"/>
      <family val="2"/>
    </font>
    <font>
      <u/>
      <sz val="10"/>
      <color theme="10"/>
      <name val="Tms Rmn"/>
    </font>
    <font>
      <u/>
      <sz val="8"/>
      <color theme="10"/>
      <name val="Tahoma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8"/>
      <color theme="1"/>
      <name val="Tahoma"/>
      <family val="2"/>
    </font>
    <font>
      <sz val="10"/>
      <color theme="1"/>
      <name val="Tahoma"/>
      <family val="2"/>
    </font>
    <font>
      <u/>
      <sz val="10"/>
      <color theme="10"/>
      <name val="Tahoma"/>
      <family val="2"/>
    </font>
    <font>
      <sz val="8"/>
      <color theme="1"/>
      <name val="Arial"/>
      <family val="2"/>
    </font>
    <font>
      <u/>
      <sz val="8"/>
      <color theme="10"/>
      <name val="Calibri"/>
      <family val="2"/>
      <scheme val="minor"/>
    </font>
    <font>
      <sz val="8"/>
      <name val="Tms Rmn"/>
    </font>
    <font>
      <sz val="11"/>
      <name val="Calibri"/>
      <family val="2"/>
      <scheme val="minor"/>
    </font>
    <font>
      <sz val="12"/>
      <color theme="1"/>
      <name val="Arial"/>
      <family val="2"/>
    </font>
    <font>
      <sz val="11"/>
      <name val="Arial"/>
      <family val="2"/>
    </font>
    <font>
      <b/>
      <sz val="11"/>
      <color rgb="FFFF0000"/>
      <name val="Tahoma"/>
      <family val="2"/>
    </font>
    <font>
      <b/>
      <sz val="8"/>
      <color rgb="FFC00000"/>
      <name val="Tahoma"/>
      <family val="2"/>
    </font>
    <font>
      <b/>
      <u/>
      <sz val="11"/>
      <name val="Tms Rmn"/>
    </font>
    <font>
      <b/>
      <u/>
      <sz val="10"/>
      <name val="Tms Rmn"/>
    </font>
    <font>
      <sz val="10"/>
      <color rgb="FFC00000"/>
      <name val="Tahoma"/>
      <family val="2"/>
    </font>
    <font>
      <strike/>
      <sz val="10"/>
      <color theme="1"/>
      <name val="Tahoma"/>
      <family val="2"/>
    </font>
    <font>
      <strike/>
      <sz val="10"/>
      <name val="Tahoma"/>
      <family val="2"/>
    </font>
    <font>
      <sz val="10"/>
      <color theme="1"/>
      <name val="Arial"/>
      <family val="2"/>
    </font>
    <font>
      <strike/>
      <sz val="10"/>
      <color rgb="FFFF0000"/>
      <name val="Tahoma"/>
      <family val="2"/>
    </font>
    <font>
      <sz val="10"/>
      <color rgb="FFFF0000"/>
      <name val="Tahoma"/>
      <family val="2"/>
    </font>
    <font>
      <sz val="16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</borders>
  <cellStyleXfs count="6">
    <xf numFmtId="164" fontId="0" fillId="0" borderId="0"/>
    <xf numFmtId="43" fontId="2" fillId="0" borderId="0" applyFont="0" applyFill="0" applyBorder="0" applyAlignment="0" applyProtection="0"/>
    <xf numFmtId="0" fontId="2" fillId="0" borderId="0"/>
    <xf numFmtId="164" fontId="10" fillId="0" borderId="0" applyNumberFormat="0" applyFill="0" applyBorder="0" applyAlignment="0" applyProtection="0"/>
    <xf numFmtId="0" fontId="13" fillId="0" borderId="0"/>
    <xf numFmtId="0" fontId="2" fillId="0" borderId="0"/>
  </cellStyleXfs>
  <cellXfs count="339">
    <xf numFmtId="164" fontId="0" fillId="0" borderId="0" xfId="0"/>
    <xf numFmtId="0" fontId="3" fillId="0" borderId="0" xfId="2" applyFont="1" applyAlignment="1">
      <alignment horizontal="centerContinuous"/>
    </xf>
    <xf numFmtId="0" fontId="3" fillId="0" borderId="0" xfId="2" applyFont="1"/>
    <xf numFmtId="0" fontId="3" fillId="0" borderId="0" xfId="2" applyFont="1" applyAlignment="1">
      <alignment vertical="center"/>
    </xf>
    <xf numFmtId="165" fontId="3" fillId="0" borderId="0" xfId="2" applyNumberFormat="1" applyFont="1"/>
    <xf numFmtId="0" fontId="7" fillId="0" borderId="0" xfId="2" applyFont="1" applyAlignment="1">
      <alignment vertical="center"/>
    </xf>
    <xf numFmtId="0" fontId="9" fillId="0" borderId="19" xfId="2" applyFont="1" applyBorder="1" applyAlignment="1">
      <alignment horizontal="center" vertical="center"/>
    </xf>
    <xf numFmtId="166" fontId="9" fillId="0" borderId="19" xfId="2" quotePrefix="1" applyNumberFormat="1" applyFont="1" applyBorder="1" applyAlignment="1">
      <alignment horizontal="center" vertical="center"/>
    </xf>
    <xf numFmtId="0" fontId="5" fillId="0" borderId="0" xfId="2" applyFont="1" applyAlignment="1">
      <alignment vertical="center"/>
    </xf>
    <xf numFmtId="0" fontId="5" fillId="0" borderId="23" xfId="2" applyFont="1" applyBorder="1" applyAlignment="1">
      <alignment horizontal="center" vertical="center"/>
    </xf>
    <xf numFmtId="0" fontId="5" fillId="0" borderId="19" xfId="2" applyFont="1" applyBorder="1" applyAlignment="1">
      <alignment horizontal="center" vertical="center" wrapText="1"/>
    </xf>
    <xf numFmtId="0" fontId="5" fillId="0" borderId="19" xfId="2" applyFont="1" applyBorder="1" applyAlignment="1">
      <alignment horizontal="center" vertical="center"/>
    </xf>
    <xf numFmtId="15" fontId="5" fillId="0" borderId="19" xfId="2" quotePrefix="1" applyNumberFormat="1" applyFont="1" applyBorder="1" applyAlignment="1">
      <alignment horizontal="center" vertical="center"/>
    </xf>
    <xf numFmtId="166" fontId="5" fillId="0" borderId="19" xfId="2" applyNumberFormat="1" applyFont="1" applyBorder="1" applyAlignment="1">
      <alignment horizontal="center" vertical="center"/>
    </xf>
    <xf numFmtId="0" fontId="5" fillId="0" borderId="19" xfId="2" applyFont="1" applyBorder="1" applyAlignment="1">
      <alignment horizontal="left" vertical="center" wrapText="1"/>
    </xf>
    <xf numFmtId="166" fontId="5" fillId="0" borderId="19" xfId="2" quotePrefix="1" applyNumberFormat="1" applyFont="1" applyBorder="1" applyAlignment="1">
      <alignment horizontal="center" vertical="center"/>
    </xf>
    <xf numFmtId="0" fontId="11" fillId="0" borderId="19" xfId="3" applyNumberFormat="1" applyFont="1" applyFill="1" applyBorder="1" applyAlignment="1">
      <alignment horizontal="center" vertical="center"/>
    </xf>
    <xf numFmtId="0" fontId="9" fillId="0" borderId="19" xfId="2" applyFont="1" applyBorder="1" applyAlignment="1">
      <alignment horizontal="center" vertical="center" wrapText="1"/>
    </xf>
    <xf numFmtId="15" fontId="5" fillId="0" borderId="19" xfId="2" quotePrefix="1" applyNumberFormat="1" applyFont="1" applyBorder="1" applyAlignment="1">
      <alignment horizontal="center" vertical="center" wrapText="1"/>
    </xf>
    <xf numFmtId="0" fontId="3" fillId="0" borderId="0" xfId="2" applyFont="1" applyAlignment="1">
      <alignment wrapText="1"/>
    </xf>
    <xf numFmtId="14" fontId="8" fillId="0" borderId="24" xfId="2" quotePrefix="1" applyNumberFormat="1" applyFont="1" applyBorder="1" applyAlignment="1">
      <alignment horizontal="center" vertical="center" wrapText="1"/>
    </xf>
    <xf numFmtId="0" fontId="7" fillId="2" borderId="15" xfId="2" applyFont="1" applyFill="1" applyBorder="1" applyAlignment="1">
      <alignment vertical="center"/>
    </xf>
    <xf numFmtId="0" fontId="7" fillId="2" borderId="3" xfId="2" applyFont="1" applyFill="1" applyBorder="1" applyAlignment="1">
      <alignment vertical="center"/>
    </xf>
    <xf numFmtId="0" fontId="7" fillId="2" borderId="1" xfId="2" applyFont="1" applyFill="1" applyBorder="1" applyAlignment="1">
      <alignment vertical="center"/>
    </xf>
    <xf numFmtId="0" fontId="7" fillId="2" borderId="0" xfId="2" applyFont="1" applyFill="1" applyAlignment="1">
      <alignment vertical="center"/>
    </xf>
    <xf numFmtId="0" fontId="4" fillId="2" borderId="31" xfId="2" applyFont="1" applyFill="1" applyBorder="1" applyAlignment="1">
      <alignment vertical="center"/>
    </xf>
    <xf numFmtId="0" fontId="4" fillId="2" borderId="32" xfId="2" applyFont="1" applyFill="1" applyBorder="1" applyAlignment="1">
      <alignment vertical="center"/>
    </xf>
    <xf numFmtId="0" fontId="4" fillId="2" borderId="33" xfId="2" applyFont="1" applyFill="1" applyBorder="1" applyAlignment="1">
      <alignment vertical="center"/>
    </xf>
    <xf numFmtId="0" fontId="4" fillId="2" borderId="25" xfId="1" applyNumberFormat="1" applyFont="1" applyFill="1" applyBorder="1" applyAlignment="1">
      <alignment vertical="center"/>
    </xf>
    <xf numFmtId="0" fontId="4" fillId="2" borderId="29" xfId="1" applyNumberFormat="1" applyFont="1" applyFill="1" applyBorder="1" applyAlignment="1">
      <alignment vertical="center"/>
    </xf>
    <xf numFmtId="0" fontId="4" fillId="2" borderId="27" xfId="1" applyNumberFormat="1" applyFont="1" applyFill="1" applyBorder="1" applyAlignment="1">
      <alignment vertical="center"/>
    </xf>
    <xf numFmtId="0" fontId="4" fillId="2" borderId="30" xfId="1" applyNumberFormat="1" applyFont="1" applyFill="1" applyBorder="1" applyAlignment="1">
      <alignment vertical="center"/>
    </xf>
    <xf numFmtId="0" fontId="4" fillId="2" borderId="36" xfId="1" applyNumberFormat="1" applyFont="1" applyFill="1" applyBorder="1" applyAlignment="1">
      <alignment vertical="center"/>
    </xf>
    <xf numFmtId="0" fontId="4" fillId="2" borderId="37" xfId="1" applyNumberFormat="1" applyFont="1" applyFill="1" applyBorder="1" applyAlignment="1">
      <alignment vertical="center"/>
    </xf>
    <xf numFmtId="0" fontId="6" fillId="0" borderId="0" xfId="2" applyFont="1" applyAlignment="1">
      <alignment vertical="center"/>
    </xf>
    <xf numFmtId="165" fontId="6" fillId="0" borderId="0" xfId="2" applyNumberFormat="1" applyFont="1" applyAlignment="1">
      <alignment vertical="center"/>
    </xf>
    <xf numFmtId="0" fontId="9" fillId="0" borderId="18" xfId="2" applyFont="1" applyBorder="1" applyAlignment="1">
      <alignment horizontal="center" vertical="center" wrapText="1"/>
    </xf>
    <xf numFmtId="166" fontId="10" fillId="0" borderId="19" xfId="3" quotePrefix="1" applyNumberFormat="1" applyFill="1" applyBorder="1" applyAlignment="1">
      <alignment horizontal="center" vertical="center" wrapText="1"/>
    </xf>
    <xf numFmtId="0" fontId="5" fillId="0" borderId="19" xfId="2" applyFont="1" applyBorder="1" applyAlignment="1">
      <alignment vertical="center"/>
    </xf>
    <xf numFmtId="166" fontId="10" fillId="0" borderId="18" xfId="3" applyNumberFormat="1" applyFill="1" applyBorder="1" applyAlignment="1">
      <alignment horizontal="center" vertical="center" wrapText="1"/>
    </xf>
    <xf numFmtId="164" fontId="12" fillId="0" borderId="19" xfId="0" applyFont="1" applyBorder="1" applyAlignment="1">
      <alignment horizontal="center" vertical="center"/>
    </xf>
    <xf numFmtId="15" fontId="5" fillId="0" borderId="18" xfId="2" quotePrefix="1" applyNumberFormat="1" applyFont="1" applyBorder="1" applyAlignment="1">
      <alignment horizontal="center" vertical="center"/>
    </xf>
    <xf numFmtId="15" fontId="5" fillId="0" borderId="24" xfId="2" quotePrefix="1" applyNumberFormat="1" applyFont="1" applyBorder="1" applyAlignment="1">
      <alignment horizontal="center" vertical="center" wrapText="1"/>
    </xf>
    <xf numFmtId="0" fontId="5" fillId="0" borderId="40" xfId="2" applyFont="1" applyBorder="1" applyAlignment="1">
      <alignment horizontal="center" vertical="center"/>
    </xf>
    <xf numFmtId="0" fontId="5" fillId="0" borderId="4" xfId="2" applyFont="1" applyBorder="1" applyAlignment="1">
      <alignment horizontal="left" vertical="center" wrapText="1"/>
    </xf>
    <xf numFmtId="0" fontId="5" fillId="0" borderId="4" xfId="2" applyFont="1" applyBorder="1" applyAlignment="1">
      <alignment horizontal="center" vertical="center"/>
    </xf>
    <xf numFmtId="0" fontId="11" fillId="0" borderId="4" xfId="3" applyNumberFormat="1" applyFont="1" applyFill="1" applyBorder="1" applyAlignment="1">
      <alignment horizontal="center" vertical="center"/>
    </xf>
    <xf numFmtId="15" fontId="5" fillId="0" borderId="4" xfId="2" quotePrefix="1" applyNumberFormat="1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 wrapText="1"/>
    </xf>
    <xf numFmtId="166" fontId="5" fillId="0" borderId="4" xfId="2" applyNumberFormat="1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166" fontId="9" fillId="0" borderId="4" xfId="2" quotePrefix="1" applyNumberFormat="1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 wrapText="1"/>
    </xf>
    <xf numFmtId="166" fontId="5" fillId="0" borderId="4" xfId="2" quotePrefix="1" applyNumberFormat="1" applyFont="1" applyBorder="1" applyAlignment="1">
      <alignment horizontal="center" vertical="center"/>
    </xf>
    <xf numFmtId="14" fontId="8" fillId="0" borderId="20" xfId="2" quotePrefix="1" applyNumberFormat="1" applyFont="1" applyBorder="1" applyAlignment="1">
      <alignment horizontal="center" vertical="center" wrapText="1"/>
    </xf>
    <xf numFmtId="166" fontId="11" fillId="0" borderId="19" xfId="3" quotePrefix="1" applyNumberFormat="1" applyFont="1" applyFill="1" applyBorder="1" applyAlignment="1">
      <alignment horizontal="center" vertical="center"/>
    </xf>
    <xf numFmtId="14" fontId="14" fillId="0" borderId="24" xfId="2" quotePrefix="1" applyNumberFormat="1" applyFont="1" applyBorder="1" applyAlignment="1">
      <alignment horizontal="center" vertical="center" wrapText="1"/>
    </xf>
    <xf numFmtId="164" fontId="11" fillId="0" borderId="19" xfId="3" applyFont="1" applyBorder="1" applyAlignment="1">
      <alignment horizontal="center" vertical="center"/>
    </xf>
    <xf numFmtId="0" fontId="11" fillId="0" borderId="18" xfId="3" applyNumberFormat="1" applyFont="1" applyFill="1" applyBorder="1" applyAlignment="1">
      <alignment horizontal="center" vertical="center"/>
    </xf>
    <xf numFmtId="0" fontId="3" fillId="0" borderId="19" xfId="2" applyFont="1" applyBorder="1" applyAlignment="1">
      <alignment horizontal="center" vertical="center"/>
    </xf>
    <xf numFmtId="164" fontId="15" fillId="0" borderId="19" xfId="0" applyFont="1" applyBorder="1" applyAlignment="1">
      <alignment horizontal="center" vertical="center"/>
    </xf>
    <xf numFmtId="164" fontId="16" fillId="0" borderId="19" xfId="3" applyFont="1" applyBorder="1" applyAlignment="1">
      <alignment horizontal="center" vertical="center"/>
    </xf>
    <xf numFmtId="164" fontId="3" fillId="0" borderId="19" xfId="0" applyFont="1" applyBorder="1" applyAlignment="1">
      <alignment horizontal="center" vertical="center"/>
    </xf>
    <xf numFmtId="15" fontId="3" fillId="0" borderId="19" xfId="2" quotePrefix="1" applyNumberFormat="1" applyFont="1" applyBorder="1" applyAlignment="1">
      <alignment horizontal="center" vertical="center"/>
    </xf>
    <xf numFmtId="164" fontId="17" fillId="0" borderId="24" xfId="0" applyFont="1" applyBorder="1" applyAlignment="1">
      <alignment horizontal="center" vertical="center" wrapText="1"/>
    </xf>
    <xf numFmtId="166" fontId="18" fillId="0" borderId="19" xfId="3" quotePrefix="1" applyNumberFormat="1" applyFont="1" applyFill="1" applyBorder="1" applyAlignment="1">
      <alignment horizontal="center" vertical="center" wrapText="1"/>
    </xf>
    <xf numFmtId="0" fontId="3" fillId="0" borderId="19" xfId="2" applyFont="1" applyBorder="1" applyAlignment="1">
      <alignment horizontal="left" vertical="center" wrapText="1"/>
    </xf>
    <xf numFmtId="164" fontId="11" fillId="0" borderId="19" xfId="3" applyFont="1" applyFill="1" applyBorder="1" applyAlignment="1">
      <alignment horizontal="center" vertical="center"/>
    </xf>
    <xf numFmtId="164" fontId="11" fillId="0" borderId="19" xfId="3" applyFont="1" applyFill="1" applyBorder="1" applyAlignment="1">
      <alignment horizontal="center" vertical="center" wrapText="1"/>
    </xf>
    <xf numFmtId="15" fontId="3" fillId="0" borderId="18" xfId="2" quotePrefix="1" applyNumberFormat="1" applyFont="1" applyBorder="1" applyAlignment="1">
      <alignment horizontal="center" vertical="center"/>
    </xf>
    <xf numFmtId="0" fontId="16" fillId="0" borderId="19" xfId="3" applyNumberFormat="1" applyFont="1" applyFill="1" applyBorder="1" applyAlignment="1">
      <alignment horizontal="center" vertical="center"/>
    </xf>
    <xf numFmtId="0" fontId="3" fillId="0" borderId="21" xfId="2" applyFont="1" applyBorder="1" applyAlignment="1">
      <alignment horizontal="center" vertical="center"/>
    </xf>
    <xf numFmtId="0" fontId="3" fillId="0" borderId="23" xfId="2" applyFont="1" applyBorder="1" applyAlignment="1">
      <alignment horizontal="center" vertical="center"/>
    </xf>
    <xf numFmtId="0" fontId="3" fillId="0" borderId="19" xfId="2" applyFont="1" applyBorder="1" applyAlignment="1">
      <alignment vertical="center"/>
    </xf>
    <xf numFmtId="0" fontId="3" fillId="0" borderId="4" xfId="2" applyFont="1" applyBorder="1" applyAlignment="1">
      <alignment horizontal="center" vertical="center"/>
    </xf>
    <xf numFmtId="0" fontId="4" fillId="0" borderId="19" xfId="2" applyFont="1" applyBorder="1" applyAlignment="1">
      <alignment horizontal="left" vertical="center" wrapText="1"/>
    </xf>
    <xf numFmtId="0" fontId="3" fillId="2" borderId="19" xfId="2" applyFont="1" applyFill="1" applyBorder="1" applyAlignment="1">
      <alignment horizontal="center" vertical="center"/>
    </xf>
    <xf numFmtId="164" fontId="15" fillId="2" borderId="19" xfId="0" applyFont="1" applyFill="1" applyBorder="1" applyAlignment="1">
      <alignment horizontal="center" vertical="center"/>
    </xf>
    <xf numFmtId="15" fontId="5" fillId="2" borderId="19" xfId="2" quotePrefix="1" applyNumberFormat="1" applyFont="1" applyFill="1" applyBorder="1" applyAlignment="1">
      <alignment horizontal="center" vertical="center"/>
    </xf>
    <xf numFmtId="164" fontId="11" fillId="2" borderId="19" xfId="3" applyFont="1" applyFill="1" applyBorder="1" applyAlignment="1">
      <alignment horizontal="center" vertical="center"/>
    </xf>
    <xf numFmtId="166" fontId="10" fillId="2" borderId="19" xfId="3" quotePrefix="1" applyNumberFormat="1" applyFill="1" applyBorder="1" applyAlignment="1">
      <alignment horizontal="center" vertical="center" wrapText="1"/>
    </xf>
    <xf numFmtId="0" fontId="3" fillId="2" borderId="0" xfId="2" applyFont="1" applyFill="1" applyAlignment="1">
      <alignment vertical="center"/>
    </xf>
    <xf numFmtId="49" fontId="20" fillId="2" borderId="19" xfId="0" applyNumberFormat="1" applyFont="1" applyFill="1" applyBorder="1" applyAlignment="1">
      <alignment horizontal="center" vertical="center"/>
    </xf>
    <xf numFmtId="165" fontId="20" fillId="0" borderId="19" xfId="0" applyNumberFormat="1" applyFont="1" applyBorder="1" applyAlignment="1">
      <alignment horizontal="center" vertical="center"/>
    </xf>
    <xf numFmtId="0" fontId="21" fillId="0" borderId="19" xfId="5" applyFont="1" applyBorder="1" applyAlignment="1">
      <alignment horizontal="center" vertical="center"/>
    </xf>
    <xf numFmtId="15" fontId="22" fillId="0" borderId="19" xfId="5" applyNumberFormat="1" applyFont="1" applyBorder="1" applyAlignment="1">
      <alignment horizontal="center" vertical="center"/>
    </xf>
    <xf numFmtId="164" fontId="17" fillId="0" borderId="22" xfId="0" applyFont="1" applyBorder="1" applyAlignment="1">
      <alignment horizontal="center" vertical="center" wrapText="1"/>
    </xf>
    <xf numFmtId="164" fontId="13" fillId="0" borderId="19" xfId="0" applyFont="1" applyBorder="1" applyAlignment="1">
      <alignment vertical="center" wrapText="1"/>
    </xf>
    <xf numFmtId="164" fontId="13" fillId="2" borderId="19" xfId="0" applyFont="1" applyFill="1" applyBorder="1" applyAlignment="1">
      <alignment vertical="center"/>
    </xf>
    <xf numFmtId="0" fontId="6" fillId="3" borderId="4" xfId="2" applyFont="1" applyFill="1" applyBorder="1" applyAlignment="1">
      <alignment horizontal="centerContinuous" vertical="center"/>
    </xf>
    <xf numFmtId="165" fontId="6" fillId="3" borderId="4" xfId="2" applyNumberFormat="1" applyFont="1" applyFill="1" applyBorder="1" applyAlignment="1">
      <alignment horizontal="centerContinuous" vertical="center"/>
    </xf>
    <xf numFmtId="0" fontId="6" fillId="3" borderId="30" xfId="2" applyFont="1" applyFill="1" applyBorder="1" applyAlignment="1">
      <alignment horizontal="center" vertical="center"/>
    </xf>
    <xf numFmtId="0" fontId="4" fillId="2" borderId="42" xfId="1" applyNumberFormat="1" applyFont="1" applyFill="1" applyBorder="1" applyAlignment="1">
      <alignment vertical="center"/>
    </xf>
    <xf numFmtId="0" fontId="4" fillId="2" borderId="43" xfId="1" applyNumberFormat="1" applyFont="1" applyFill="1" applyBorder="1" applyAlignment="1">
      <alignment vertical="center"/>
    </xf>
    <xf numFmtId="0" fontId="4" fillId="2" borderId="44" xfId="1" applyNumberFormat="1" applyFont="1" applyFill="1" applyBorder="1" applyAlignment="1">
      <alignment vertical="center"/>
    </xf>
    <xf numFmtId="0" fontId="6" fillId="3" borderId="19" xfId="2" applyFont="1" applyFill="1" applyBorder="1" applyAlignment="1">
      <alignment horizontal="centerContinuous" vertical="center"/>
    </xf>
    <xf numFmtId="165" fontId="6" fillId="3" borderId="19" xfId="2" applyNumberFormat="1" applyFont="1" applyFill="1" applyBorder="1" applyAlignment="1">
      <alignment horizontal="centerContinuous" vertical="center"/>
    </xf>
    <xf numFmtId="0" fontId="3" fillId="0" borderId="49" xfId="2" applyFont="1" applyBorder="1" applyAlignment="1">
      <alignment horizontal="center" vertical="center"/>
    </xf>
    <xf numFmtId="166" fontId="10" fillId="0" borderId="19" xfId="3" applyNumberFormat="1" applyFill="1" applyBorder="1" applyAlignment="1">
      <alignment horizontal="center" vertical="center" wrapText="1"/>
    </xf>
    <xf numFmtId="14" fontId="5" fillId="0" borderId="50" xfId="2" quotePrefix="1" applyNumberFormat="1" applyFont="1" applyBorder="1" applyAlignment="1">
      <alignment horizontal="center" vertical="center" wrapText="1"/>
    </xf>
    <xf numFmtId="14" fontId="8" fillId="0" borderId="50" xfId="2" quotePrefix="1" applyNumberFormat="1" applyFont="1" applyBorder="1" applyAlignment="1">
      <alignment horizontal="center" vertical="center" wrapText="1"/>
    </xf>
    <xf numFmtId="14" fontId="8" fillId="2" borderId="50" xfId="2" quotePrefix="1" applyNumberFormat="1" applyFont="1" applyFill="1" applyBorder="1" applyAlignment="1">
      <alignment horizontal="center" vertical="center" wrapText="1"/>
    </xf>
    <xf numFmtId="14" fontId="14" fillId="0" borderId="50" xfId="2" quotePrefix="1" applyNumberFormat="1" applyFont="1" applyBorder="1" applyAlignment="1">
      <alignment horizontal="center" vertical="center" wrapText="1"/>
    </xf>
    <xf numFmtId="15" fontId="5" fillId="0" borderId="50" xfId="2" quotePrefix="1" applyNumberFormat="1" applyFont="1" applyBorder="1" applyAlignment="1">
      <alignment horizontal="center" vertical="center" wrapText="1"/>
    </xf>
    <xf numFmtId="0" fontId="1" fillId="0" borderId="52" xfId="5" applyFont="1" applyBorder="1" applyAlignment="1">
      <alignment vertical="center"/>
    </xf>
    <xf numFmtId="0" fontId="2" fillId="0" borderId="52" xfId="5" applyBorder="1" applyAlignment="1">
      <alignment horizontal="left" vertical="center"/>
    </xf>
    <xf numFmtId="49" fontId="20" fillId="2" borderId="52" xfId="0" applyNumberFormat="1" applyFont="1" applyFill="1" applyBorder="1" applyAlignment="1">
      <alignment horizontal="center" vertical="center" wrapText="1"/>
    </xf>
    <xf numFmtId="165" fontId="20" fillId="0" borderId="52" xfId="0" applyNumberFormat="1" applyFont="1" applyBorder="1" applyAlignment="1">
      <alignment horizontal="center" vertical="center"/>
    </xf>
    <xf numFmtId="49" fontId="20" fillId="2" borderId="52" xfId="0" applyNumberFormat="1" applyFont="1" applyFill="1" applyBorder="1" applyAlignment="1">
      <alignment horizontal="center" vertical="center"/>
    </xf>
    <xf numFmtId="0" fontId="6" fillId="3" borderId="19" xfId="2" applyFont="1" applyFill="1" applyBorder="1" applyAlignment="1">
      <alignment horizontal="left" vertical="center"/>
    </xf>
    <xf numFmtId="165" fontId="6" fillId="3" borderId="19" xfId="2" applyNumberFormat="1" applyFont="1" applyFill="1" applyBorder="1" applyAlignment="1">
      <alignment horizontal="left" vertical="center"/>
    </xf>
    <xf numFmtId="168" fontId="4" fillId="2" borderId="36" xfId="1" applyNumberFormat="1" applyFont="1" applyFill="1" applyBorder="1" applyAlignment="1">
      <alignment vertical="center"/>
    </xf>
    <xf numFmtId="168" fontId="4" fillId="2" borderId="36" xfId="1" applyNumberFormat="1" applyFont="1" applyFill="1" applyBorder="1" applyAlignment="1">
      <alignment horizontal="left" vertical="center"/>
    </xf>
    <xf numFmtId="164" fontId="15" fillId="2" borderId="19" xfId="0" applyFont="1" applyFill="1" applyBorder="1" applyAlignment="1">
      <alignment vertical="center" wrapText="1"/>
    </xf>
    <xf numFmtId="164" fontId="0" fillId="0" borderId="19" xfId="0" applyBorder="1" applyAlignment="1">
      <alignment vertical="center"/>
    </xf>
    <xf numFmtId="164" fontId="0" fillId="0" borderId="19" xfId="0" quotePrefix="1" applyBorder="1" applyAlignment="1">
      <alignment vertical="center"/>
    </xf>
    <xf numFmtId="0" fontId="3" fillId="0" borderId="52" xfId="2" applyFont="1" applyBorder="1" applyAlignment="1">
      <alignment horizontal="centerContinuous" vertical="center"/>
    </xf>
    <xf numFmtId="0" fontId="3" fillId="0" borderId="52" xfId="2" applyFont="1" applyBorder="1" applyAlignment="1">
      <alignment vertical="center"/>
    </xf>
    <xf numFmtId="165" fontId="3" fillId="0" borderId="52" xfId="2" applyNumberFormat="1" applyFont="1" applyBorder="1" applyAlignment="1">
      <alignment vertical="center"/>
    </xf>
    <xf numFmtId="0" fontId="3" fillId="0" borderId="52" xfId="2" applyFont="1" applyBorder="1" applyAlignment="1">
      <alignment vertical="center" wrapText="1"/>
    </xf>
    <xf numFmtId="0" fontId="3" fillId="0" borderId="53" xfId="2" applyFont="1" applyBorder="1" applyAlignment="1">
      <alignment vertical="center" wrapText="1"/>
    </xf>
    <xf numFmtId="0" fontId="3" fillId="0" borderId="0" xfId="2" applyFont="1" applyAlignment="1">
      <alignment horizontal="centerContinuous" vertical="center"/>
    </xf>
    <xf numFmtId="165" fontId="3" fillId="0" borderId="0" xfId="2" applyNumberFormat="1" applyFont="1" applyAlignment="1">
      <alignment vertical="center"/>
    </xf>
    <xf numFmtId="0" fontId="3" fillId="0" borderId="0" xfId="2" applyFont="1" applyAlignment="1">
      <alignment vertical="center" wrapText="1"/>
    </xf>
    <xf numFmtId="0" fontId="3" fillId="0" borderId="51" xfId="2" applyFont="1" applyBorder="1" applyAlignment="1">
      <alignment vertical="center"/>
    </xf>
    <xf numFmtId="0" fontId="2" fillId="0" borderId="19" xfId="2" applyBorder="1" applyAlignment="1">
      <alignment horizontal="left" vertical="center" wrapText="1"/>
    </xf>
    <xf numFmtId="0" fontId="2" fillId="0" borderId="19" xfId="2" applyBorder="1" applyAlignment="1">
      <alignment horizontal="center" vertical="center"/>
    </xf>
    <xf numFmtId="15" fontId="2" fillId="0" borderId="19" xfId="2" quotePrefix="1" applyNumberFormat="1" applyBorder="1" applyAlignment="1">
      <alignment horizontal="center" vertical="center"/>
    </xf>
    <xf numFmtId="49" fontId="2" fillId="2" borderId="19" xfId="0" applyNumberFormat="1" applyFont="1" applyFill="1" applyBorder="1" applyAlignment="1">
      <alignment horizontal="center" vertical="center"/>
    </xf>
    <xf numFmtId="165" fontId="2" fillId="0" borderId="19" xfId="0" applyNumberFormat="1" applyFont="1" applyBorder="1" applyAlignment="1">
      <alignment horizontal="center" vertical="center"/>
    </xf>
    <xf numFmtId="0" fontId="4" fillId="2" borderId="29" xfId="1" applyNumberFormat="1" applyFont="1" applyFill="1" applyBorder="1" applyAlignment="1">
      <alignment horizontal="left" vertical="center"/>
    </xf>
    <xf numFmtId="0" fontId="27" fillId="0" borderId="19" xfId="2" applyFont="1" applyBorder="1" applyAlignment="1">
      <alignment horizontal="center" vertical="center"/>
    </xf>
    <xf numFmtId="164" fontId="28" fillId="2" borderId="19" xfId="0" applyFont="1" applyFill="1" applyBorder="1" applyAlignment="1">
      <alignment vertical="center" wrapText="1"/>
    </xf>
    <xf numFmtId="164" fontId="29" fillId="0" borderId="19" xfId="0" applyFont="1" applyBorder="1" applyAlignment="1">
      <alignment horizontal="center" vertical="center"/>
    </xf>
    <xf numFmtId="0" fontId="3" fillId="0" borderId="19" xfId="0" applyNumberFormat="1" applyFont="1" applyBorder="1" applyAlignment="1">
      <alignment vertical="center" wrapText="1"/>
    </xf>
    <xf numFmtId="0" fontId="3" fillId="0" borderId="19" xfId="0" applyNumberFormat="1" applyFont="1" applyBorder="1" applyAlignment="1">
      <alignment horizontal="center" vertical="center" wrapText="1"/>
    </xf>
    <xf numFmtId="164" fontId="12" fillId="2" borderId="19" xfId="0" applyFont="1" applyFill="1" applyBorder="1" applyAlignment="1">
      <alignment vertical="center"/>
    </xf>
    <xf numFmtId="164" fontId="12" fillId="0" borderId="19" xfId="0" applyFont="1" applyBorder="1" applyAlignment="1">
      <alignment vertical="center" wrapText="1"/>
    </xf>
    <xf numFmtId="0" fontId="30" fillId="0" borderId="19" xfId="5" applyFont="1" applyBorder="1" applyAlignment="1">
      <alignment horizontal="center" vertical="center"/>
    </xf>
    <xf numFmtId="0" fontId="27" fillId="0" borderId="19" xfId="2" applyFont="1" applyBorder="1" applyAlignment="1">
      <alignment horizontal="left" vertical="center" wrapText="1"/>
    </xf>
    <xf numFmtId="0" fontId="27" fillId="0" borderId="19" xfId="0" applyNumberFormat="1" applyFont="1" applyBorder="1" applyAlignment="1">
      <alignment horizontal="center" vertical="center" wrapText="1"/>
    </xf>
    <xf numFmtId="0" fontId="3" fillId="0" borderId="58" xfId="2" applyFont="1" applyBorder="1" applyAlignment="1">
      <alignment horizontal="center" vertical="center"/>
    </xf>
    <xf numFmtId="0" fontId="3" fillId="2" borderId="59" xfId="2" applyFont="1" applyFill="1" applyBorder="1" applyAlignment="1">
      <alignment horizontal="center" vertical="center"/>
    </xf>
    <xf numFmtId="165" fontId="2" fillId="0" borderId="59" xfId="0" applyNumberFormat="1" applyFont="1" applyBorder="1" applyAlignment="1">
      <alignment horizontal="center" vertical="center"/>
    </xf>
    <xf numFmtId="15" fontId="5" fillId="2" borderId="59" xfId="2" quotePrefix="1" applyNumberFormat="1" applyFont="1" applyFill="1" applyBorder="1" applyAlignment="1">
      <alignment horizontal="center" vertical="center"/>
    </xf>
    <xf numFmtId="164" fontId="11" fillId="2" borderId="59" xfId="3" applyFont="1" applyFill="1" applyBorder="1" applyAlignment="1">
      <alignment horizontal="center" vertical="center"/>
    </xf>
    <xf numFmtId="14" fontId="8" fillId="2" borderId="60" xfId="2" quotePrefix="1" applyNumberFormat="1" applyFont="1" applyFill="1" applyBorder="1" applyAlignment="1">
      <alignment horizontal="center" vertical="center" wrapText="1"/>
    </xf>
    <xf numFmtId="164" fontId="16" fillId="0" borderId="19" xfId="3" applyFont="1" applyFill="1" applyBorder="1" applyAlignment="1">
      <alignment horizontal="center" vertical="center" wrapText="1"/>
    </xf>
    <xf numFmtId="0" fontId="3" fillId="0" borderId="59" xfId="2" applyFont="1" applyBorder="1" applyAlignment="1">
      <alignment horizontal="center" vertical="center"/>
    </xf>
    <xf numFmtId="15" fontId="3" fillId="0" borderId="59" xfId="2" quotePrefix="1" applyNumberFormat="1" applyFont="1" applyBorder="1" applyAlignment="1">
      <alignment horizontal="center" vertical="center"/>
    </xf>
    <xf numFmtId="0" fontId="3" fillId="0" borderId="25" xfId="2" applyFont="1" applyBorder="1" applyAlignment="1">
      <alignment vertical="center"/>
    </xf>
    <xf numFmtId="15" fontId="5" fillId="0" borderId="59" xfId="2" quotePrefix="1" applyNumberFormat="1" applyFont="1" applyBorder="1" applyAlignment="1">
      <alignment horizontal="center" vertical="center"/>
    </xf>
    <xf numFmtId="164" fontId="15" fillId="2" borderId="59" xfId="0" applyFont="1" applyFill="1" applyBorder="1" applyAlignment="1">
      <alignment vertical="center" wrapText="1"/>
    </xf>
    <xf numFmtId="164" fontId="3" fillId="0" borderId="59" xfId="0" applyFont="1" applyBorder="1" applyAlignment="1">
      <alignment horizontal="center" vertical="center"/>
    </xf>
    <xf numFmtId="164" fontId="15" fillId="0" borderId="59" xfId="0" applyFont="1" applyBorder="1" applyAlignment="1">
      <alignment horizontal="center" vertical="center"/>
    </xf>
    <xf numFmtId="164" fontId="31" fillId="2" borderId="59" xfId="0" applyFont="1" applyFill="1" applyBorder="1" applyAlignment="1">
      <alignment vertical="center" wrapText="1"/>
    </xf>
    <xf numFmtId="164" fontId="16" fillId="0" borderId="59" xfId="3" applyFont="1" applyBorder="1" applyAlignment="1">
      <alignment horizontal="center" vertical="center"/>
    </xf>
    <xf numFmtId="14" fontId="8" fillId="0" borderId="60" xfId="2" quotePrefix="1" applyNumberFormat="1" applyFont="1" applyBorder="1" applyAlignment="1">
      <alignment horizontal="center" vertical="center" wrapText="1"/>
    </xf>
    <xf numFmtId="15" fontId="22" fillId="4" borderId="59" xfId="5" applyNumberFormat="1" applyFont="1" applyFill="1" applyBorder="1" applyAlignment="1">
      <alignment horizontal="center" vertical="center"/>
    </xf>
    <xf numFmtId="15" fontId="22" fillId="4" borderId="19" xfId="5" applyNumberFormat="1" applyFont="1" applyFill="1" applyBorder="1" applyAlignment="1">
      <alignment horizontal="center" vertical="center"/>
    </xf>
    <xf numFmtId="15" fontId="3" fillId="4" borderId="59" xfId="2" quotePrefix="1" applyNumberFormat="1" applyFont="1" applyFill="1" applyBorder="1" applyAlignment="1">
      <alignment horizontal="center" vertical="center"/>
    </xf>
    <xf numFmtId="15" fontId="5" fillId="4" borderId="59" xfId="2" quotePrefix="1" applyNumberFormat="1" applyFont="1" applyFill="1" applyBorder="1" applyAlignment="1">
      <alignment horizontal="center" vertical="center"/>
    </xf>
    <xf numFmtId="15" fontId="5" fillId="4" borderId="19" xfId="2" quotePrefix="1" applyNumberFormat="1" applyFont="1" applyFill="1" applyBorder="1" applyAlignment="1">
      <alignment horizontal="center" vertical="center"/>
    </xf>
    <xf numFmtId="14" fontId="5" fillId="0" borderId="19" xfId="2" applyNumberFormat="1" applyFont="1" applyBorder="1" applyAlignment="1">
      <alignment horizontal="center" vertical="center" wrapText="1"/>
    </xf>
    <xf numFmtId="164" fontId="16" fillId="0" borderId="59" xfId="3" applyFont="1" applyFill="1" applyBorder="1" applyAlignment="1">
      <alignment horizontal="center" vertical="center" wrapText="1"/>
    </xf>
    <xf numFmtId="164" fontId="11" fillId="0" borderId="59" xfId="3" applyFont="1" applyFill="1" applyBorder="1" applyAlignment="1">
      <alignment horizontal="center" vertical="center" wrapText="1"/>
    </xf>
    <xf numFmtId="166" fontId="10" fillId="0" borderId="59" xfId="3" quotePrefix="1" applyNumberFormat="1" applyFill="1" applyBorder="1" applyAlignment="1">
      <alignment horizontal="center" vertical="center" wrapText="1"/>
    </xf>
    <xf numFmtId="15" fontId="3" fillId="6" borderId="59" xfId="2" quotePrefix="1" applyNumberFormat="1" applyFont="1" applyFill="1" applyBorder="1" applyAlignment="1">
      <alignment horizontal="center" vertical="center"/>
    </xf>
    <xf numFmtId="0" fontId="3" fillId="6" borderId="27" xfId="2" applyFont="1" applyFill="1" applyBorder="1" applyAlignment="1">
      <alignment vertical="center"/>
    </xf>
    <xf numFmtId="0" fontId="3" fillId="6" borderId="27" xfId="2" applyFont="1" applyFill="1" applyBorder="1" applyAlignment="1">
      <alignment horizontal="center" vertical="center"/>
    </xf>
    <xf numFmtId="15" fontId="3" fillId="6" borderId="0" xfId="2" quotePrefix="1" applyNumberFormat="1" applyFont="1" applyFill="1" applyAlignment="1">
      <alignment horizontal="center" vertical="center"/>
    </xf>
    <xf numFmtId="0" fontId="3" fillId="4" borderId="58" xfId="2" applyFont="1" applyFill="1" applyBorder="1" applyAlignment="1">
      <alignment horizontal="center" vertical="center"/>
    </xf>
    <xf numFmtId="164" fontId="15" fillId="4" borderId="11" xfId="0" applyFont="1" applyFill="1" applyBorder="1" applyAlignment="1">
      <alignment horizontal="left" vertical="center" wrapText="1"/>
    </xf>
    <xf numFmtId="164" fontId="3" fillId="4" borderId="11" xfId="0" applyFont="1" applyFill="1" applyBorder="1" applyAlignment="1">
      <alignment horizontal="center" vertical="center"/>
    </xf>
    <xf numFmtId="0" fontId="3" fillId="4" borderId="11" xfId="2" applyFont="1" applyFill="1" applyBorder="1" applyAlignment="1">
      <alignment horizontal="center" vertical="center"/>
    </xf>
    <xf numFmtId="164" fontId="16" fillId="4" borderId="59" xfId="3" applyFont="1" applyFill="1" applyBorder="1" applyAlignment="1">
      <alignment horizontal="center" vertical="center"/>
    </xf>
    <xf numFmtId="0" fontId="3" fillId="4" borderId="59" xfId="2" applyFont="1" applyFill="1" applyBorder="1" applyAlignment="1">
      <alignment horizontal="center" vertical="center"/>
    </xf>
    <xf numFmtId="49" fontId="2" fillId="4" borderId="59" xfId="0" applyNumberFormat="1" applyFont="1" applyFill="1" applyBorder="1" applyAlignment="1">
      <alignment horizontal="center" vertical="center"/>
    </xf>
    <xf numFmtId="165" fontId="20" fillId="4" borderId="59" xfId="0" applyNumberFormat="1" applyFont="1" applyFill="1" applyBorder="1" applyAlignment="1">
      <alignment horizontal="center" vertical="center"/>
    </xf>
    <xf numFmtId="14" fontId="5" fillId="4" borderId="59" xfId="2" applyNumberFormat="1" applyFont="1" applyFill="1" applyBorder="1" applyAlignment="1">
      <alignment horizontal="center" vertical="center" wrapText="1"/>
    </xf>
    <xf numFmtId="164" fontId="16" fillId="4" borderId="59" xfId="3" applyFont="1" applyFill="1" applyBorder="1" applyAlignment="1">
      <alignment horizontal="center" vertical="center" wrapText="1"/>
    </xf>
    <xf numFmtId="0" fontId="11" fillId="4" borderId="59" xfId="3" applyNumberFormat="1" applyFont="1" applyFill="1" applyBorder="1" applyAlignment="1">
      <alignment horizontal="center" vertical="center"/>
    </xf>
    <xf numFmtId="166" fontId="5" fillId="4" borderId="59" xfId="2" quotePrefix="1" applyNumberFormat="1" applyFont="1" applyFill="1" applyBorder="1" applyAlignment="1">
      <alignment horizontal="center" vertical="center"/>
    </xf>
    <xf numFmtId="0" fontId="5" fillId="4" borderId="59" xfId="2" applyFont="1" applyFill="1" applyBorder="1" applyAlignment="1">
      <alignment horizontal="center" vertical="center" wrapText="1"/>
    </xf>
    <xf numFmtId="14" fontId="8" fillId="4" borderId="60" xfId="2" quotePrefix="1" applyNumberFormat="1" applyFont="1" applyFill="1" applyBorder="1" applyAlignment="1">
      <alignment horizontal="center" vertical="center" wrapText="1"/>
    </xf>
    <xf numFmtId="0" fontId="3" fillId="4" borderId="0" xfId="2" applyFont="1" applyFill="1" applyAlignment="1">
      <alignment vertical="center"/>
    </xf>
    <xf numFmtId="0" fontId="3" fillId="4" borderId="49" xfId="2" applyFont="1" applyFill="1" applyBorder="1" applyAlignment="1">
      <alignment vertical="center"/>
    </xf>
    <xf numFmtId="0" fontId="1" fillId="4" borderId="19" xfId="5" applyFont="1" applyFill="1" applyBorder="1" applyAlignment="1">
      <alignment vertical="center"/>
    </xf>
    <xf numFmtId="0" fontId="2" fillId="4" borderId="19" xfId="5" applyFill="1" applyBorder="1" applyAlignment="1">
      <alignment horizontal="left" vertical="center"/>
    </xf>
    <xf numFmtId="0" fontId="3" fillId="4" borderId="19" xfId="2" applyFont="1" applyFill="1" applyBorder="1" applyAlignment="1">
      <alignment horizontal="center" vertical="center"/>
    </xf>
    <xf numFmtId="49" fontId="20" fillId="4" borderId="19" xfId="0" applyNumberFormat="1" applyFont="1" applyFill="1" applyBorder="1" applyAlignment="1">
      <alignment horizontal="center" vertical="center" wrapText="1"/>
    </xf>
    <xf numFmtId="15" fontId="3" fillId="4" borderId="19" xfId="2" quotePrefix="1" applyNumberFormat="1" applyFont="1" applyFill="1" applyBorder="1" applyAlignment="1">
      <alignment horizontal="center" vertical="center"/>
    </xf>
    <xf numFmtId="49" fontId="20" fillId="4" borderId="19" xfId="0" applyNumberFormat="1" applyFont="1" applyFill="1" applyBorder="1" applyAlignment="1">
      <alignment horizontal="center" vertical="center"/>
    </xf>
    <xf numFmtId="165" fontId="20" fillId="4" borderId="19" xfId="0" applyNumberFormat="1" applyFont="1" applyFill="1" applyBorder="1" applyAlignment="1">
      <alignment horizontal="center" vertical="center"/>
    </xf>
    <xf numFmtId="0" fontId="5" fillId="4" borderId="19" xfId="2" applyFont="1" applyFill="1" applyBorder="1" applyAlignment="1">
      <alignment horizontal="center" vertical="center" wrapText="1"/>
    </xf>
    <xf numFmtId="166" fontId="5" fillId="4" borderId="19" xfId="2" applyNumberFormat="1" applyFont="1" applyFill="1" applyBorder="1" applyAlignment="1">
      <alignment horizontal="center" vertical="center"/>
    </xf>
    <xf numFmtId="0" fontId="9" fillId="4" borderId="19" xfId="2" applyFont="1" applyFill="1" applyBorder="1" applyAlignment="1">
      <alignment horizontal="center" vertical="center"/>
    </xf>
    <xf numFmtId="166" fontId="9" fillId="4" borderId="19" xfId="2" quotePrefix="1" applyNumberFormat="1" applyFont="1" applyFill="1" applyBorder="1" applyAlignment="1">
      <alignment horizontal="center" vertical="center"/>
    </xf>
    <xf numFmtId="0" fontId="5" fillId="4" borderId="19" xfId="2" applyFont="1" applyFill="1" applyBorder="1" applyAlignment="1">
      <alignment horizontal="center" vertical="center"/>
    </xf>
    <xf numFmtId="164" fontId="16" fillId="4" borderId="19" xfId="3" applyFont="1" applyFill="1" applyBorder="1" applyAlignment="1">
      <alignment horizontal="center" vertical="center" wrapText="1"/>
    </xf>
    <xf numFmtId="166" fontId="5" fillId="4" borderId="19" xfId="2" quotePrefix="1" applyNumberFormat="1" applyFont="1" applyFill="1" applyBorder="1" applyAlignment="1">
      <alignment horizontal="center" vertical="center"/>
    </xf>
    <xf numFmtId="14" fontId="8" fillId="4" borderId="50" xfId="2" quotePrefix="1" applyNumberFormat="1" applyFont="1" applyFill="1" applyBorder="1" applyAlignment="1">
      <alignment horizontal="center" vertical="center" wrapText="1"/>
    </xf>
    <xf numFmtId="166" fontId="10" fillId="0" borderId="59" xfId="3" applyNumberFormat="1" applyFill="1" applyBorder="1" applyAlignment="1">
      <alignment horizontal="center" vertical="center" wrapText="1"/>
    </xf>
    <xf numFmtId="0" fontId="5" fillId="2" borderId="19" xfId="2" applyFont="1" applyFill="1" applyBorder="1" applyAlignment="1">
      <alignment horizontal="center" vertical="center" wrapText="1"/>
    </xf>
    <xf numFmtId="0" fontId="5" fillId="5" borderId="59" xfId="2" applyFont="1" applyFill="1" applyBorder="1" applyAlignment="1">
      <alignment horizontal="center" vertical="center" wrapText="1"/>
    </xf>
    <xf numFmtId="0" fontId="5" fillId="0" borderId="59" xfId="2" applyFont="1" applyBorder="1" applyAlignment="1">
      <alignment horizontal="center" vertical="center" wrapText="1"/>
    </xf>
    <xf numFmtId="0" fontId="5" fillId="7" borderId="59" xfId="2" applyFont="1" applyFill="1" applyBorder="1" applyAlignment="1">
      <alignment horizontal="center" vertical="center" wrapText="1"/>
    </xf>
    <xf numFmtId="0" fontId="5" fillId="7" borderId="19" xfId="2" applyFont="1" applyFill="1" applyBorder="1" applyAlignment="1">
      <alignment horizontal="center" vertical="center" wrapText="1"/>
    </xf>
    <xf numFmtId="0" fontId="3" fillId="0" borderId="11" xfId="2" applyFont="1" applyBorder="1" applyAlignment="1">
      <alignment horizontal="center" vertical="center"/>
    </xf>
    <xf numFmtId="0" fontId="3" fillId="0" borderId="11" xfId="0" applyNumberFormat="1" applyFont="1" applyBorder="1" applyAlignment="1">
      <alignment horizontal="center" vertical="center" wrapText="1"/>
    </xf>
    <xf numFmtId="164" fontId="16" fillId="0" borderId="11" xfId="3" applyFont="1" applyBorder="1" applyAlignment="1">
      <alignment horizontal="center" vertical="center"/>
    </xf>
    <xf numFmtId="15" fontId="22" fillId="4" borderId="11" xfId="5" applyNumberFormat="1" applyFont="1" applyFill="1" applyBorder="1" applyAlignment="1">
      <alignment horizontal="center" vertical="center"/>
    </xf>
    <xf numFmtId="15" fontId="3" fillId="0" borderId="11" xfId="2" quotePrefix="1" applyNumberFormat="1" applyFont="1" applyBorder="1" applyAlignment="1">
      <alignment horizontal="center" vertical="center"/>
    </xf>
    <xf numFmtId="164" fontId="16" fillId="0" borderId="11" xfId="3" applyFont="1" applyFill="1" applyBorder="1" applyAlignment="1">
      <alignment horizontal="center" vertical="center" wrapText="1"/>
    </xf>
    <xf numFmtId="0" fontId="11" fillId="0" borderId="11" xfId="3" applyNumberFormat="1" applyFont="1" applyFill="1" applyBorder="1" applyAlignment="1">
      <alignment horizontal="center" vertical="center"/>
    </xf>
    <xf numFmtId="0" fontId="9" fillId="0" borderId="11" xfId="2" applyFont="1" applyBorder="1" applyAlignment="1">
      <alignment horizontal="center" vertical="center" wrapText="1"/>
    </xf>
    <xf numFmtId="15" fontId="5" fillId="0" borderId="11" xfId="2" quotePrefix="1" applyNumberFormat="1" applyFont="1" applyBorder="1" applyAlignment="1">
      <alignment horizontal="center" vertical="center"/>
    </xf>
    <xf numFmtId="166" fontId="10" fillId="0" borderId="11" xfId="3" applyNumberFormat="1" applyFill="1" applyBorder="1" applyAlignment="1">
      <alignment horizontal="center" vertical="center" wrapText="1"/>
    </xf>
    <xf numFmtId="164" fontId="17" fillId="0" borderId="62" xfId="0" applyFont="1" applyBorder="1" applyAlignment="1">
      <alignment horizontal="center" vertical="center" wrapText="1"/>
    </xf>
    <xf numFmtId="0" fontId="6" fillId="3" borderId="4" xfId="2" applyFont="1" applyFill="1" applyBorder="1" applyAlignment="1">
      <alignment horizontal="center" vertical="center"/>
    </xf>
    <xf numFmtId="0" fontId="5" fillId="0" borderId="11" xfId="2" applyFont="1" applyBorder="1" applyAlignment="1">
      <alignment horizontal="center" vertical="center" wrapText="1"/>
    </xf>
    <xf numFmtId="0" fontId="3" fillId="2" borderId="58" xfId="2" applyFont="1" applyFill="1" applyBorder="1" applyAlignment="1">
      <alignment horizontal="center" vertical="center"/>
    </xf>
    <xf numFmtId="164" fontId="16" fillId="2" borderId="59" xfId="3" applyFont="1" applyFill="1" applyBorder="1" applyAlignment="1">
      <alignment horizontal="center" vertical="center"/>
    </xf>
    <xf numFmtId="165" fontId="20" fillId="2" borderId="59" xfId="0" applyNumberFormat="1" applyFont="1" applyFill="1" applyBorder="1" applyAlignment="1">
      <alignment horizontal="center" vertical="center"/>
    </xf>
    <xf numFmtId="14" fontId="5" fillId="2" borderId="59" xfId="2" applyNumberFormat="1" applyFont="1" applyFill="1" applyBorder="1" applyAlignment="1">
      <alignment horizontal="center" vertical="center" wrapText="1"/>
    </xf>
    <xf numFmtId="164" fontId="16" fillId="2" borderId="59" xfId="3" applyFont="1" applyFill="1" applyBorder="1" applyAlignment="1">
      <alignment horizontal="center" vertical="center" wrapText="1"/>
    </xf>
    <xf numFmtId="15" fontId="3" fillId="2" borderId="59" xfId="2" quotePrefix="1" applyNumberFormat="1" applyFont="1" applyFill="1" applyBorder="1" applyAlignment="1">
      <alignment horizontal="center" vertical="center"/>
    </xf>
    <xf numFmtId="0" fontId="5" fillId="2" borderId="59" xfId="2" applyFont="1" applyFill="1" applyBorder="1" applyAlignment="1">
      <alignment horizontal="center" vertical="center" wrapText="1"/>
    </xf>
    <xf numFmtId="0" fontId="11" fillId="2" borderId="59" xfId="3" applyNumberFormat="1" applyFont="1" applyFill="1" applyBorder="1" applyAlignment="1">
      <alignment horizontal="center" vertical="center"/>
    </xf>
    <xf numFmtId="166" fontId="5" fillId="2" borderId="59" xfId="2" quotePrefix="1" applyNumberFormat="1" applyFont="1" applyFill="1" applyBorder="1" applyAlignment="1">
      <alignment horizontal="center" vertical="center"/>
    </xf>
    <xf numFmtId="164" fontId="33" fillId="8" borderId="63" xfId="0" applyFont="1" applyFill="1" applyBorder="1" applyAlignment="1">
      <alignment vertical="center" wrapText="1"/>
    </xf>
    <xf numFmtId="0" fontId="5" fillId="2" borderId="23" xfId="2" applyFont="1" applyFill="1" applyBorder="1" applyAlignment="1">
      <alignment horizontal="center" vertical="center"/>
    </xf>
    <xf numFmtId="0" fontId="3" fillId="2" borderId="59" xfId="2" applyFont="1" applyFill="1" applyBorder="1" applyAlignment="1">
      <alignment horizontal="left" vertical="center" wrapText="1"/>
    </xf>
    <xf numFmtId="0" fontId="3" fillId="2" borderId="59" xfId="0" applyNumberFormat="1" applyFont="1" applyFill="1" applyBorder="1" applyAlignment="1">
      <alignment horizontal="center" vertical="center" wrapText="1"/>
    </xf>
    <xf numFmtId="0" fontId="5" fillId="2" borderId="59" xfId="2" applyFont="1" applyFill="1" applyBorder="1" applyAlignment="1">
      <alignment horizontal="center" vertical="center"/>
    </xf>
    <xf numFmtId="0" fontId="9" fillId="2" borderId="59" xfId="2" applyFont="1" applyFill="1" applyBorder="1" applyAlignment="1">
      <alignment horizontal="center" vertical="center"/>
    </xf>
    <xf numFmtId="166" fontId="9" fillId="2" borderId="59" xfId="2" quotePrefix="1" applyNumberFormat="1" applyFont="1" applyFill="1" applyBorder="1" applyAlignment="1">
      <alignment horizontal="center" vertical="center"/>
    </xf>
    <xf numFmtId="0" fontId="9" fillId="2" borderId="59" xfId="2" applyFont="1" applyFill="1" applyBorder="1" applyAlignment="1">
      <alignment horizontal="center" vertical="center" wrapText="1"/>
    </xf>
    <xf numFmtId="14" fontId="8" fillId="2" borderId="24" xfId="2" quotePrefix="1" applyNumberFormat="1" applyFont="1" applyFill="1" applyBorder="1" applyAlignment="1">
      <alignment horizontal="center" vertical="center" wrapText="1"/>
    </xf>
    <xf numFmtId="0" fontId="26" fillId="2" borderId="12" xfId="3" applyNumberFormat="1" applyFont="1" applyFill="1" applyBorder="1" applyAlignment="1">
      <alignment horizontal="center" vertical="center"/>
    </xf>
    <xf numFmtId="0" fontId="26" fillId="2" borderId="2" xfId="3" applyNumberFormat="1" applyFont="1" applyFill="1" applyBorder="1" applyAlignment="1">
      <alignment horizontal="center" vertical="center"/>
    </xf>
    <xf numFmtId="0" fontId="26" fillId="2" borderId="0" xfId="3" applyNumberFormat="1" applyFont="1" applyFill="1" applyAlignment="1">
      <alignment horizontal="center" vertical="center"/>
    </xf>
    <xf numFmtId="0" fontId="26" fillId="2" borderId="34" xfId="3" applyNumberFormat="1" applyFont="1" applyFill="1" applyBorder="1" applyAlignment="1">
      <alignment horizontal="center" vertical="center"/>
    </xf>
    <xf numFmtId="0" fontId="6" fillId="3" borderId="59" xfId="2" applyFont="1" applyFill="1" applyBorder="1" applyAlignment="1">
      <alignment horizontal="center" vertical="center" wrapText="1"/>
    </xf>
    <xf numFmtId="0" fontId="6" fillId="3" borderId="59" xfId="2" applyFont="1" applyFill="1" applyBorder="1" applyAlignment="1">
      <alignment horizontal="center" vertical="center"/>
    </xf>
    <xf numFmtId="167" fontId="4" fillId="2" borderId="30" xfId="2" applyNumberFormat="1" applyFont="1" applyFill="1" applyBorder="1" applyAlignment="1">
      <alignment horizontal="left" vertical="center"/>
    </xf>
    <xf numFmtId="167" fontId="4" fillId="2" borderId="38" xfId="2" applyNumberFormat="1" applyFont="1" applyFill="1" applyBorder="1" applyAlignment="1">
      <alignment horizontal="left" vertical="center"/>
    </xf>
    <xf numFmtId="0" fontId="6" fillId="3" borderId="18" xfId="2" applyFont="1" applyFill="1" applyBorder="1" applyAlignment="1">
      <alignment horizontal="center" vertical="center" wrapText="1"/>
    </xf>
    <xf numFmtId="0" fontId="6" fillId="3" borderId="4" xfId="2" applyFont="1" applyFill="1" applyBorder="1" applyAlignment="1">
      <alignment horizontal="center" vertical="center" wrapText="1"/>
    </xf>
    <xf numFmtId="0" fontId="6" fillId="3" borderId="22" xfId="2" applyFont="1" applyFill="1" applyBorder="1" applyAlignment="1">
      <alignment horizontal="center" vertical="center" wrapText="1"/>
    </xf>
    <xf numFmtId="0" fontId="6" fillId="3" borderId="24" xfId="2" applyFont="1" applyFill="1" applyBorder="1" applyAlignment="1">
      <alignment horizontal="center" vertical="center" wrapText="1"/>
    </xf>
    <xf numFmtId="0" fontId="6" fillId="3" borderId="20" xfId="2" applyFont="1" applyFill="1" applyBorder="1" applyAlignment="1">
      <alignment horizontal="center" vertical="center" wrapText="1"/>
    </xf>
    <xf numFmtId="0" fontId="7" fillId="2" borderId="16" xfId="2" applyFont="1" applyFill="1" applyBorder="1" applyAlignment="1">
      <alignment horizontal="center" vertical="center"/>
    </xf>
    <xf numFmtId="0" fontId="7" fillId="2" borderId="3" xfId="2" applyFont="1" applyFill="1" applyBorder="1" applyAlignment="1">
      <alignment horizontal="center" vertical="center"/>
    </xf>
    <xf numFmtId="0" fontId="7" fillId="2" borderId="35" xfId="2" applyFont="1" applyFill="1" applyBorder="1" applyAlignment="1">
      <alignment horizontal="center" vertical="center"/>
    </xf>
    <xf numFmtId="0" fontId="4" fillId="2" borderId="31" xfId="2" applyFont="1" applyFill="1" applyBorder="1" applyAlignment="1">
      <alignment horizontal="left" vertical="center"/>
    </xf>
    <xf numFmtId="0" fontId="4" fillId="2" borderId="39" xfId="2" applyFont="1" applyFill="1" applyBorder="1" applyAlignment="1">
      <alignment horizontal="left" vertical="center"/>
    </xf>
    <xf numFmtId="0" fontId="4" fillId="2" borderId="25" xfId="2" applyFont="1" applyFill="1" applyBorder="1" applyAlignment="1">
      <alignment horizontal="left" vertical="center"/>
    </xf>
    <xf numFmtId="0" fontId="4" fillId="2" borderId="26" xfId="2" applyFont="1" applyFill="1" applyBorder="1" applyAlignment="1">
      <alignment horizontal="left" vertical="center"/>
    </xf>
    <xf numFmtId="0" fontId="7" fillId="2" borderId="19" xfId="2" applyFont="1" applyFill="1" applyBorder="1" applyAlignment="1">
      <alignment horizontal="center" vertical="center"/>
    </xf>
    <xf numFmtId="0" fontId="7" fillId="2" borderId="14" xfId="2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28" xfId="2" applyFont="1" applyFill="1" applyBorder="1" applyAlignment="1">
      <alignment horizontal="center" vertical="center" wrapText="1"/>
    </xf>
    <xf numFmtId="0" fontId="6" fillId="3" borderId="7" xfId="2" applyFont="1" applyFill="1" applyBorder="1" applyAlignment="1">
      <alignment horizontal="center" vertical="center" wrapText="1"/>
    </xf>
    <xf numFmtId="0" fontId="6" fillId="3" borderId="8" xfId="2" applyFont="1" applyFill="1" applyBorder="1" applyAlignment="1">
      <alignment horizontal="center" vertical="center"/>
    </xf>
    <xf numFmtId="0" fontId="6" fillId="3" borderId="9" xfId="2" applyFont="1" applyFill="1" applyBorder="1" applyAlignment="1">
      <alignment horizontal="center" vertical="center"/>
    </xf>
    <xf numFmtId="0" fontId="6" fillId="3" borderId="16" xfId="2" applyFont="1" applyFill="1" applyBorder="1" applyAlignment="1">
      <alignment horizontal="center" vertical="center"/>
    </xf>
    <xf numFmtId="164" fontId="5" fillId="3" borderId="14" xfId="0" applyFont="1" applyFill="1" applyBorder="1"/>
    <xf numFmtId="164" fontId="5" fillId="3" borderId="12" xfId="0" applyFont="1" applyFill="1" applyBorder="1"/>
    <xf numFmtId="0" fontId="6" fillId="3" borderId="21" xfId="2" applyFont="1" applyFill="1" applyBorder="1" applyAlignment="1">
      <alignment horizontal="center" vertical="center" wrapText="1"/>
    </xf>
    <xf numFmtId="0" fontId="6" fillId="3" borderId="23" xfId="2" applyFont="1" applyFill="1" applyBorder="1" applyAlignment="1">
      <alignment horizontal="center" vertical="center" wrapText="1"/>
    </xf>
    <xf numFmtId="0" fontId="6" fillId="3" borderId="40" xfId="2" applyFont="1" applyFill="1" applyBorder="1" applyAlignment="1">
      <alignment horizontal="center" vertical="center" wrapText="1"/>
    </xf>
    <xf numFmtId="0" fontId="6" fillId="3" borderId="4" xfId="2" applyFont="1" applyFill="1" applyBorder="1" applyAlignment="1">
      <alignment horizontal="center" vertical="center"/>
    </xf>
    <xf numFmtId="164" fontId="3" fillId="0" borderId="61" xfId="0" applyFont="1" applyBorder="1" applyAlignment="1">
      <alignment horizontal="center" vertical="center"/>
    </xf>
    <xf numFmtId="164" fontId="3" fillId="0" borderId="13" xfId="0" applyFont="1" applyBorder="1" applyAlignment="1">
      <alignment horizontal="center" vertical="center"/>
    </xf>
    <xf numFmtId="164" fontId="3" fillId="0" borderId="11" xfId="0" applyFont="1" applyBorder="1" applyAlignment="1">
      <alignment horizontal="center" vertical="center"/>
    </xf>
    <xf numFmtId="0" fontId="3" fillId="0" borderId="61" xfId="2" applyFont="1" applyBorder="1" applyAlignment="1">
      <alignment horizontal="center" vertical="center"/>
    </xf>
    <xf numFmtId="0" fontId="3" fillId="0" borderId="13" xfId="2" applyFont="1" applyBorder="1" applyAlignment="1">
      <alignment horizontal="center" vertical="center"/>
    </xf>
    <xf numFmtId="0" fontId="3" fillId="0" borderId="11" xfId="2" applyFont="1" applyBorder="1" applyAlignment="1">
      <alignment horizontal="center" vertical="center"/>
    </xf>
    <xf numFmtId="15" fontId="3" fillId="6" borderId="61" xfId="2" quotePrefix="1" applyNumberFormat="1" applyFont="1" applyFill="1" applyBorder="1" applyAlignment="1">
      <alignment horizontal="center" vertical="center"/>
    </xf>
    <xf numFmtId="15" fontId="3" fillId="6" borderId="13" xfId="2" quotePrefix="1" applyNumberFormat="1" applyFont="1" applyFill="1" applyBorder="1" applyAlignment="1">
      <alignment horizontal="center" vertical="center"/>
    </xf>
    <xf numFmtId="15" fontId="3" fillId="6" borderId="11" xfId="2" quotePrefix="1" applyNumberFormat="1" applyFont="1" applyFill="1" applyBorder="1" applyAlignment="1">
      <alignment horizontal="center" vertical="center"/>
    </xf>
    <xf numFmtId="15" fontId="27" fillId="4" borderId="25" xfId="2" quotePrefix="1" applyNumberFormat="1" applyFont="1" applyFill="1" applyBorder="1" applyAlignment="1">
      <alignment horizontal="center" vertical="center"/>
    </xf>
    <xf numFmtId="15" fontId="27" fillId="4" borderId="27" xfId="2" quotePrefix="1" applyNumberFormat="1" applyFont="1" applyFill="1" applyBorder="1" applyAlignment="1">
      <alignment horizontal="center" vertical="center"/>
    </xf>
    <xf numFmtId="0" fontId="6" fillId="3" borderId="46" xfId="2" applyFont="1" applyFill="1" applyBorder="1" applyAlignment="1">
      <alignment horizontal="center" vertical="center" wrapText="1"/>
    </xf>
    <xf numFmtId="0" fontId="6" fillId="3" borderId="49" xfId="2" applyFont="1" applyFill="1" applyBorder="1" applyAlignment="1">
      <alignment horizontal="center" vertical="center"/>
    </xf>
    <xf numFmtId="0" fontId="6" fillId="3" borderId="47" xfId="2" applyFont="1" applyFill="1" applyBorder="1" applyAlignment="1">
      <alignment horizontal="center" vertical="center" wrapText="1"/>
    </xf>
    <xf numFmtId="0" fontId="6" fillId="3" borderId="19" xfId="2" applyFont="1" applyFill="1" applyBorder="1" applyAlignment="1">
      <alignment horizontal="center" vertical="center"/>
    </xf>
    <xf numFmtId="0" fontId="6" fillId="3" borderId="47" xfId="2" applyFont="1" applyFill="1" applyBorder="1" applyAlignment="1">
      <alignment horizontal="center" vertical="center"/>
    </xf>
    <xf numFmtId="164" fontId="5" fillId="3" borderId="19" xfId="0" applyFont="1" applyFill="1" applyBorder="1" applyAlignment="1">
      <alignment vertical="center"/>
    </xf>
    <xf numFmtId="164" fontId="15" fillId="2" borderId="57" xfId="0" applyFont="1" applyFill="1" applyBorder="1" applyAlignment="1">
      <alignment horizontal="left" vertical="center" wrapText="1"/>
    </xf>
    <xf numFmtId="164" fontId="15" fillId="2" borderId="11" xfId="0" applyFont="1" applyFill="1" applyBorder="1" applyAlignment="1">
      <alignment horizontal="left" vertical="center" wrapText="1"/>
    </xf>
    <xf numFmtId="164" fontId="3" fillId="0" borderId="57" xfId="0" applyFont="1" applyBorder="1" applyAlignment="1">
      <alignment horizontal="center" vertical="center"/>
    </xf>
    <xf numFmtId="0" fontId="3" fillId="0" borderId="57" xfId="2" applyFont="1" applyBorder="1" applyAlignment="1">
      <alignment horizontal="center" vertical="center"/>
    </xf>
    <xf numFmtId="164" fontId="15" fillId="0" borderId="61" xfId="0" applyFont="1" applyBorder="1" applyAlignment="1">
      <alignment horizontal="center" vertical="center"/>
    </xf>
    <xf numFmtId="164" fontId="15" fillId="0" borderId="11" xfId="0" applyFont="1" applyBorder="1" applyAlignment="1">
      <alignment horizontal="center" vertical="center"/>
    </xf>
    <xf numFmtId="164" fontId="15" fillId="2" borderId="61" xfId="0" applyFont="1" applyFill="1" applyBorder="1" applyAlignment="1">
      <alignment horizontal="left" vertical="center" wrapText="1"/>
    </xf>
    <xf numFmtId="0" fontId="6" fillId="3" borderId="54" xfId="2" applyFont="1" applyFill="1" applyBorder="1" applyAlignment="1">
      <alignment horizontal="center" vertical="center" wrapText="1"/>
    </xf>
    <xf numFmtId="0" fontId="6" fillId="3" borderId="55" xfId="2" applyFont="1" applyFill="1" applyBorder="1" applyAlignment="1">
      <alignment horizontal="center" vertical="center" wrapText="1"/>
    </xf>
    <xf numFmtId="0" fontId="6" fillId="3" borderId="56" xfId="2" applyFont="1" applyFill="1" applyBorder="1" applyAlignment="1">
      <alignment horizontal="center" vertical="center" wrapText="1"/>
    </xf>
    <xf numFmtId="0" fontId="6" fillId="3" borderId="25" xfId="2" applyFont="1" applyFill="1" applyBorder="1" applyAlignment="1">
      <alignment horizontal="center" vertical="center" wrapText="1"/>
    </xf>
    <xf numFmtId="0" fontId="6" fillId="3" borderId="29" xfId="2" applyFont="1" applyFill="1" applyBorder="1" applyAlignment="1">
      <alignment horizontal="center" vertical="center" wrapText="1"/>
    </xf>
    <xf numFmtId="0" fontId="6" fillId="3" borderId="27" xfId="2" applyFont="1" applyFill="1" applyBorder="1" applyAlignment="1">
      <alignment horizontal="center" vertical="center" wrapText="1"/>
    </xf>
    <xf numFmtId="164" fontId="15" fillId="2" borderId="13" xfId="0" applyFont="1" applyFill="1" applyBorder="1" applyAlignment="1">
      <alignment horizontal="left" vertical="center" wrapText="1"/>
    </xf>
    <xf numFmtId="167" fontId="4" fillId="2" borderId="42" xfId="2" applyNumberFormat="1" applyFont="1" applyFill="1" applyBorder="1" applyAlignment="1">
      <alignment horizontal="left" vertical="center"/>
    </xf>
    <xf numFmtId="167" fontId="4" fillId="2" borderId="45" xfId="2" applyNumberFormat="1" applyFont="1" applyFill="1" applyBorder="1" applyAlignment="1">
      <alignment horizontal="left" vertical="center"/>
    </xf>
    <xf numFmtId="0" fontId="6" fillId="3" borderId="48" xfId="2" applyFont="1" applyFill="1" applyBorder="1" applyAlignment="1">
      <alignment horizontal="center" vertical="center" wrapText="1"/>
    </xf>
    <xf numFmtId="0" fontId="6" fillId="3" borderId="50" xfId="2" applyFont="1" applyFill="1" applyBorder="1" applyAlignment="1">
      <alignment horizontal="center" vertical="center" wrapText="1"/>
    </xf>
    <xf numFmtId="0" fontId="25" fillId="2" borderId="14" xfId="3" applyNumberFormat="1" applyFont="1" applyFill="1" applyBorder="1" applyAlignment="1">
      <alignment horizontal="center" vertical="center"/>
    </xf>
    <xf numFmtId="0" fontId="25" fillId="2" borderId="0" xfId="3" applyNumberFormat="1" applyFont="1" applyFill="1" applyAlignment="1">
      <alignment horizontal="center" vertical="center"/>
    </xf>
    <xf numFmtId="0" fontId="25" fillId="2" borderId="28" xfId="3" applyNumberFormat="1" applyFont="1" applyFill="1" applyBorder="1" applyAlignment="1">
      <alignment horizontal="center" vertical="center"/>
    </xf>
    <xf numFmtId="0" fontId="6" fillId="3" borderId="19" xfId="2" applyFont="1" applyFill="1" applyBorder="1" applyAlignment="1">
      <alignment horizontal="center" vertical="center" wrapText="1"/>
    </xf>
    <xf numFmtId="164" fontId="15" fillId="2" borderId="61" xfId="0" applyFont="1" applyFill="1" applyBorder="1" applyAlignment="1">
      <alignment horizontal="center" vertical="center"/>
    </xf>
    <xf numFmtId="164" fontId="15" fillId="2" borderId="13" xfId="0" applyFont="1" applyFill="1" applyBorder="1" applyAlignment="1">
      <alignment horizontal="center" vertical="center"/>
    </xf>
    <xf numFmtId="164" fontId="15" fillId="2" borderId="11" xfId="0" applyFont="1" applyFill="1" applyBorder="1" applyAlignment="1">
      <alignment horizontal="center" vertical="center"/>
    </xf>
    <xf numFmtId="0" fontId="6" fillId="3" borderId="10" xfId="2" applyFont="1" applyFill="1" applyBorder="1" applyAlignment="1">
      <alignment horizontal="center" vertical="center" wrapText="1"/>
    </xf>
    <xf numFmtId="0" fontId="6" fillId="3" borderId="5" xfId="2" applyFont="1" applyFill="1" applyBorder="1" applyAlignment="1">
      <alignment horizontal="center" vertical="center" wrapText="1"/>
    </xf>
    <xf numFmtId="0" fontId="6" fillId="3" borderId="6" xfId="2" applyFont="1" applyFill="1" applyBorder="1" applyAlignment="1">
      <alignment horizontal="center" vertical="center" wrapText="1"/>
    </xf>
    <xf numFmtId="0" fontId="6" fillId="3" borderId="25" xfId="2" applyFont="1" applyFill="1" applyBorder="1" applyAlignment="1">
      <alignment horizontal="center" vertical="center"/>
    </xf>
    <xf numFmtId="0" fontId="6" fillId="3" borderId="29" xfId="2" applyFont="1" applyFill="1" applyBorder="1" applyAlignment="1">
      <alignment horizontal="center" vertical="center"/>
    </xf>
    <xf numFmtId="0" fontId="6" fillId="3" borderId="27" xfId="2" applyFont="1" applyFill="1" applyBorder="1" applyAlignment="1">
      <alignment horizontal="center" vertical="center"/>
    </xf>
    <xf numFmtId="0" fontId="7" fillId="2" borderId="12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7" fillId="2" borderId="34" xfId="2" applyFont="1" applyFill="1" applyBorder="1" applyAlignment="1">
      <alignment horizontal="center" vertical="center"/>
    </xf>
    <xf numFmtId="0" fontId="6" fillId="3" borderId="17" xfId="2" applyFont="1" applyFill="1" applyBorder="1" applyAlignment="1">
      <alignment horizontal="center" vertical="center"/>
    </xf>
    <xf numFmtId="164" fontId="5" fillId="3" borderId="13" xfId="0" applyFont="1" applyFill="1" applyBorder="1"/>
    <xf numFmtId="164" fontId="5" fillId="3" borderId="41" xfId="0" applyFont="1" applyFill="1" applyBorder="1"/>
    <xf numFmtId="0" fontId="6" fillId="3" borderId="17" xfId="2" applyFont="1" applyFill="1" applyBorder="1" applyAlignment="1">
      <alignment horizontal="center" vertical="center" wrapText="1"/>
    </xf>
    <xf numFmtId="0" fontId="6" fillId="3" borderId="13" xfId="2" applyFont="1" applyFill="1" applyBorder="1" applyAlignment="1">
      <alignment horizontal="center" vertical="center" wrapText="1"/>
    </xf>
    <xf numFmtId="0" fontId="6" fillId="3" borderId="41" xfId="2" applyFont="1" applyFill="1" applyBorder="1" applyAlignment="1">
      <alignment horizontal="center" vertical="center" wrapText="1"/>
    </xf>
    <xf numFmtId="0" fontId="6" fillId="3" borderId="13" xfId="2" applyFont="1" applyFill="1" applyBorder="1" applyAlignment="1">
      <alignment horizontal="center" vertical="center"/>
    </xf>
    <xf numFmtId="0" fontId="6" fillId="3" borderId="41" xfId="2" applyFont="1" applyFill="1" applyBorder="1" applyAlignment="1">
      <alignment horizontal="center" vertical="center"/>
    </xf>
    <xf numFmtId="0" fontId="6" fillId="3" borderId="31" xfId="2" applyFont="1" applyFill="1" applyBorder="1" applyAlignment="1">
      <alignment horizontal="center" vertical="center" wrapText="1"/>
    </xf>
    <xf numFmtId="0" fontId="6" fillId="3" borderId="32" xfId="2" applyFont="1" applyFill="1" applyBorder="1" applyAlignment="1">
      <alignment horizontal="center" vertical="center" wrapText="1"/>
    </xf>
    <xf numFmtId="0" fontId="6" fillId="3" borderId="33" xfId="2" applyFont="1" applyFill="1" applyBorder="1" applyAlignment="1">
      <alignment horizontal="center" vertical="center" wrapText="1"/>
    </xf>
    <xf numFmtId="0" fontId="6" fillId="3" borderId="11" xfId="2" applyFont="1" applyFill="1" applyBorder="1" applyAlignment="1">
      <alignment horizontal="center" vertical="center"/>
    </xf>
    <xf numFmtId="0" fontId="7" fillId="2" borderId="14" xfId="2" applyFont="1" applyFill="1" applyBorder="1" applyAlignment="1">
      <alignment horizontal="center" vertical="center"/>
    </xf>
    <xf numFmtId="0" fontId="7" fillId="2" borderId="28" xfId="2" applyFont="1" applyFill="1" applyBorder="1" applyAlignment="1">
      <alignment horizontal="center" vertical="center"/>
    </xf>
  </cellXfs>
  <cellStyles count="6">
    <cellStyle name="Comma" xfId="1" builtinId="3"/>
    <cellStyle name="Hyperlink" xfId="3" builtinId="8"/>
    <cellStyle name="Normal" xfId="0" builtinId="0"/>
    <cellStyle name="Normal 2" xfId="4" xr:uid="{00000000-0005-0000-0000-000003000000}"/>
    <cellStyle name="Normal 2 2" xfId="5" xr:uid="{00000000-0005-0000-0000-000004000000}"/>
    <cellStyle name="Normal_11161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173935</xdr:colOff>
      <xdr:row>0</xdr:row>
      <xdr:rowOff>140804</xdr:rowOff>
    </xdr:from>
    <xdr:to>
      <xdr:col>1</xdr:col>
      <xdr:colOff>337806</xdr:colOff>
      <xdr:row>2</xdr:row>
      <xdr:rowOff>284190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935" y="140804"/>
          <a:ext cx="553154" cy="77286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1994038</xdr:colOff>
      <xdr:row>1</xdr:row>
      <xdr:rowOff>40584</xdr:rowOff>
    </xdr:from>
    <xdr:to>
      <xdr:col>1</xdr:col>
      <xdr:colOff>3003053</xdr:colOff>
      <xdr:row>2</xdr:row>
      <xdr:rowOff>166314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FE04D8-33F5-3AC9-F6AC-DF92AF813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4563" y="354909"/>
          <a:ext cx="1009015" cy="44005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419100</xdr:colOff>
      <xdr:row>1</xdr:row>
      <xdr:rowOff>19050</xdr:rowOff>
    </xdr:from>
    <xdr:to>
      <xdr:col>1</xdr:col>
      <xdr:colOff>1699342</xdr:colOff>
      <xdr:row>2</xdr:row>
      <xdr:rowOff>80502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DBBA82-1E8C-41BC-B645-BCF28AB382FF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" y="333375"/>
          <a:ext cx="1280242" cy="3757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104775</xdr:rowOff>
    </xdr:from>
    <xdr:to>
      <xdr:col>1</xdr:col>
      <xdr:colOff>287696</xdr:colOff>
      <xdr:row>2</xdr:row>
      <xdr:rowOff>248161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04775"/>
          <a:ext cx="554396" cy="77203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369631</xdr:colOff>
      <xdr:row>1</xdr:row>
      <xdr:rowOff>13826</xdr:rowOff>
    </xdr:from>
    <xdr:to>
      <xdr:col>1</xdr:col>
      <xdr:colOff>1649873</xdr:colOff>
      <xdr:row>2</xdr:row>
      <xdr:rowOff>75278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156" y="328151"/>
          <a:ext cx="1280242" cy="375777"/>
        </a:xfrm>
        <a:prstGeom prst="rect">
          <a:avLst/>
        </a:prstGeom>
      </xdr:spPr>
    </xdr:pic>
    <xdr:clientData/>
  </xdr:twoCellAnchor>
  <xdr:twoCellAnchor editAs="oneCell">
    <xdr:from>
      <xdr:col>1</xdr:col>
      <xdr:colOff>2119033</xdr:colOff>
      <xdr:row>1</xdr:row>
      <xdr:rowOff>38660</xdr:rowOff>
    </xdr:from>
    <xdr:to>
      <xdr:col>1</xdr:col>
      <xdr:colOff>3128048</xdr:colOff>
      <xdr:row>2</xdr:row>
      <xdr:rowOff>164951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0A7A7F-BC63-7973-1F61-826B1B42C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9558" y="352985"/>
          <a:ext cx="1009015" cy="440616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2" name="Picture 1" descr="ADNOC">
          <a:extLst>
            <a:ext uri="{FF2B5EF4-FFF2-40B4-BE49-F238E27FC236}">
              <a16:creationId xmlns:a16="http://schemas.microsoft.com/office/drawing/2014/main" id="{C970B1E6-8990-4410-97CC-0508623B5FD1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4396" cy="77203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245806</xdr:colOff>
      <xdr:row>1</xdr:row>
      <xdr:rowOff>61451</xdr:rowOff>
    </xdr:from>
    <xdr:to>
      <xdr:col>1</xdr:col>
      <xdr:colOff>1526048</xdr:colOff>
      <xdr:row>2</xdr:row>
      <xdr:rowOff>122903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BEB4A6-4835-4F96-AC3D-EE0695D39115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331" y="375776"/>
          <a:ext cx="1280242" cy="375777"/>
        </a:xfrm>
        <a:prstGeom prst="rect">
          <a:avLst/>
        </a:prstGeom>
      </xdr:spPr>
    </xdr:pic>
    <xdr:clientData/>
  </xdr:twoCellAnchor>
  <xdr:twoCellAnchor editAs="oneCell">
    <xdr:from>
      <xdr:col>1</xdr:col>
      <xdr:colOff>1871383</xdr:colOff>
      <xdr:row>1</xdr:row>
      <xdr:rowOff>67235</xdr:rowOff>
    </xdr:from>
    <xdr:to>
      <xdr:col>1</xdr:col>
      <xdr:colOff>2880398</xdr:colOff>
      <xdr:row>2</xdr:row>
      <xdr:rowOff>193526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0D1034-39C3-4EB0-B73D-9DA192DB8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1908" y="381560"/>
          <a:ext cx="1009015" cy="44061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\5%20OFO%20PROCEDURES%20SCANNED%20COPY\2820%20ADNOC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..\6%20Anchor%20Pattern%20PDF\Anchor%20Pattern%20PDF\2820%20ADNOC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8"/>
  <sheetViews>
    <sheetView view="pageBreakPreview" zoomScaleNormal="115" zoomScaleSheetLayoutView="100" workbookViewId="0">
      <pane xSplit="3" ySplit="8" topLeftCell="D23" activePane="bottomRight" state="frozen"/>
      <selection pane="topRight" activeCell="D1" sqref="D1"/>
      <selection pane="bottomLeft" activeCell="A9" sqref="A9"/>
      <selection pane="bottomRight" activeCell="J32" sqref="J32"/>
    </sheetView>
  </sheetViews>
  <sheetFormatPr defaultColWidth="10.6640625" defaultRowHeight="12.75" x14ac:dyDescent="0.2"/>
  <cols>
    <col min="1" max="1" width="6.83203125" style="3" customWidth="1"/>
    <col min="2" max="2" width="79.33203125" style="3" customWidth="1"/>
    <col min="3" max="4" width="22.33203125" style="121" customWidth="1"/>
    <col min="5" max="5" width="9.1640625" style="121" customWidth="1"/>
    <col min="6" max="6" width="9" style="121" customWidth="1"/>
    <col min="7" max="8" width="14.33203125" style="121" customWidth="1"/>
    <col min="9" max="9" width="17" style="121" customWidth="1"/>
    <col min="10" max="10" width="16" style="121" customWidth="1"/>
    <col min="11" max="11" width="16" style="3" customWidth="1"/>
    <col min="12" max="12" width="34.33203125" style="122" customWidth="1"/>
    <col min="13" max="13" width="14.5" style="3" customWidth="1"/>
    <col min="14" max="14" width="28" style="122" customWidth="1"/>
    <col min="15" max="15" width="16.33203125" style="123" customWidth="1"/>
    <col min="16" max="16" width="14.5" style="3" customWidth="1"/>
    <col min="17" max="17" width="35.33203125" style="3" customWidth="1"/>
    <col min="18" max="18" width="13.5" style="3" customWidth="1"/>
    <col min="19" max="19" width="24.6640625" style="122" customWidth="1"/>
    <col min="20" max="20" width="19.1640625" style="123" customWidth="1"/>
    <col min="21" max="21" width="15.33203125" style="123" customWidth="1"/>
    <col min="22" max="16384" width="10.6640625" style="3"/>
  </cols>
  <sheetData>
    <row r="1" spans="1:21" s="5" customFormat="1" ht="24.95" customHeight="1" x14ac:dyDescent="0.2">
      <c r="A1" s="21"/>
      <c r="B1" s="22"/>
      <c r="C1" s="252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4"/>
      <c r="P1" s="25" t="s">
        <v>19</v>
      </c>
      <c r="Q1" s="26"/>
      <c r="R1" s="26"/>
      <c r="S1" s="27"/>
      <c r="T1" s="255"/>
      <c r="U1" s="256"/>
    </row>
    <row r="2" spans="1:21" s="5" customFormat="1" ht="24.95" customHeight="1" x14ac:dyDescent="0.2">
      <c r="A2" s="23"/>
      <c r="B2" s="24"/>
      <c r="C2" s="260" t="s">
        <v>347</v>
      </c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2"/>
      <c r="P2" s="259"/>
      <c r="Q2" s="259"/>
      <c r="R2" s="259"/>
      <c r="S2" s="259"/>
      <c r="T2" s="257"/>
      <c r="U2" s="258"/>
    </row>
    <row r="3" spans="1:21" s="5" customFormat="1" ht="24.95" customHeight="1" x14ac:dyDescent="0.2">
      <c r="A3" s="23"/>
      <c r="B3" s="24"/>
      <c r="C3" s="260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2"/>
      <c r="P3" s="28" t="s">
        <v>8</v>
      </c>
      <c r="Q3" s="130">
        <v>0</v>
      </c>
      <c r="R3" s="29"/>
      <c r="S3" s="30"/>
      <c r="T3" s="257"/>
      <c r="U3" s="258"/>
    </row>
    <row r="4" spans="1:21" s="5" customFormat="1" ht="24.95" customHeight="1" thickBot="1" x14ac:dyDescent="0.25">
      <c r="A4" s="23"/>
      <c r="B4" s="24"/>
      <c r="C4" s="308" t="s">
        <v>17</v>
      </c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10"/>
      <c r="P4" s="92" t="s">
        <v>7</v>
      </c>
      <c r="Q4" s="112">
        <f ca="1">TODAY()</f>
        <v>46273</v>
      </c>
      <c r="R4" s="93"/>
      <c r="S4" s="94"/>
      <c r="T4" s="304"/>
      <c r="U4" s="305"/>
    </row>
    <row r="5" spans="1:21" s="8" customFormat="1" ht="15" customHeight="1" thickTop="1" x14ac:dyDescent="0.2">
      <c r="A5" s="284" t="s">
        <v>0</v>
      </c>
      <c r="B5" s="288" t="s">
        <v>1</v>
      </c>
      <c r="C5" s="286" t="s">
        <v>24</v>
      </c>
      <c r="D5" s="286" t="s">
        <v>16</v>
      </c>
      <c r="E5" s="286" t="s">
        <v>11</v>
      </c>
      <c r="F5" s="286" t="s">
        <v>12</v>
      </c>
      <c r="G5" s="286" t="s">
        <v>10</v>
      </c>
      <c r="H5" s="286" t="s">
        <v>485</v>
      </c>
      <c r="I5" s="297" t="s">
        <v>25</v>
      </c>
      <c r="J5" s="298"/>
      <c r="K5" s="298"/>
      <c r="L5" s="299"/>
      <c r="M5" s="286" t="s">
        <v>20</v>
      </c>
      <c r="N5" s="286"/>
      <c r="O5" s="286"/>
      <c r="P5" s="286"/>
      <c r="Q5" s="286"/>
      <c r="R5" s="286"/>
      <c r="S5" s="286"/>
      <c r="T5" s="286"/>
      <c r="U5" s="306" t="s">
        <v>2</v>
      </c>
    </row>
    <row r="6" spans="1:21" s="8" customFormat="1" ht="24.95" customHeight="1" x14ac:dyDescent="0.2">
      <c r="A6" s="285"/>
      <c r="B6" s="289"/>
      <c r="C6" s="311"/>
      <c r="D6" s="311"/>
      <c r="E6" s="287"/>
      <c r="F6" s="311"/>
      <c r="G6" s="311"/>
      <c r="H6" s="243"/>
      <c r="I6" s="300" t="s">
        <v>4</v>
      </c>
      <c r="J6" s="301"/>
      <c r="K6" s="301"/>
      <c r="L6" s="302"/>
      <c r="M6" s="287" t="s">
        <v>5</v>
      </c>
      <c r="N6" s="287"/>
      <c r="O6" s="287"/>
      <c r="P6" s="287" t="s">
        <v>4</v>
      </c>
      <c r="Q6" s="287"/>
      <c r="R6" s="287" t="s">
        <v>5</v>
      </c>
      <c r="S6" s="287"/>
      <c r="T6" s="287"/>
      <c r="U6" s="307"/>
    </row>
    <row r="7" spans="1:21" s="8" customFormat="1" ht="24.95" customHeight="1" x14ac:dyDescent="0.2">
      <c r="A7" s="285"/>
      <c r="B7" s="289"/>
      <c r="C7" s="311"/>
      <c r="D7" s="311"/>
      <c r="E7" s="287"/>
      <c r="F7" s="311"/>
      <c r="G7" s="311"/>
      <c r="H7" s="243"/>
      <c r="I7" s="300" t="s">
        <v>23</v>
      </c>
      <c r="J7" s="302"/>
      <c r="K7" s="311" t="s">
        <v>21</v>
      </c>
      <c r="L7" s="311"/>
      <c r="M7" s="287" t="s">
        <v>13</v>
      </c>
      <c r="N7" s="287"/>
      <c r="O7" s="287"/>
      <c r="P7" s="287" t="s">
        <v>14</v>
      </c>
      <c r="Q7" s="287"/>
      <c r="R7" s="287" t="s">
        <v>15</v>
      </c>
      <c r="S7" s="287"/>
      <c r="T7" s="287"/>
      <c r="U7" s="307"/>
    </row>
    <row r="8" spans="1:21" s="8" customFormat="1" ht="15" customHeight="1" x14ac:dyDescent="0.2">
      <c r="A8" s="285"/>
      <c r="B8" s="289"/>
      <c r="C8" s="311"/>
      <c r="D8" s="311"/>
      <c r="E8" s="287"/>
      <c r="F8" s="311"/>
      <c r="G8" s="311"/>
      <c r="H8" s="243"/>
      <c r="I8" s="96" t="s">
        <v>6</v>
      </c>
      <c r="J8" s="95" t="s">
        <v>3</v>
      </c>
      <c r="K8" s="96" t="s">
        <v>3</v>
      </c>
      <c r="L8" s="95" t="s">
        <v>6</v>
      </c>
      <c r="M8" s="96" t="s">
        <v>3</v>
      </c>
      <c r="N8" s="95" t="s">
        <v>6</v>
      </c>
      <c r="O8" s="95" t="s">
        <v>9</v>
      </c>
      <c r="P8" s="95" t="s">
        <v>3</v>
      </c>
      <c r="Q8" s="96" t="s">
        <v>6</v>
      </c>
      <c r="R8" s="95" t="s">
        <v>3</v>
      </c>
      <c r="S8" s="96" t="s">
        <v>6</v>
      </c>
      <c r="T8" s="95" t="s">
        <v>9</v>
      </c>
      <c r="U8" s="307"/>
    </row>
    <row r="9" spans="1:21" ht="30" customHeight="1" x14ac:dyDescent="0.2">
      <c r="A9" s="97"/>
      <c r="B9" s="113" t="s">
        <v>457</v>
      </c>
      <c r="C9" s="62" t="s">
        <v>26</v>
      </c>
      <c r="D9" s="60" t="s">
        <v>32</v>
      </c>
      <c r="E9" s="61"/>
      <c r="F9" s="59">
        <v>2</v>
      </c>
      <c r="G9" s="167">
        <f>H9-60</f>
        <v>46267</v>
      </c>
      <c r="H9" s="167">
        <v>46327</v>
      </c>
      <c r="I9" s="82"/>
      <c r="J9" s="83"/>
      <c r="K9" s="12"/>
      <c r="L9" s="147"/>
      <c r="M9" s="12"/>
      <c r="N9" s="67"/>
      <c r="O9" s="10"/>
      <c r="P9" s="12"/>
      <c r="Q9" s="147"/>
      <c r="R9" s="12"/>
      <c r="S9" s="37"/>
      <c r="T9" s="10"/>
      <c r="U9" s="100"/>
    </row>
    <row r="10" spans="1:21" ht="30" customHeight="1" x14ac:dyDescent="0.2">
      <c r="A10" s="97"/>
      <c r="B10" s="132" t="s">
        <v>458</v>
      </c>
      <c r="C10" s="133" t="s">
        <v>27</v>
      </c>
      <c r="D10" s="133" t="s">
        <v>33</v>
      </c>
      <c r="E10" s="61" t="s">
        <v>95</v>
      </c>
      <c r="F10" s="150" t="s">
        <v>135</v>
      </c>
      <c r="G10" s="168"/>
      <c r="H10" s="169"/>
      <c r="I10" s="128" t="s">
        <v>96</v>
      </c>
      <c r="J10" s="129"/>
      <c r="K10" s="12"/>
      <c r="L10" s="147"/>
      <c r="M10" s="12"/>
      <c r="N10" s="67"/>
      <c r="O10" s="10"/>
      <c r="P10" s="12"/>
      <c r="Q10" s="147"/>
      <c r="R10" s="12"/>
      <c r="S10" s="37"/>
      <c r="T10" s="10"/>
      <c r="U10" s="100"/>
    </row>
    <row r="11" spans="1:21" s="81" customFormat="1" ht="30" customHeight="1" x14ac:dyDescent="0.2">
      <c r="A11" s="97"/>
      <c r="B11" s="296" t="s">
        <v>459</v>
      </c>
      <c r="C11" s="273" t="s">
        <v>28</v>
      </c>
      <c r="D11" s="312" t="s">
        <v>34</v>
      </c>
      <c r="E11" s="61" t="s">
        <v>95</v>
      </c>
      <c r="F11" s="76"/>
      <c r="G11" s="167">
        <f>H11-60</f>
        <v>46224</v>
      </c>
      <c r="H11" s="167">
        <v>46284</v>
      </c>
      <c r="I11" s="128" t="s">
        <v>450</v>
      </c>
      <c r="J11" s="129"/>
      <c r="K11" s="78"/>
      <c r="L11" s="147"/>
      <c r="M11" s="78"/>
      <c r="N11" s="79"/>
      <c r="O11" s="203"/>
      <c r="P11" s="78"/>
      <c r="Q11" s="147"/>
      <c r="R11" s="78"/>
      <c r="S11" s="80"/>
      <c r="T11" s="203"/>
      <c r="U11" s="101"/>
    </row>
    <row r="12" spans="1:21" s="81" customFormat="1" ht="30" customHeight="1" x14ac:dyDescent="0.2">
      <c r="A12" s="141"/>
      <c r="B12" s="303"/>
      <c r="C12" s="274"/>
      <c r="D12" s="313"/>
      <c r="E12" s="61" t="s">
        <v>452</v>
      </c>
      <c r="F12" s="142">
        <v>2</v>
      </c>
      <c r="G12" s="167"/>
      <c r="H12" s="170"/>
      <c r="I12" s="128" t="s">
        <v>477</v>
      </c>
      <c r="J12" s="143">
        <v>46189</v>
      </c>
      <c r="K12" s="144">
        <v>46190</v>
      </c>
      <c r="L12" s="147" t="s">
        <v>488</v>
      </c>
      <c r="M12" s="144">
        <v>46190</v>
      </c>
      <c r="N12" s="145" t="s">
        <v>510</v>
      </c>
      <c r="O12" s="206" t="s">
        <v>511</v>
      </c>
      <c r="P12" s="144">
        <v>46189</v>
      </c>
      <c r="Q12" s="147" t="s">
        <v>489</v>
      </c>
      <c r="R12" s="12">
        <v>46195</v>
      </c>
      <c r="S12" s="98" t="s">
        <v>494</v>
      </c>
      <c r="T12" s="204" t="s">
        <v>495</v>
      </c>
      <c r="U12" s="146"/>
    </row>
    <row r="13" spans="1:21" s="81" customFormat="1" ht="30" customHeight="1" x14ac:dyDescent="0.2">
      <c r="A13" s="141"/>
      <c r="B13" s="291"/>
      <c r="C13" s="275"/>
      <c r="D13" s="314"/>
      <c r="E13" s="156">
        <v>2</v>
      </c>
      <c r="F13" s="142"/>
      <c r="G13" s="167"/>
      <c r="H13" s="170"/>
      <c r="I13" s="128" t="s">
        <v>518</v>
      </c>
      <c r="J13" s="143"/>
      <c r="K13" s="144">
        <v>46252</v>
      </c>
      <c r="L13" s="164" t="s">
        <v>519</v>
      </c>
      <c r="M13" s="144"/>
      <c r="N13" s="145"/>
      <c r="O13" s="203"/>
      <c r="P13" s="144">
        <v>46246</v>
      </c>
      <c r="Q13" s="164" t="s">
        <v>520</v>
      </c>
      <c r="R13" s="151"/>
      <c r="S13" s="202"/>
      <c r="T13" s="204"/>
      <c r="U13" s="146"/>
    </row>
    <row r="14" spans="1:21" s="81" customFormat="1" ht="30" customHeight="1" x14ac:dyDescent="0.2">
      <c r="A14" s="97"/>
      <c r="B14" s="113" t="s">
        <v>460</v>
      </c>
      <c r="C14" s="62" t="s">
        <v>29</v>
      </c>
      <c r="D14" s="77" t="s">
        <v>35</v>
      </c>
      <c r="E14" s="61"/>
      <c r="F14" s="142">
        <v>2</v>
      </c>
      <c r="G14" s="167">
        <f>H14-60</f>
        <v>46429</v>
      </c>
      <c r="H14" s="167">
        <v>46489</v>
      </c>
      <c r="I14" s="82"/>
      <c r="J14" s="83"/>
      <c r="K14" s="78"/>
      <c r="L14" s="147"/>
      <c r="M14" s="78"/>
      <c r="N14" s="79"/>
      <c r="O14" s="203"/>
      <c r="P14" s="78"/>
      <c r="Q14" s="147"/>
      <c r="R14" s="78"/>
      <c r="S14" s="80"/>
      <c r="T14" s="203"/>
      <c r="U14" s="101"/>
    </row>
    <row r="15" spans="1:21" ht="30" customHeight="1" x14ac:dyDescent="0.2">
      <c r="A15" s="97"/>
      <c r="B15" s="132" t="s">
        <v>461</v>
      </c>
      <c r="C15" s="133" t="s">
        <v>30</v>
      </c>
      <c r="D15" s="60" t="s">
        <v>36</v>
      </c>
      <c r="E15" s="61"/>
      <c r="F15" s="142">
        <v>2</v>
      </c>
      <c r="G15" s="167">
        <f>H15-60</f>
        <v>46440</v>
      </c>
      <c r="H15" s="167">
        <v>46500</v>
      </c>
      <c r="I15" s="82"/>
      <c r="J15" s="83"/>
      <c r="K15" s="12"/>
      <c r="L15" s="147"/>
      <c r="M15" s="12"/>
      <c r="N15" s="67"/>
      <c r="O15" s="10"/>
      <c r="P15" s="12"/>
      <c r="Q15" s="147"/>
      <c r="R15" s="12"/>
      <c r="S15" s="37"/>
      <c r="T15" s="10"/>
      <c r="U15" s="100"/>
    </row>
    <row r="16" spans="1:21" ht="30" customHeight="1" x14ac:dyDescent="0.2">
      <c r="A16" s="97"/>
      <c r="B16" s="152" t="s">
        <v>499</v>
      </c>
      <c r="C16" s="153" t="s">
        <v>31</v>
      </c>
      <c r="D16" s="154" t="s">
        <v>37</v>
      </c>
      <c r="E16" s="61" t="s">
        <v>95</v>
      </c>
      <c r="F16" s="142">
        <v>2</v>
      </c>
      <c r="G16" s="167">
        <f>H16-60</f>
        <v>46258</v>
      </c>
      <c r="H16" s="167">
        <v>46318</v>
      </c>
      <c r="I16" s="128" t="s">
        <v>496</v>
      </c>
      <c r="J16" s="83"/>
      <c r="K16" s="12"/>
      <c r="L16" s="147"/>
      <c r="M16" s="12"/>
      <c r="N16" s="67"/>
      <c r="O16" s="10"/>
      <c r="P16" s="12"/>
      <c r="Q16" s="147"/>
      <c r="R16" s="12"/>
      <c r="S16" s="37"/>
      <c r="T16" s="10"/>
      <c r="U16" s="100"/>
    </row>
    <row r="17" spans="1:21" ht="30" customHeight="1" x14ac:dyDescent="0.2">
      <c r="A17" s="97"/>
      <c r="B17" s="113" t="s">
        <v>462</v>
      </c>
      <c r="C17" s="62" t="s">
        <v>38</v>
      </c>
      <c r="D17" s="60" t="s">
        <v>39</v>
      </c>
      <c r="E17" s="61"/>
      <c r="F17" s="142">
        <v>2</v>
      </c>
      <c r="G17" s="167">
        <f>H17-60</f>
        <v>46521</v>
      </c>
      <c r="H17" s="167">
        <v>46581</v>
      </c>
      <c r="I17" s="82"/>
      <c r="J17" s="83"/>
      <c r="K17" s="12"/>
      <c r="L17" s="147"/>
      <c r="M17" s="12"/>
      <c r="N17" s="68"/>
      <c r="O17" s="10"/>
      <c r="P17" s="12"/>
      <c r="Q17" s="147"/>
      <c r="R17" s="12"/>
      <c r="S17" s="37"/>
      <c r="T17" s="10"/>
      <c r="U17" s="100"/>
    </row>
    <row r="18" spans="1:21" ht="30" customHeight="1" x14ac:dyDescent="0.2">
      <c r="A18" s="97"/>
      <c r="B18" s="296" t="s">
        <v>487</v>
      </c>
      <c r="C18" s="273" t="s">
        <v>40</v>
      </c>
      <c r="D18" s="294" t="s">
        <v>41</v>
      </c>
      <c r="E18" s="61" t="s">
        <v>95</v>
      </c>
      <c r="F18" s="142">
        <v>2</v>
      </c>
      <c r="G18" s="167"/>
      <c r="H18" s="167"/>
      <c r="I18" s="82"/>
      <c r="J18" s="83"/>
      <c r="K18" s="12"/>
      <c r="L18" s="147"/>
      <c r="M18" s="12"/>
      <c r="N18" s="68"/>
      <c r="O18" s="10"/>
      <c r="P18" s="12"/>
      <c r="Q18" s="147"/>
      <c r="R18" s="12"/>
      <c r="S18" s="37"/>
      <c r="T18" s="10"/>
      <c r="U18" s="100"/>
    </row>
    <row r="19" spans="1:21" ht="30" customHeight="1" x14ac:dyDescent="0.2">
      <c r="A19" s="141"/>
      <c r="B19" s="291"/>
      <c r="C19" s="275"/>
      <c r="D19" s="295"/>
      <c r="E19" s="156">
        <v>1</v>
      </c>
      <c r="F19" s="142">
        <v>2</v>
      </c>
      <c r="G19" s="167"/>
      <c r="H19" s="167"/>
      <c r="I19" s="128" t="s">
        <v>508</v>
      </c>
      <c r="J19" s="83">
        <v>46233</v>
      </c>
      <c r="K19" s="151">
        <v>46234</v>
      </c>
      <c r="L19" s="164" t="s">
        <v>509</v>
      </c>
      <c r="M19" s="151">
        <v>46255</v>
      </c>
      <c r="N19" s="165" t="s">
        <v>527</v>
      </c>
      <c r="O19" s="205" t="s">
        <v>511</v>
      </c>
      <c r="P19" s="12">
        <v>46234</v>
      </c>
      <c r="Q19" s="164" t="s">
        <v>512</v>
      </c>
      <c r="R19" s="151"/>
      <c r="S19" s="166" t="s">
        <v>528</v>
      </c>
      <c r="T19" s="206" t="s">
        <v>529</v>
      </c>
      <c r="U19" s="157"/>
    </row>
    <row r="20" spans="1:21" ht="30" customHeight="1" x14ac:dyDescent="0.2">
      <c r="A20" s="97"/>
      <c r="B20" s="113" t="s">
        <v>463</v>
      </c>
      <c r="C20" s="62" t="s">
        <v>42</v>
      </c>
      <c r="D20" s="60" t="s">
        <v>43</v>
      </c>
      <c r="E20" s="61"/>
      <c r="F20" s="142">
        <v>2</v>
      </c>
      <c r="G20" s="167">
        <f>H20-60</f>
        <v>46893</v>
      </c>
      <c r="H20" s="167">
        <v>46953</v>
      </c>
      <c r="I20" s="82"/>
      <c r="J20" s="83"/>
      <c r="K20" s="12"/>
      <c r="L20" s="147"/>
      <c r="M20" s="12"/>
      <c r="N20" s="68"/>
      <c r="O20" s="10"/>
      <c r="P20" s="12"/>
      <c r="Q20" s="147"/>
      <c r="R20" s="12"/>
      <c r="S20" s="37"/>
      <c r="T20" s="10"/>
      <c r="U20" s="100"/>
    </row>
    <row r="21" spans="1:21" ht="30" customHeight="1" x14ac:dyDescent="0.2">
      <c r="A21" s="97"/>
      <c r="B21" s="113" t="s">
        <v>464</v>
      </c>
      <c r="C21" s="62" t="s">
        <v>44</v>
      </c>
      <c r="D21" s="59" t="s">
        <v>45</v>
      </c>
      <c r="E21" s="61"/>
      <c r="F21" s="142">
        <v>2</v>
      </c>
      <c r="G21" s="167">
        <f>H21-60</f>
        <v>46514</v>
      </c>
      <c r="H21" s="167">
        <v>46574</v>
      </c>
      <c r="I21" s="82"/>
      <c r="J21" s="83"/>
      <c r="K21" s="12"/>
      <c r="L21" s="147"/>
      <c r="M21" s="12"/>
      <c r="N21" s="16"/>
      <c r="O21" s="11"/>
      <c r="P21" s="12"/>
      <c r="Q21" s="147"/>
      <c r="R21" s="12"/>
      <c r="S21" s="37"/>
      <c r="T21" s="10"/>
      <c r="U21" s="100"/>
    </row>
    <row r="22" spans="1:21" ht="30" customHeight="1" x14ac:dyDescent="0.2">
      <c r="A22" s="97"/>
      <c r="B22" s="113" t="s">
        <v>465</v>
      </c>
      <c r="C22" s="62" t="s">
        <v>46</v>
      </c>
      <c r="D22" s="59" t="s">
        <v>62</v>
      </c>
      <c r="E22" s="61"/>
      <c r="F22" s="142">
        <v>2</v>
      </c>
      <c r="G22" s="167">
        <f>H22-60</f>
        <v>46545</v>
      </c>
      <c r="H22" s="167">
        <v>46605</v>
      </c>
      <c r="I22" s="82"/>
      <c r="J22" s="83"/>
      <c r="K22" s="12"/>
      <c r="L22" s="147"/>
      <c r="M22" s="12"/>
      <c r="N22" s="16"/>
      <c r="O22" s="11"/>
      <c r="P22" s="12"/>
      <c r="Q22" s="147"/>
      <c r="R22" s="12"/>
      <c r="S22" s="37"/>
      <c r="T22" s="10"/>
      <c r="U22" s="100"/>
    </row>
    <row r="23" spans="1:21" ht="30" customHeight="1" x14ac:dyDescent="0.2">
      <c r="A23" s="97"/>
      <c r="B23" s="113" t="s">
        <v>466</v>
      </c>
      <c r="C23" s="62" t="s">
        <v>47</v>
      </c>
      <c r="D23" s="59" t="s">
        <v>63</v>
      </c>
      <c r="E23" s="61"/>
      <c r="F23" s="142">
        <v>2</v>
      </c>
      <c r="G23" s="167">
        <f>H23-60</f>
        <v>46545</v>
      </c>
      <c r="H23" s="167">
        <v>46605</v>
      </c>
      <c r="I23" s="82"/>
      <c r="J23" s="83"/>
      <c r="K23" s="12"/>
      <c r="L23" s="147"/>
      <c r="M23" s="12"/>
      <c r="N23" s="57"/>
      <c r="O23" s="10"/>
      <c r="P23" s="12"/>
      <c r="Q23" s="147"/>
      <c r="R23" s="12"/>
      <c r="S23" s="55"/>
      <c r="T23" s="10"/>
      <c r="U23" s="102"/>
    </row>
    <row r="24" spans="1:21" ht="30" customHeight="1" x14ac:dyDescent="0.2">
      <c r="A24" s="97"/>
      <c r="B24" s="290" t="s">
        <v>467</v>
      </c>
      <c r="C24" s="292" t="s">
        <v>48</v>
      </c>
      <c r="D24" s="293" t="s">
        <v>64</v>
      </c>
      <c r="E24" s="61" t="s">
        <v>95</v>
      </c>
      <c r="F24" s="59"/>
      <c r="G24" s="167">
        <f>H24-60</f>
        <v>46206</v>
      </c>
      <c r="H24" s="167">
        <v>46266</v>
      </c>
      <c r="I24" s="128" t="s">
        <v>131</v>
      </c>
      <c r="J24" s="83"/>
      <c r="K24" s="63"/>
      <c r="L24" s="147"/>
      <c r="M24" s="12"/>
      <c r="N24" s="16"/>
      <c r="O24" s="10"/>
      <c r="P24" s="12"/>
      <c r="Q24" s="147"/>
      <c r="R24" s="12"/>
      <c r="S24" s="98"/>
      <c r="T24" s="10"/>
      <c r="U24" s="99"/>
    </row>
    <row r="25" spans="1:21" ht="30" customHeight="1" x14ac:dyDescent="0.2">
      <c r="A25" s="97"/>
      <c r="B25" s="291"/>
      <c r="C25" s="275"/>
      <c r="D25" s="278"/>
      <c r="E25" s="61" t="s">
        <v>452</v>
      </c>
      <c r="F25" s="59">
        <v>2</v>
      </c>
      <c r="G25" s="167"/>
      <c r="H25" s="167"/>
      <c r="I25" s="128" t="s">
        <v>476</v>
      </c>
      <c r="J25" s="83">
        <v>46185</v>
      </c>
      <c r="K25" s="63">
        <v>46189</v>
      </c>
      <c r="L25" s="147" t="s">
        <v>478</v>
      </c>
      <c r="M25" s="12"/>
      <c r="N25" s="16"/>
      <c r="O25" s="10"/>
      <c r="P25" s="12">
        <v>46185</v>
      </c>
      <c r="Q25" s="147" t="s">
        <v>479</v>
      </c>
      <c r="R25" s="12">
        <v>46211</v>
      </c>
      <c r="S25" s="98" t="s">
        <v>498</v>
      </c>
      <c r="T25" s="204" t="s">
        <v>495</v>
      </c>
      <c r="U25" s="99"/>
    </row>
    <row r="26" spans="1:21" ht="30" customHeight="1" x14ac:dyDescent="0.2">
      <c r="A26" s="97"/>
      <c r="B26" s="296" t="s">
        <v>468</v>
      </c>
      <c r="C26" s="273" t="s">
        <v>49</v>
      </c>
      <c r="D26" s="276" t="s">
        <v>65</v>
      </c>
      <c r="E26" s="61" t="s">
        <v>95</v>
      </c>
      <c r="F26" s="142">
        <v>2</v>
      </c>
      <c r="G26" s="167">
        <f>H26-60</f>
        <v>46442</v>
      </c>
      <c r="H26" s="167">
        <v>46502</v>
      </c>
      <c r="I26" s="128" t="s">
        <v>451</v>
      </c>
      <c r="J26" s="129"/>
      <c r="K26" s="63"/>
      <c r="L26" s="147"/>
      <c r="M26" s="63"/>
      <c r="N26" s="114"/>
      <c r="O26" s="10"/>
      <c r="P26" s="12"/>
      <c r="Q26" s="147"/>
      <c r="R26" s="12"/>
      <c r="S26" s="37"/>
      <c r="T26" s="10"/>
      <c r="U26" s="100"/>
    </row>
    <row r="27" spans="1:21" ht="30" customHeight="1" x14ac:dyDescent="0.2">
      <c r="A27" s="141"/>
      <c r="B27" s="291"/>
      <c r="C27" s="275"/>
      <c r="D27" s="278"/>
      <c r="E27" s="156">
        <v>1</v>
      </c>
      <c r="F27" s="142">
        <v>2</v>
      </c>
      <c r="G27" s="167"/>
      <c r="H27" s="167"/>
      <c r="I27" s="128" t="s">
        <v>490</v>
      </c>
      <c r="J27" s="83">
        <v>46189</v>
      </c>
      <c r="K27" s="149">
        <v>46190</v>
      </c>
      <c r="L27" s="147" t="s">
        <v>491</v>
      </c>
      <c r="M27" s="149">
        <v>46209</v>
      </c>
      <c r="N27" s="147" t="s">
        <v>513</v>
      </c>
      <c r="O27" s="206" t="s">
        <v>511</v>
      </c>
      <c r="P27" s="151">
        <v>46189</v>
      </c>
      <c r="Q27" s="147" t="s">
        <v>492</v>
      </c>
      <c r="R27" s="12">
        <v>46195</v>
      </c>
      <c r="S27" s="98" t="s">
        <v>494</v>
      </c>
      <c r="T27" s="204" t="s">
        <v>495</v>
      </c>
      <c r="U27" s="157"/>
    </row>
    <row r="28" spans="1:21" ht="30" customHeight="1" x14ac:dyDescent="0.2">
      <c r="A28" s="97"/>
      <c r="B28" s="113" t="s">
        <v>469</v>
      </c>
      <c r="C28" s="62" t="s">
        <v>50</v>
      </c>
      <c r="D28" s="59" t="s">
        <v>66</v>
      </c>
      <c r="E28" s="61"/>
      <c r="F28" s="142">
        <v>2</v>
      </c>
      <c r="G28" s="167">
        <f>H28-60</f>
        <v>46442</v>
      </c>
      <c r="H28" s="167">
        <v>46502</v>
      </c>
      <c r="I28" s="128"/>
      <c r="J28" s="83"/>
      <c r="K28" s="63"/>
      <c r="L28" s="147"/>
      <c r="M28" s="63"/>
      <c r="N28" s="114"/>
      <c r="O28" s="10"/>
      <c r="P28" s="12"/>
      <c r="Q28" s="147"/>
      <c r="R28" s="12"/>
      <c r="S28" s="37"/>
      <c r="T28" s="10"/>
      <c r="U28" s="100"/>
    </row>
    <row r="29" spans="1:21" ht="30" customHeight="1" x14ac:dyDescent="0.2">
      <c r="A29" s="97"/>
      <c r="B29" s="290" t="s">
        <v>456</v>
      </c>
      <c r="C29" s="292" t="s">
        <v>51</v>
      </c>
      <c r="D29" s="293" t="s">
        <v>67</v>
      </c>
      <c r="E29" s="61" t="s">
        <v>95</v>
      </c>
      <c r="F29" s="142">
        <v>2</v>
      </c>
      <c r="G29" s="167">
        <f>H29-60</f>
        <v>46206</v>
      </c>
      <c r="H29" s="167">
        <v>46266</v>
      </c>
      <c r="I29" s="128" t="s">
        <v>453</v>
      </c>
      <c r="J29" s="129"/>
      <c r="K29" s="63"/>
      <c r="L29" s="147"/>
      <c r="M29" s="63"/>
      <c r="N29" s="114"/>
      <c r="O29" s="10"/>
      <c r="P29" s="12"/>
      <c r="Q29" s="147"/>
      <c r="R29" s="12"/>
      <c r="S29" s="37"/>
      <c r="T29" s="10"/>
      <c r="U29" s="100"/>
    </row>
    <row r="30" spans="1:21" ht="30" customHeight="1" x14ac:dyDescent="0.2">
      <c r="A30" s="97"/>
      <c r="B30" s="291"/>
      <c r="C30" s="275"/>
      <c r="D30" s="278"/>
      <c r="E30" s="61" t="s">
        <v>452</v>
      </c>
      <c r="F30" s="59">
        <v>2</v>
      </c>
      <c r="G30" s="167"/>
      <c r="H30" s="167"/>
      <c r="I30" s="128" t="s">
        <v>454</v>
      </c>
      <c r="J30" s="83">
        <v>46183</v>
      </c>
      <c r="K30" s="63">
        <v>46185</v>
      </c>
      <c r="L30" s="147" t="s">
        <v>455</v>
      </c>
      <c r="M30" s="63">
        <v>46244</v>
      </c>
      <c r="N30" s="147" t="s">
        <v>521</v>
      </c>
      <c r="O30" s="204" t="s">
        <v>522</v>
      </c>
      <c r="P30" s="12">
        <v>46185</v>
      </c>
      <c r="Q30" s="147" t="s">
        <v>480</v>
      </c>
      <c r="R30" s="12"/>
      <c r="S30" s="37"/>
      <c r="T30" s="10"/>
      <c r="U30" s="100"/>
    </row>
    <row r="31" spans="1:21" ht="30" customHeight="1" x14ac:dyDescent="0.2">
      <c r="A31" s="97"/>
      <c r="B31" s="113" t="s">
        <v>470</v>
      </c>
      <c r="C31" s="62" t="s">
        <v>52</v>
      </c>
      <c r="D31" s="59" t="s">
        <v>68</v>
      </c>
      <c r="E31" s="61"/>
      <c r="F31" s="142">
        <v>2</v>
      </c>
      <c r="G31" s="167">
        <f t="shared" ref="G31:G38" si="0">H31-60</f>
        <v>46554</v>
      </c>
      <c r="H31" s="167">
        <v>46614</v>
      </c>
      <c r="I31" s="82"/>
      <c r="J31" s="83"/>
      <c r="K31" s="63"/>
      <c r="L31" s="147"/>
      <c r="M31" s="12"/>
      <c r="N31" s="67"/>
      <c r="O31" s="10"/>
      <c r="P31" s="12"/>
      <c r="Q31" s="147"/>
      <c r="R31" s="12"/>
      <c r="S31" s="115"/>
      <c r="T31" s="10"/>
      <c r="U31" s="100"/>
    </row>
    <row r="32" spans="1:21" ht="30" customHeight="1" x14ac:dyDescent="0.2">
      <c r="A32" s="97"/>
      <c r="B32" s="113" t="s">
        <v>471</v>
      </c>
      <c r="C32" s="62" t="s">
        <v>53</v>
      </c>
      <c r="D32" s="59" t="s">
        <v>69</v>
      </c>
      <c r="E32" s="61"/>
      <c r="F32" s="142">
        <v>2</v>
      </c>
      <c r="G32" s="167">
        <f t="shared" si="0"/>
        <v>46258</v>
      </c>
      <c r="H32" s="167">
        <v>46318</v>
      </c>
      <c r="I32" s="82"/>
      <c r="J32" s="83"/>
      <c r="K32" s="12"/>
      <c r="L32" s="147"/>
      <c r="M32" s="12"/>
      <c r="N32" s="67"/>
      <c r="O32" s="10"/>
      <c r="P32" s="12"/>
      <c r="Q32" s="147"/>
      <c r="R32" s="12"/>
      <c r="S32" s="37"/>
      <c r="T32" s="10"/>
      <c r="U32" s="100"/>
    </row>
    <row r="33" spans="1:21" ht="30" customHeight="1" x14ac:dyDescent="0.2">
      <c r="A33" s="97"/>
      <c r="B33" s="113" t="s">
        <v>500</v>
      </c>
      <c r="C33" s="62" t="s">
        <v>54</v>
      </c>
      <c r="D33" s="59" t="s">
        <v>70</v>
      </c>
      <c r="E33" s="61" t="s">
        <v>95</v>
      </c>
      <c r="F33" s="142">
        <v>2</v>
      </c>
      <c r="G33" s="167">
        <f t="shared" si="0"/>
        <v>46440</v>
      </c>
      <c r="H33" s="167">
        <v>46500</v>
      </c>
      <c r="I33" s="82"/>
      <c r="J33" s="83"/>
      <c r="K33" s="12"/>
      <c r="L33" s="147"/>
      <c r="M33" s="12"/>
      <c r="N33" s="68"/>
      <c r="O33" s="10"/>
      <c r="P33" s="12"/>
      <c r="Q33" s="147"/>
      <c r="R33" s="12"/>
      <c r="S33" s="37"/>
      <c r="T33" s="10"/>
      <c r="U33" s="100"/>
    </row>
    <row r="34" spans="1:21" ht="30" customHeight="1" x14ac:dyDescent="0.2">
      <c r="A34" s="97"/>
      <c r="B34" s="113" t="s">
        <v>472</v>
      </c>
      <c r="C34" s="62" t="s">
        <v>55</v>
      </c>
      <c r="D34" s="59" t="s">
        <v>71</v>
      </c>
      <c r="E34" s="61"/>
      <c r="F34" s="142">
        <v>2</v>
      </c>
      <c r="G34" s="167">
        <f t="shared" si="0"/>
        <v>46440</v>
      </c>
      <c r="H34" s="167">
        <v>46500</v>
      </c>
      <c r="I34" s="82"/>
      <c r="J34" s="83"/>
      <c r="K34" s="12"/>
      <c r="L34" s="147"/>
      <c r="M34" s="12"/>
      <c r="N34" s="68"/>
      <c r="O34" s="10"/>
      <c r="P34" s="12"/>
      <c r="Q34" s="147"/>
      <c r="R34" s="12"/>
      <c r="S34" s="37"/>
      <c r="T34" s="10"/>
      <c r="U34" s="100"/>
    </row>
    <row r="35" spans="1:21" ht="30" customHeight="1" x14ac:dyDescent="0.2">
      <c r="A35" s="97"/>
      <c r="B35" s="132" t="s">
        <v>473</v>
      </c>
      <c r="C35" s="133" t="s">
        <v>56</v>
      </c>
      <c r="D35" s="59" t="s">
        <v>72</v>
      </c>
      <c r="E35" s="61"/>
      <c r="F35" s="142">
        <v>2</v>
      </c>
      <c r="G35" s="167">
        <f t="shared" si="0"/>
        <v>46440</v>
      </c>
      <c r="H35" s="167">
        <v>46500</v>
      </c>
      <c r="I35" s="82"/>
      <c r="J35" s="83"/>
      <c r="K35" s="63"/>
      <c r="L35" s="147"/>
      <c r="M35" s="63"/>
      <c r="N35" s="115"/>
      <c r="O35" s="10"/>
      <c r="P35" s="12"/>
      <c r="Q35" s="147"/>
      <c r="R35" s="12"/>
      <c r="S35" s="115"/>
      <c r="T35" s="10"/>
      <c r="U35" s="100"/>
    </row>
    <row r="36" spans="1:21" ht="30" customHeight="1" x14ac:dyDescent="0.2">
      <c r="A36" s="97"/>
      <c r="B36" s="113" t="s">
        <v>474</v>
      </c>
      <c r="C36" s="62" t="s">
        <v>57</v>
      </c>
      <c r="D36" s="59" t="s">
        <v>73</v>
      </c>
      <c r="E36" s="61"/>
      <c r="F36" s="142">
        <v>2</v>
      </c>
      <c r="G36" s="167">
        <f t="shared" si="0"/>
        <v>46541</v>
      </c>
      <c r="H36" s="167">
        <v>46601</v>
      </c>
      <c r="I36" s="82"/>
      <c r="J36" s="83"/>
      <c r="K36" s="12"/>
      <c r="L36" s="147"/>
      <c r="M36" s="12"/>
      <c r="N36" s="68"/>
      <c r="O36" s="10"/>
      <c r="P36" s="12"/>
      <c r="Q36" s="147"/>
      <c r="R36" s="12"/>
      <c r="S36" s="37"/>
      <c r="T36" s="10"/>
      <c r="U36" s="100"/>
    </row>
    <row r="37" spans="1:21" ht="30" customHeight="1" x14ac:dyDescent="0.2">
      <c r="A37" s="97"/>
      <c r="B37" s="155" t="s">
        <v>475</v>
      </c>
      <c r="C37" s="153" t="s">
        <v>58</v>
      </c>
      <c r="D37" s="148" t="s">
        <v>74</v>
      </c>
      <c r="E37" s="61"/>
      <c r="F37" s="142">
        <v>2</v>
      </c>
      <c r="G37" s="167">
        <f t="shared" si="0"/>
        <v>46268</v>
      </c>
      <c r="H37" s="167">
        <v>46328</v>
      </c>
      <c r="I37" s="82"/>
      <c r="J37" s="83"/>
      <c r="K37" s="12"/>
      <c r="L37" s="147"/>
      <c r="M37" s="12"/>
      <c r="N37" s="68"/>
      <c r="O37" s="10"/>
      <c r="P37" s="12"/>
      <c r="Q37" s="147"/>
      <c r="R37" s="12"/>
      <c r="S37" s="37"/>
      <c r="T37" s="10"/>
      <c r="U37" s="100"/>
    </row>
    <row r="38" spans="1:21" ht="30" customHeight="1" x14ac:dyDescent="0.2">
      <c r="A38" s="97"/>
      <c r="B38" s="296" t="s">
        <v>501</v>
      </c>
      <c r="C38" s="273" t="s">
        <v>133</v>
      </c>
      <c r="D38" s="276" t="s">
        <v>134</v>
      </c>
      <c r="E38" s="61" t="s">
        <v>95</v>
      </c>
      <c r="F38" s="142">
        <v>2</v>
      </c>
      <c r="G38" s="279">
        <f t="shared" si="0"/>
        <v>46267</v>
      </c>
      <c r="H38" s="279">
        <v>46327</v>
      </c>
      <c r="I38" s="128" t="s">
        <v>493</v>
      </c>
      <c r="J38" s="83"/>
      <c r="K38" s="12"/>
      <c r="L38" s="147"/>
      <c r="M38" s="12"/>
      <c r="N38" s="12"/>
      <c r="O38" s="18"/>
      <c r="P38" s="12"/>
      <c r="Q38" s="147"/>
      <c r="R38" s="11"/>
      <c r="S38" s="12"/>
      <c r="T38" s="18"/>
      <c r="U38" s="103"/>
    </row>
    <row r="39" spans="1:21" ht="30" customHeight="1" x14ac:dyDescent="0.2">
      <c r="A39" s="97"/>
      <c r="B39" s="303"/>
      <c r="C39" s="274"/>
      <c r="D39" s="277"/>
      <c r="E39" s="61">
        <v>1</v>
      </c>
      <c r="F39" s="59">
        <v>2</v>
      </c>
      <c r="G39" s="280"/>
      <c r="H39" s="280"/>
      <c r="I39" s="128" t="s">
        <v>504</v>
      </c>
      <c r="J39" s="83" t="s">
        <v>505</v>
      </c>
      <c r="K39" s="163">
        <v>46227</v>
      </c>
      <c r="L39" s="147" t="s">
        <v>506</v>
      </c>
      <c r="M39" s="149">
        <v>46233</v>
      </c>
      <c r="N39" s="147" t="s">
        <v>514</v>
      </c>
      <c r="O39" s="207" t="s">
        <v>511</v>
      </c>
      <c r="P39" s="12">
        <v>46227</v>
      </c>
      <c r="Q39" s="147" t="s">
        <v>507</v>
      </c>
      <c r="R39" s="16"/>
      <c r="S39" s="15"/>
      <c r="T39" s="10"/>
      <c r="U39" s="100"/>
    </row>
    <row r="40" spans="1:21" s="81" customFormat="1" ht="30" customHeight="1" x14ac:dyDescent="0.2">
      <c r="A40" s="221"/>
      <c r="B40" s="291"/>
      <c r="C40" s="275"/>
      <c r="D40" s="278"/>
      <c r="E40" s="222">
        <v>2</v>
      </c>
      <c r="F40" s="142"/>
      <c r="G40" s="281"/>
      <c r="H40" s="281"/>
      <c r="I40" s="230" t="s">
        <v>532</v>
      </c>
      <c r="J40" s="223"/>
      <c r="K40" s="224"/>
      <c r="L40" s="225"/>
      <c r="M40" s="226"/>
      <c r="N40" s="225"/>
      <c r="O40" s="227"/>
      <c r="P40" s="144"/>
      <c r="Q40" s="225"/>
      <c r="R40" s="228"/>
      <c r="S40" s="229"/>
      <c r="T40" s="227"/>
      <c r="U40" s="146"/>
    </row>
    <row r="41" spans="1:21" s="185" customFormat="1" ht="30" customHeight="1" x14ac:dyDescent="0.2">
      <c r="A41" s="171"/>
      <c r="B41" s="172" t="s">
        <v>516</v>
      </c>
      <c r="C41" s="173" t="s">
        <v>515</v>
      </c>
      <c r="D41" s="174"/>
      <c r="E41" s="175">
        <v>1</v>
      </c>
      <c r="F41" s="176"/>
      <c r="G41" s="282" t="s">
        <v>517</v>
      </c>
      <c r="H41" s="283"/>
      <c r="I41" s="177"/>
      <c r="J41" s="178"/>
      <c r="K41" s="179"/>
      <c r="L41" s="180"/>
      <c r="M41" s="160"/>
      <c r="N41" s="180"/>
      <c r="O41" s="183"/>
      <c r="P41" s="161"/>
      <c r="Q41" s="180"/>
      <c r="R41" s="181"/>
      <c r="S41" s="182"/>
      <c r="T41" s="183"/>
      <c r="U41" s="184"/>
    </row>
    <row r="42" spans="1:21" s="185" customFormat="1" ht="30" customHeight="1" x14ac:dyDescent="0.2">
      <c r="A42" s="171"/>
      <c r="B42" s="172"/>
      <c r="C42" s="173"/>
      <c r="D42" s="174"/>
      <c r="E42" s="175"/>
      <c r="F42" s="176"/>
      <c r="G42" s="160"/>
      <c r="H42" s="160"/>
      <c r="I42" s="177"/>
      <c r="J42" s="178"/>
      <c r="K42" s="179"/>
      <c r="L42" s="180"/>
      <c r="M42" s="160"/>
      <c r="N42" s="180"/>
      <c r="O42" s="183"/>
      <c r="P42" s="161"/>
      <c r="Q42" s="180"/>
      <c r="R42" s="181"/>
      <c r="S42" s="182"/>
      <c r="T42" s="183"/>
      <c r="U42" s="184"/>
    </row>
    <row r="43" spans="1:21" s="185" customFormat="1" ht="30" customHeight="1" x14ac:dyDescent="0.2">
      <c r="A43" s="186"/>
      <c r="B43" s="187"/>
      <c r="C43" s="188"/>
      <c r="D43" s="189"/>
      <c r="E43" s="190"/>
      <c r="F43" s="189"/>
      <c r="G43" s="191"/>
      <c r="H43" s="160"/>
      <c r="I43" s="192"/>
      <c r="J43" s="193"/>
      <c r="K43" s="194"/>
      <c r="L43" s="195"/>
      <c r="M43" s="196"/>
      <c r="N43" s="197"/>
      <c r="O43" s="194"/>
      <c r="P43" s="198"/>
      <c r="Q43" s="199"/>
      <c r="R43" s="198"/>
      <c r="S43" s="200"/>
      <c r="T43" s="194"/>
      <c r="U43" s="201"/>
    </row>
    <row r="44" spans="1:21" ht="15.75" thickBot="1" x14ac:dyDescent="0.25">
      <c r="A44" s="124"/>
      <c r="B44" s="104"/>
      <c r="C44" s="105"/>
      <c r="D44" s="116"/>
      <c r="E44" s="106"/>
      <c r="F44" s="116"/>
      <c r="G44" s="116"/>
      <c r="H44" s="116"/>
      <c r="I44" s="108"/>
      <c r="J44" s="107"/>
      <c r="K44" s="117"/>
      <c r="L44" s="118"/>
      <c r="M44" s="117"/>
      <c r="N44" s="118"/>
      <c r="O44" s="119"/>
      <c r="P44" s="117"/>
      <c r="Q44" s="117"/>
      <c r="R44" s="117"/>
      <c r="S44" s="118"/>
      <c r="T44" s="119"/>
      <c r="U44" s="120"/>
    </row>
    <row r="45" spans="1:21" ht="13.5" thickTop="1" x14ac:dyDescent="0.2"/>
    <row r="46" spans="1:21" s="34" customFormat="1" ht="20.25" customHeight="1" x14ac:dyDescent="0.2">
      <c r="M46" s="35"/>
      <c r="O46" s="35"/>
      <c r="R46" s="35"/>
      <c r="U46" s="35"/>
    </row>
    <row r="47" spans="1:21" s="34" customFormat="1" ht="20.25" customHeight="1" x14ac:dyDescent="0.2">
      <c r="M47" s="35"/>
      <c r="O47" s="35"/>
      <c r="R47" s="35"/>
      <c r="U47" s="35"/>
    </row>
    <row r="48" spans="1:21" s="34" customFormat="1" ht="20.25" customHeight="1" x14ac:dyDescent="0.2">
      <c r="M48" s="35"/>
      <c r="O48" s="35"/>
      <c r="R48" s="35"/>
      <c r="U48" s="35"/>
    </row>
  </sheetData>
  <autoFilter ref="A5:G8" xr:uid="{00000000-0001-0000-0000-000000000000}"/>
  <mergeCells count="50">
    <mergeCell ref="C1:O1"/>
    <mergeCell ref="T3:U3"/>
    <mergeCell ref="P2:S2"/>
    <mergeCell ref="T1:U1"/>
    <mergeCell ref="T2:U2"/>
    <mergeCell ref="C2:O3"/>
    <mergeCell ref="B38:B40"/>
    <mergeCell ref="T4:U4"/>
    <mergeCell ref="U5:U8"/>
    <mergeCell ref="P7:Q7"/>
    <mergeCell ref="C4:O4"/>
    <mergeCell ref="F5:F8"/>
    <mergeCell ref="C5:C8"/>
    <mergeCell ref="G5:G8"/>
    <mergeCell ref="K7:L7"/>
    <mergeCell ref="M7:O7"/>
    <mergeCell ref="M5:O5"/>
    <mergeCell ref="M6:O6"/>
    <mergeCell ref="D5:D8"/>
    <mergeCell ref="I7:J7"/>
    <mergeCell ref="B11:B13"/>
    <mergeCell ref="C11:C13"/>
    <mergeCell ref="R6:T6"/>
    <mergeCell ref="R7:T7"/>
    <mergeCell ref="H5:H8"/>
    <mergeCell ref="B29:B30"/>
    <mergeCell ref="C29:C30"/>
    <mergeCell ref="D29:D30"/>
    <mergeCell ref="B26:B27"/>
    <mergeCell ref="C26:C27"/>
    <mergeCell ref="D26:D27"/>
    <mergeCell ref="P5:T5"/>
    <mergeCell ref="I5:L5"/>
    <mergeCell ref="I6:L6"/>
    <mergeCell ref="D11:D13"/>
    <mergeCell ref="P6:Q6"/>
    <mergeCell ref="A5:A8"/>
    <mergeCell ref="E5:E8"/>
    <mergeCell ref="B5:B8"/>
    <mergeCell ref="B24:B25"/>
    <mergeCell ref="C24:C25"/>
    <mergeCell ref="D24:D25"/>
    <mergeCell ref="C18:C19"/>
    <mergeCell ref="D18:D19"/>
    <mergeCell ref="B18:B19"/>
    <mergeCell ref="C38:C40"/>
    <mergeCell ref="D38:D40"/>
    <mergeCell ref="G38:G40"/>
    <mergeCell ref="H38:H40"/>
    <mergeCell ref="G41:H41"/>
  </mergeCells>
  <phoneticPr fontId="19" type="noConversion"/>
  <hyperlinks>
    <hyperlink ref="C4:O4" r:id="rId1" display="OFFSHORE INSTALLATION PROCEDURES" xr:uid="{1816E0A7-E0F0-49DC-B230-6361F08B1CDB}"/>
  </hyperlinks>
  <printOptions horizontalCentered="1"/>
  <pageMargins left="0.25" right="0.25" top="0.5" bottom="0.5" header="0.25" footer="0.25"/>
  <pageSetup paperSize="8" scale="51" orientation="landscape" r:id="rId2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40"/>
  <sheetViews>
    <sheetView tabSelected="1" view="pageBreakPreview" zoomScaleNormal="85" zoomScaleSheetLayoutView="100" workbookViewId="0">
      <pane ySplit="8" topLeftCell="A110" activePane="bottomLeft" state="frozen"/>
      <selection activeCell="C1" sqref="C1"/>
      <selection pane="bottomLeft" activeCell="F117" sqref="F117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3" width="20.5" style="1" customWidth="1"/>
    <col min="4" max="4" width="30.5" style="1" customWidth="1"/>
    <col min="5" max="5" width="9.83203125" style="1" customWidth="1"/>
    <col min="6" max="6" width="9.33203125" style="1" customWidth="1"/>
    <col min="7" max="8" width="16" style="1" customWidth="1"/>
    <col min="9" max="9" width="12.33203125" style="1" customWidth="1"/>
    <col min="10" max="10" width="14.33203125" style="1" customWidth="1"/>
    <col min="11" max="11" width="14.5" style="2" customWidth="1"/>
    <col min="12" max="12" width="31.6640625" style="4" customWidth="1"/>
    <col min="13" max="13" width="15.5" style="2" customWidth="1"/>
    <col min="14" max="14" width="27.83203125" style="4" customWidth="1"/>
    <col min="15" max="15" width="16" style="19" customWidth="1"/>
    <col min="16" max="16" width="14.5" style="2" customWidth="1"/>
    <col min="17" max="17" width="29.5" style="2" customWidth="1"/>
    <col min="18" max="18" width="14.6640625" style="2" customWidth="1"/>
    <col min="19" max="19" width="27.33203125" style="4" customWidth="1"/>
    <col min="20" max="20" width="15.33203125" style="19" customWidth="1"/>
    <col min="21" max="21" width="15.1640625" style="19" customWidth="1"/>
    <col min="22" max="16384" width="10.6640625" style="2"/>
  </cols>
  <sheetData>
    <row r="1" spans="1:21" s="5" customFormat="1" ht="24.95" customHeight="1" x14ac:dyDescent="0.2">
      <c r="A1" s="21"/>
      <c r="B1" s="22"/>
      <c r="C1" s="252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4"/>
      <c r="P1" s="25" t="s">
        <v>19</v>
      </c>
      <c r="Q1" s="26"/>
      <c r="R1" s="26"/>
      <c r="S1" s="27"/>
      <c r="T1" s="255"/>
      <c r="U1" s="256"/>
    </row>
    <row r="2" spans="1:21" s="5" customFormat="1" ht="24.95" customHeight="1" x14ac:dyDescent="0.2">
      <c r="A2" s="23"/>
      <c r="B2" s="24"/>
      <c r="C2" s="260" t="s">
        <v>347</v>
      </c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2"/>
      <c r="P2" s="259"/>
      <c r="Q2" s="259"/>
      <c r="R2" s="259"/>
      <c r="S2" s="259"/>
      <c r="T2" s="257"/>
      <c r="U2" s="258"/>
    </row>
    <row r="3" spans="1:21" s="5" customFormat="1" ht="24.95" customHeight="1" x14ac:dyDescent="0.2">
      <c r="A3" s="23"/>
      <c r="B3" s="24"/>
      <c r="C3" s="260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2"/>
      <c r="P3" s="28" t="s">
        <v>8</v>
      </c>
      <c r="Q3" s="130">
        <v>0</v>
      </c>
      <c r="R3" s="29"/>
      <c r="S3" s="30"/>
      <c r="T3" s="257"/>
      <c r="U3" s="258"/>
    </row>
    <row r="4" spans="1:21" s="5" customFormat="1" ht="24.95" customHeight="1" thickBot="1" x14ac:dyDescent="0.25">
      <c r="A4" s="23"/>
      <c r="B4" s="24"/>
      <c r="C4" s="239" t="s">
        <v>18</v>
      </c>
      <c r="D4" s="240"/>
      <c r="E4" s="241"/>
      <c r="F4" s="240"/>
      <c r="G4" s="240"/>
      <c r="H4" s="240"/>
      <c r="I4" s="240"/>
      <c r="J4" s="240"/>
      <c r="K4" s="240"/>
      <c r="L4" s="240"/>
      <c r="M4" s="240"/>
      <c r="N4" s="240"/>
      <c r="O4" s="242"/>
      <c r="P4" s="31" t="s">
        <v>7</v>
      </c>
      <c r="Q4" s="112">
        <f ca="1">TODAY()</f>
        <v>46273</v>
      </c>
      <c r="R4" s="32"/>
      <c r="S4" s="33"/>
      <c r="T4" s="245"/>
      <c r="U4" s="246"/>
    </row>
    <row r="5" spans="1:21" s="8" customFormat="1" ht="15" customHeight="1" x14ac:dyDescent="0.2">
      <c r="A5" s="263" t="s">
        <v>0</v>
      </c>
      <c r="B5" s="266" t="s">
        <v>1</v>
      </c>
      <c r="C5" s="269" t="s">
        <v>24</v>
      </c>
      <c r="D5" s="247" t="s">
        <v>349</v>
      </c>
      <c r="E5" s="247" t="s">
        <v>11</v>
      </c>
      <c r="F5" s="247" t="s">
        <v>12</v>
      </c>
      <c r="G5" s="247" t="s">
        <v>10</v>
      </c>
      <c r="H5" s="247" t="s">
        <v>486</v>
      </c>
      <c r="I5" s="247" t="s">
        <v>25</v>
      </c>
      <c r="J5" s="247"/>
      <c r="K5" s="247"/>
      <c r="L5" s="247"/>
      <c r="M5" s="247" t="s">
        <v>20</v>
      </c>
      <c r="N5" s="247"/>
      <c r="O5" s="247"/>
      <c r="P5" s="247"/>
      <c r="Q5" s="247"/>
      <c r="R5" s="247"/>
      <c r="S5" s="247"/>
      <c r="T5" s="247"/>
      <c r="U5" s="249" t="s">
        <v>2</v>
      </c>
    </row>
    <row r="6" spans="1:21" s="8" customFormat="1" ht="24.95" customHeight="1" x14ac:dyDescent="0.2">
      <c r="A6" s="264"/>
      <c r="B6" s="267"/>
      <c r="C6" s="270"/>
      <c r="D6" s="243"/>
      <c r="E6" s="244"/>
      <c r="F6" s="243"/>
      <c r="G6" s="243"/>
      <c r="H6" s="243"/>
      <c r="I6" s="243" t="s">
        <v>4</v>
      </c>
      <c r="J6" s="243"/>
      <c r="K6" s="243"/>
      <c r="L6" s="243"/>
      <c r="M6" s="244" t="s">
        <v>5</v>
      </c>
      <c r="N6" s="244"/>
      <c r="O6" s="244"/>
      <c r="P6" s="244" t="s">
        <v>4</v>
      </c>
      <c r="Q6" s="244"/>
      <c r="R6" s="244" t="s">
        <v>5</v>
      </c>
      <c r="S6" s="244"/>
      <c r="T6" s="244"/>
      <c r="U6" s="250"/>
    </row>
    <row r="7" spans="1:21" s="8" customFormat="1" ht="24.95" customHeight="1" x14ac:dyDescent="0.2">
      <c r="A7" s="264"/>
      <c r="B7" s="267"/>
      <c r="C7" s="270"/>
      <c r="D7" s="243"/>
      <c r="E7" s="244"/>
      <c r="F7" s="243"/>
      <c r="G7" s="243"/>
      <c r="H7" s="243"/>
      <c r="I7" s="243" t="s">
        <v>23</v>
      </c>
      <c r="J7" s="243"/>
      <c r="K7" s="243" t="s">
        <v>21</v>
      </c>
      <c r="L7" s="243"/>
      <c r="M7" s="244" t="s">
        <v>13</v>
      </c>
      <c r="N7" s="244"/>
      <c r="O7" s="244"/>
      <c r="P7" s="244" t="s">
        <v>14</v>
      </c>
      <c r="Q7" s="244"/>
      <c r="R7" s="244" t="s">
        <v>15</v>
      </c>
      <c r="S7" s="244"/>
      <c r="T7" s="244"/>
      <c r="U7" s="250"/>
    </row>
    <row r="8" spans="1:21" s="8" customFormat="1" ht="15" customHeight="1" thickBot="1" x14ac:dyDescent="0.25">
      <c r="A8" s="265"/>
      <c r="B8" s="268"/>
      <c r="C8" s="271"/>
      <c r="D8" s="248"/>
      <c r="E8" s="272"/>
      <c r="F8" s="248"/>
      <c r="G8" s="248"/>
      <c r="H8" s="248"/>
      <c r="I8" s="89" t="s">
        <v>6</v>
      </c>
      <c r="J8" s="90" t="s">
        <v>3</v>
      </c>
      <c r="K8" s="89" t="s">
        <v>3</v>
      </c>
      <c r="L8" s="90" t="s">
        <v>6</v>
      </c>
      <c r="M8" s="89" t="s">
        <v>3</v>
      </c>
      <c r="N8" s="90" t="s">
        <v>6</v>
      </c>
      <c r="O8" s="89" t="s">
        <v>9</v>
      </c>
      <c r="P8" s="219" t="s">
        <v>7</v>
      </c>
      <c r="Q8" s="90" t="s">
        <v>6</v>
      </c>
      <c r="R8" s="219" t="s">
        <v>3</v>
      </c>
      <c r="S8" s="90" t="s">
        <v>6</v>
      </c>
      <c r="T8" s="89" t="s">
        <v>9</v>
      </c>
      <c r="U8" s="251"/>
    </row>
    <row r="9" spans="1:21" s="3" customFormat="1" ht="30" customHeight="1" x14ac:dyDescent="0.2">
      <c r="A9" s="71"/>
      <c r="B9" s="134" t="s">
        <v>143</v>
      </c>
      <c r="C9" s="209" t="s">
        <v>144</v>
      </c>
      <c r="D9" s="209" t="s">
        <v>354</v>
      </c>
      <c r="E9" s="210">
        <v>1</v>
      </c>
      <c r="F9" s="208">
        <v>2</v>
      </c>
      <c r="G9" s="211">
        <f>H9-30</f>
        <v>46262</v>
      </c>
      <c r="H9" s="211">
        <v>46292</v>
      </c>
      <c r="I9" s="212"/>
      <c r="J9" s="212"/>
      <c r="K9" s="212"/>
      <c r="L9" s="213"/>
      <c r="M9" s="212"/>
      <c r="N9" s="214"/>
      <c r="O9" s="220"/>
      <c r="P9" s="216"/>
      <c r="Q9" s="213"/>
      <c r="R9" s="216"/>
      <c r="S9" s="217"/>
      <c r="T9" s="215"/>
      <c r="U9" s="218"/>
    </row>
    <row r="10" spans="1:21" s="3" customFormat="1" ht="30" customHeight="1" x14ac:dyDescent="0.2">
      <c r="A10" s="72"/>
      <c r="B10" s="134" t="s">
        <v>145</v>
      </c>
      <c r="C10" s="135" t="s">
        <v>146</v>
      </c>
      <c r="D10" s="135" t="s">
        <v>355</v>
      </c>
      <c r="E10" s="61">
        <v>1</v>
      </c>
      <c r="F10" s="59">
        <v>2</v>
      </c>
      <c r="G10" s="158">
        <f>H10-30</f>
        <v>46439</v>
      </c>
      <c r="H10" s="158">
        <v>46469</v>
      </c>
      <c r="I10" s="63"/>
      <c r="J10" s="63"/>
      <c r="K10" s="63"/>
      <c r="L10" s="147"/>
      <c r="M10" s="63"/>
      <c r="N10" s="57"/>
      <c r="O10" s="10"/>
      <c r="P10" s="12"/>
      <c r="Q10" s="147"/>
      <c r="R10" s="12"/>
      <c r="S10" s="37"/>
      <c r="T10" s="17"/>
      <c r="U10" s="20"/>
    </row>
    <row r="11" spans="1:21" s="3" customFormat="1" ht="30" customHeight="1" x14ac:dyDescent="0.2">
      <c r="A11" s="72"/>
      <c r="B11" s="134" t="s">
        <v>147</v>
      </c>
      <c r="C11" s="135" t="s">
        <v>148</v>
      </c>
      <c r="D11" s="135" t="s">
        <v>356</v>
      </c>
      <c r="E11" s="61">
        <v>1</v>
      </c>
      <c r="F11" s="59">
        <v>2</v>
      </c>
      <c r="G11" s="158">
        <f>H11-30</f>
        <v>46439</v>
      </c>
      <c r="H11" s="158">
        <v>46469</v>
      </c>
      <c r="I11" s="63"/>
      <c r="J11" s="63"/>
      <c r="K11" s="63"/>
      <c r="L11" s="147"/>
      <c r="M11" s="63"/>
      <c r="N11" s="57"/>
      <c r="O11" s="10"/>
      <c r="P11" s="12"/>
      <c r="Q11" s="147"/>
      <c r="R11" s="12"/>
      <c r="S11" s="37"/>
      <c r="T11" s="17"/>
      <c r="U11" s="20"/>
    </row>
    <row r="12" spans="1:21" s="3" customFormat="1" ht="30" customHeight="1" x14ac:dyDescent="0.2">
      <c r="A12" s="72"/>
      <c r="B12" s="134" t="s">
        <v>149</v>
      </c>
      <c r="C12" s="135" t="s">
        <v>150</v>
      </c>
      <c r="D12" s="135" t="s">
        <v>357</v>
      </c>
      <c r="E12" s="61">
        <v>1</v>
      </c>
      <c r="F12" s="59">
        <v>2</v>
      </c>
      <c r="G12" s="158">
        <f>H12-30</f>
        <v>46255</v>
      </c>
      <c r="H12" s="158">
        <v>46285</v>
      </c>
      <c r="I12" s="63"/>
      <c r="J12" s="63"/>
      <c r="K12" s="63"/>
      <c r="L12" s="147"/>
      <c r="M12" s="63"/>
      <c r="N12" s="57"/>
      <c r="O12" s="10"/>
      <c r="P12" s="12"/>
      <c r="Q12" s="147"/>
      <c r="R12" s="12"/>
      <c r="S12" s="37"/>
      <c r="T12" s="17"/>
      <c r="U12" s="20"/>
    </row>
    <row r="13" spans="1:21" s="3" customFormat="1" ht="30" customHeight="1" x14ac:dyDescent="0.2">
      <c r="A13" s="72"/>
      <c r="B13" s="134" t="s">
        <v>151</v>
      </c>
      <c r="C13" s="135" t="s">
        <v>152</v>
      </c>
      <c r="D13" s="135" t="s">
        <v>358</v>
      </c>
      <c r="E13" s="61">
        <v>1</v>
      </c>
      <c r="F13" s="59">
        <v>2</v>
      </c>
      <c r="G13" s="158">
        <f t="shared" ref="G13:G14" si="0">H13-30</f>
        <v>46439</v>
      </c>
      <c r="H13" s="158">
        <v>46469</v>
      </c>
      <c r="I13" s="63"/>
      <c r="J13" s="63"/>
      <c r="K13" s="63"/>
      <c r="L13" s="147"/>
      <c r="M13" s="63"/>
      <c r="N13" s="57"/>
      <c r="O13" s="10"/>
      <c r="P13" s="12"/>
      <c r="Q13" s="147"/>
      <c r="R13" s="12"/>
      <c r="S13" s="37"/>
      <c r="T13" s="17"/>
      <c r="U13" s="20"/>
    </row>
    <row r="14" spans="1:21" s="3" customFormat="1" ht="30" customHeight="1" x14ac:dyDescent="0.2">
      <c r="A14" s="72"/>
      <c r="B14" s="134" t="s">
        <v>153</v>
      </c>
      <c r="C14" s="135" t="s">
        <v>154</v>
      </c>
      <c r="D14" s="135" t="s">
        <v>359</v>
      </c>
      <c r="E14" s="61">
        <v>1</v>
      </c>
      <c r="F14" s="59">
        <v>2</v>
      </c>
      <c r="G14" s="158">
        <f t="shared" si="0"/>
        <v>46439</v>
      </c>
      <c r="H14" s="158">
        <v>46469</v>
      </c>
      <c r="I14" s="63"/>
      <c r="J14" s="63"/>
      <c r="K14" s="63"/>
      <c r="L14" s="147"/>
      <c r="M14" s="63"/>
      <c r="N14" s="57"/>
      <c r="O14" s="10"/>
      <c r="P14" s="12"/>
      <c r="Q14" s="147"/>
      <c r="R14" s="12"/>
      <c r="S14" s="37"/>
      <c r="T14" s="17"/>
      <c r="U14" s="20"/>
    </row>
    <row r="15" spans="1:21" s="3" customFormat="1" ht="30" customHeight="1" x14ac:dyDescent="0.2">
      <c r="A15" s="72"/>
      <c r="B15" s="134" t="s">
        <v>155</v>
      </c>
      <c r="C15" s="135" t="s">
        <v>156</v>
      </c>
      <c r="D15" s="135" t="s">
        <v>360</v>
      </c>
      <c r="E15" s="61">
        <v>1</v>
      </c>
      <c r="F15" s="59">
        <v>2</v>
      </c>
      <c r="G15" s="158">
        <f>H15-30</f>
        <v>46275</v>
      </c>
      <c r="H15" s="158">
        <v>46305</v>
      </c>
      <c r="I15" s="63"/>
      <c r="J15" s="63"/>
      <c r="K15" s="63"/>
      <c r="L15" s="147"/>
      <c r="M15" s="12"/>
      <c r="N15" s="57"/>
      <c r="O15" s="10"/>
      <c r="P15" s="12"/>
      <c r="Q15" s="147"/>
      <c r="R15" s="12"/>
      <c r="S15" s="37"/>
      <c r="T15" s="17"/>
      <c r="U15" s="20"/>
    </row>
    <row r="16" spans="1:21" s="3" customFormat="1" ht="30" customHeight="1" x14ac:dyDescent="0.2">
      <c r="A16" s="72"/>
      <c r="B16" s="134" t="s">
        <v>157</v>
      </c>
      <c r="C16" s="135" t="s">
        <v>158</v>
      </c>
      <c r="D16" s="135" t="s">
        <v>361</v>
      </c>
      <c r="E16" s="61">
        <v>1</v>
      </c>
      <c r="F16" s="59">
        <v>2</v>
      </c>
      <c r="G16" s="158">
        <f t="shared" ref="G16:G29" si="1">H16-30</f>
        <v>46439</v>
      </c>
      <c r="H16" s="158">
        <v>46469</v>
      </c>
      <c r="I16" s="63"/>
      <c r="J16" s="63"/>
      <c r="K16" s="63"/>
      <c r="L16" s="147"/>
      <c r="M16" s="63"/>
      <c r="N16" s="57"/>
      <c r="O16" s="10"/>
      <c r="P16" s="12"/>
      <c r="Q16" s="147"/>
      <c r="R16" s="12"/>
      <c r="S16" s="37"/>
      <c r="T16" s="17"/>
      <c r="U16" s="20"/>
    </row>
    <row r="17" spans="1:21" s="3" customFormat="1" ht="30" customHeight="1" x14ac:dyDescent="0.2">
      <c r="A17" s="72"/>
      <c r="B17" s="134" t="s">
        <v>159</v>
      </c>
      <c r="C17" s="135" t="s">
        <v>160</v>
      </c>
      <c r="D17" s="135" t="s">
        <v>362</v>
      </c>
      <c r="E17" s="61">
        <v>1</v>
      </c>
      <c r="F17" s="59">
        <v>2</v>
      </c>
      <c r="G17" s="158">
        <f t="shared" si="1"/>
        <v>46439</v>
      </c>
      <c r="H17" s="158">
        <v>46469</v>
      </c>
      <c r="I17" s="63"/>
      <c r="J17" s="12"/>
      <c r="K17" s="12"/>
      <c r="L17" s="147"/>
      <c r="M17" s="12"/>
      <c r="N17" s="57"/>
      <c r="O17" s="10"/>
      <c r="P17" s="12"/>
      <c r="Q17" s="147"/>
      <c r="R17" s="12"/>
      <c r="S17" s="37"/>
      <c r="T17" s="17"/>
      <c r="U17" s="20"/>
    </row>
    <row r="18" spans="1:21" s="3" customFormat="1" ht="30" customHeight="1" x14ac:dyDescent="0.2">
      <c r="A18" s="72"/>
      <c r="B18" s="134" t="s">
        <v>161</v>
      </c>
      <c r="C18" s="135" t="s">
        <v>162</v>
      </c>
      <c r="D18" s="135" t="s">
        <v>363</v>
      </c>
      <c r="E18" s="61">
        <v>1</v>
      </c>
      <c r="F18" s="59">
        <v>2</v>
      </c>
      <c r="G18" s="158">
        <f t="shared" si="1"/>
        <v>46250</v>
      </c>
      <c r="H18" s="158">
        <v>46280</v>
      </c>
      <c r="I18" s="63"/>
      <c r="J18" s="12"/>
      <c r="K18" s="12"/>
      <c r="L18" s="147"/>
      <c r="M18" s="12"/>
      <c r="N18" s="57"/>
      <c r="O18" s="10"/>
      <c r="P18" s="12"/>
      <c r="Q18" s="147"/>
      <c r="R18" s="12"/>
      <c r="S18" s="37"/>
      <c r="T18" s="17"/>
      <c r="U18" s="20"/>
    </row>
    <row r="19" spans="1:21" s="3" customFormat="1" ht="30" customHeight="1" x14ac:dyDescent="0.2">
      <c r="A19" s="72"/>
      <c r="B19" s="134" t="s">
        <v>163</v>
      </c>
      <c r="C19" s="135" t="s">
        <v>164</v>
      </c>
      <c r="D19" s="135" t="s">
        <v>364</v>
      </c>
      <c r="E19" s="61">
        <v>1</v>
      </c>
      <c r="F19" s="59">
        <v>2</v>
      </c>
      <c r="G19" s="158">
        <f t="shared" si="1"/>
        <v>46296</v>
      </c>
      <c r="H19" s="158">
        <v>46326</v>
      </c>
      <c r="I19" s="63"/>
      <c r="J19" s="12"/>
      <c r="K19" s="12"/>
      <c r="L19" s="147"/>
      <c r="M19" s="12"/>
      <c r="N19" s="57"/>
      <c r="O19" s="10"/>
      <c r="P19" s="12"/>
      <c r="Q19" s="147"/>
      <c r="R19" s="12"/>
      <c r="S19" s="37"/>
      <c r="T19" s="17"/>
      <c r="U19" s="20"/>
    </row>
    <row r="20" spans="1:21" s="3" customFormat="1" ht="30" customHeight="1" x14ac:dyDescent="0.2">
      <c r="A20" s="72"/>
      <c r="B20" s="134" t="s">
        <v>165</v>
      </c>
      <c r="C20" s="135" t="s">
        <v>166</v>
      </c>
      <c r="D20" s="135" t="s">
        <v>365</v>
      </c>
      <c r="E20" s="61">
        <v>1</v>
      </c>
      <c r="F20" s="59">
        <v>2</v>
      </c>
      <c r="G20" s="158">
        <f t="shared" si="1"/>
        <v>46301</v>
      </c>
      <c r="H20" s="158">
        <v>46331</v>
      </c>
      <c r="I20" s="63"/>
      <c r="J20" s="12"/>
      <c r="K20" s="12"/>
      <c r="L20" s="147"/>
      <c r="M20" s="12"/>
      <c r="N20" s="57"/>
      <c r="O20" s="10"/>
      <c r="P20" s="12"/>
      <c r="Q20" s="147"/>
      <c r="R20" s="12"/>
      <c r="S20" s="37"/>
      <c r="T20" s="17"/>
      <c r="U20" s="20"/>
    </row>
    <row r="21" spans="1:21" s="3" customFormat="1" ht="30" customHeight="1" x14ac:dyDescent="0.2">
      <c r="A21" s="72"/>
      <c r="B21" s="134" t="s">
        <v>167</v>
      </c>
      <c r="C21" s="135" t="s">
        <v>168</v>
      </c>
      <c r="D21" s="135" t="s">
        <v>366</v>
      </c>
      <c r="E21" s="61">
        <v>1</v>
      </c>
      <c r="F21" s="59">
        <v>2</v>
      </c>
      <c r="G21" s="158">
        <f t="shared" si="1"/>
        <v>46244</v>
      </c>
      <c r="H21" s="158">
        <v>46274</v>
      </c>
      <c r="I21" s="128" t="s">
        <v>523</v>
      </c>
      <c r="J21" s="143">
        <v>46252</v>
      </c>
      <c r="K21" s="63">
        <v>46253</v>
      </c>
      <c r="L21" s="147" t="s">
        <v>524</v>
      </c>
      <c r="M21" s="63">
        <v>46260</v>
      </c>
      <c r="N21" s="55" t="s">
        <v>530</v>
      </c>
      <c r="O21" s="207" t="s">
        <v>531</v>
      </c>
      <c r="P21" s="63">
        <v>46253</v>
      </c>
      <c r="Q21" s="147" t="s">
        <v>525</v>
      </c>
      <c r="R21" s="12"/>
      <c r="S21" s="37"/>
      <c r="T21" s="17"/>
      <c r="U21" s="20"/>
    </row>
    <row r="22" spans="1:21" s="3" customFormat="1" ht="30" customHeight="1" x14ac:dyDescent="0.2">
      <c r="A22" s="72"/>
      <c r="B22" s="134" t="s">
        <v>169</v>
      </c>
      <c r="C22" s="135" t="s">
        <v>170</v>
      </c>
      <c r="D22" s="135" t="s">
        <v>367</v>
      </c>
      <c r="E22" s="61">
        <v>1</v>
      </c>
      <c r="F22" s="59">
        <v>2</v>
      </c>
      <c r="G22" s="158">
        <f t="shared" si="1"/>
        <v>46285</v>
      </c>
      <c r="H22" s="158">
        <v>46315</v>
      </c>
      <c r="I22" s="63"/>
      <c r="J22" s="12"/>
      <c r="K22" s="12"/>
      <c r="L22" s="147"/>
      <c r="M22" s="12"/>
      <c r="N22" s="68"/>
      <c r="O22" s="10"/>
      <c r="P22" s="12"/>
      <c r="Q22" s="147"/>
      <c r="R22" s="12"/>
      <c r="S22" s="37"/>
      <c r="T22" s="17"/>
      <c r="U22" s="20"/>
    </row>
    <row r="23" spans="1:21" s="3" customFormat="1" ht="30" customHeight="1" x14ac:dyDescent="0.2">
      <c r="A23" s="72"/>
      <c r="B23" s="134" t="s">
        <v>171</v>
      </c>
      <c r="C23" s="135" t="s">
        <v>172</v>
      </c>
      <c r="D23" s="135" t="s">
        <v>368</v>
      </c>
      <c r="E23" s="61">
        <v>1</v>
      </c>
      <c r="F23" s="59">
        <v>2</v>
      </c>
      <c r="G23" s="158">
        <f t="shared" si="1"/>
        <v>46290</v>
      </c>
      <c r="H23" s="158">
        <v>46320</v>
      </c>
      <c r="I23" s="63"/>
      <c r="J23" s="63"/>
      <c r="K23" s="63"/>
      <c r="L23" s="147"/>
      <c r="M23" s="12"/>
      <c r="N23" s="68"/>
      <c r="O23" s="10"/>
      <c r="P23" s="63"/>
      <c r="Q23" s="147"/>
      <c r="R23" s="12"/>
      <c r="S23" s="37"/>
      <c r="T23" s="17"/>
      <c r="U23" s="20"/>
    </row>
    <row r="24" spans="1:21" s="3" customFormat="1" ht="30" customHeight="1" x14ac:dyDescent="0.2">
      <c r="A24" s="72"/>
      <c r="B24" s="134" t="s">
        <v>173</v>
      </c>
      <c r="C24" s="135" t="s">
        <v>174</v>
      </c>
      <c r="D24" s="135" t="s">
        <v>369</v>
      </c>
      <c r="E24" s="61">
        <v>1</v>
      </c>
      <c r="F24" s="59">
        <v>2</v>
      </c>
      <c r="G24" s="158">
        <f t="shared" si="1"/>
        <v>46439</v>
      </c>
      <c r="H24" s="158">
        <v>46469</v>
      </c>
      <c r="I24" s="63"/>
      <c r="J24" s="63"/>
      <c r="K24" s="12"/>
      <c r="L24" s="147"/>
      <c r="M24" s="12"/>
      <c r="N24" s="68"/>
      <c r="O24" s="10"/>
      <c r="P24" s="63"/>
      <c r="Q24" s="147"/>
      <c r="R24" s="12"/>
      <c r="S24" s="37"/>
      <c r="T24" s="17"/>
      <c r="U24" s="20"/>
    </row>
    <row r="25" spans="1:21" s="3" customFormat="1" ht="30" customHeight="1" x14ac:dyDescent="0.2">
      <c r="A25" s="72"/>
      <c r="B25" s="134" t="s">
        <v>175</v>
      </c>
      <c r="C25" s="135" t="s">
        <v>176</v>
      </c>
      <c r="D25" s="135" t="s">
        <v>370</v>
      </c>
      <c r="E25" s="61">
        <v>1</v>
      </c>
      <c r="F25" s="59">
        <v>2</v>
      </c>
      <c r="G25" s="158">
        <f t="shared" si="1"/>
        <v>46439</v>
      </c>
      <c r="H25" s="158">
        <v>46469</v>
      </c>
      <c r="I25" s="63"/>
      <c r="J25" s="63"/>
      <c r="K25" s="12"/>
      <c r="L25" s="147"/>
      <c r="M25" s="12"/>
      <c r="N25" s="68"/>
      <c r="O25" s="10"/>
      <c r="P25" s="12"/>
      <c r="Q25" s="147"/>
      <c r="R25" s="12"/>
      <c r="S25" s="37"/>
      <c r="T25" s="17"/>
      <c r="U25" s="20"/>
    </row>
    <row r="26" spans="1:21" s="3" customFormat="1" ht="30" customHeight="1" x14ac:dyDescent="0.2">
      <c r="A26" s="72"/>
      <c r="B26" s="134" t="s">
        <v>177</v>
      </c>
      <c r="C26" s="135" t="s">
        <v>178</v>
      </c>
      <c r="D26" s="135" t="s">
        <v>371</v>
      </c>
      <c r="E26" s="61">
        <v>1</v>
      </c>
      <c r="F26" s="59">
        <v>2</v>
      </c>
      <c r="G26" s="158">
        <f t="shared" si="1"/>
        <v>46439</v>
      </c>
      <c r="H26" s="158">
        <v>46469</v>
      </c>
      <c r="I26" s="63"/>
      <c r="J26" s="12"/>
      <c r="K26" s="12"/>
      <c r="L26" s="147"/>
      <c r="M26" s="12"/>
      <c r="N26" s="16"/>
      <c r="O26" s="11"/>
      <c r="P26" s="12"/>
      <c r="Q26" s="147"/>
      <c r="R26" s="12"/>
      <c r="S26" s="37"/>
      <c r="T26" s="17"/>
      <c r="U26" s="20"/>
    </row>
    <row r="27" spans="1:21" s="3" customFormat="1" ht="30" customHeight="1" x14ac:dyDescent="0.2">
      <c r="A27" s="72"/>
      <c r="B27" s="134" t="s">
        <v>179</v>
      </c>
      <c r="C27" s="135" t="s">
        <v>180</v>
      </c>
      <c r="D27" s="135" t="s">
        <v>372</v>
      </c>
      <c r="E27" s="61">
        <v>1</v>
      </c>
      <c r="F27" s="59">
        <v>2</v>
      </c>
      <c r="G27" s="158">
        <f t="shared" si="1"/>
        <v>46439</v>
      </c>
      <c r="H27" s="158">
        <v>46469</v>
      </c>
      <c r="I27" s="63"/>
      <c r="J27" s="12"/>
      <c r="K27" s="12"/>
      <c r="L27" s="147"/>
      <c r="M27" s="12"/>
      <c r="N27" s="16"/>
      <c r="O27" s="11"/>
      <c r="P27" s="12"/>
      <c r="Q27" s="147"/>
      <c r="R27" s="12"/>
      <c r="S27" s="37"/>
      <c r="T27" s="17"/>
      <c r="U27" s="20"/>
    </row>
    <row r="28" spans="1:21" s="3" customFormat="1" ht="30" customHeight="1" x14ac:dyDescent="0.2">
      <c r="A28" s="72"/>
      <c r="B28" s="134" t="s">
        <v>181</v>
      </c>
      <c r="C28" s="135" t="s">
        <v>182</v>
      </c>
      <c r="D28" s="135" t="s">
        <v>373</v>
      </c>
      <c r="E28" s="61">
        <v>1</v>
      </c>
      <c r="F28" s="59">
        <v>2</v>
      </c>
      <c r="G28" s="158">
        <f t="shared" si="1"/>
        <v>46439</v>
      </c>
      <c r="H28" s="158">
        <v>46469</v>
      </c>
      <c r="I28" s="63"/>
      <c r="J28" s="12"/>
      <c r="K28" s="12"/>
      <c r="L28" s="147"/>
      <c r="M28" s="12"/>
      <c r="N28" s="16"/>
      <c r="O28" s="11"/>
      <c r="P28" s="12"/>
      <c r="Q28" s="147"/>
      <c r="R28" s="12"/>
      <c r="S28" s="37"/>
      <c r="T28" s="17"/>
      <c r="U28" s="20"/>
    </row>
    <row r="29" spans="1:21" s="3" customFormat="1" ht="30" customHeight="1" x14ac:dyDescent="0.2">
      <c r="A29" s="72"/>
      <c r="B29" s="134" t="s">
        <v>183</v>
      </c>
      <c r="C29" s="135" t="s">
        <v>184</v>
      </c>
      <c r="D29" s="135" t="s">
        <v>374</v>
      </c>
      <c r="E29" s="61">
        <v>1</v>
      </c>
      <c r="F29" s="59">
        <v>2</v>
      </c>
      <c r="G29" s="158">
        <f t="shared" si="1"/>
        <v>46439</v>
      </c>
      <c r="H29" s="158">
        <v>46469</v>
      </c>
      <c r="I29" s="63"/>
      <c r="J29" s="12"/>
      <c r="K29" s="12"/>
      <c r="L29" s="147"/>
      <c r="M29" s="12"/>
      <c r="N29" s="16"/>
      <c r="O29" s="11"/>
      <c r="P29" s="12"/>
      <c r="Q29" s="147"/>
      <c r="R29" s="12"/>
      <c r="S29" s="37"/>
      <c r="T29" s="17"/>
      <c r="U29" s="20"/>
    </row>
    <row r="30" spans="1:21" s="3" customFormat="1" ht="30" customHeight="1" x14ac:dyDescent="0.2">
      <c r="A30" s="72"/>
      <c r="B30" s="134" t="s">
        <v>185</v>
      </c>
      <c r="C30" s="135" t="s">
        <v>186</v>
      </c>
      <c r="D30" s="135" t="s">
        <v>375</v>
      </c>
      <c r="E30" s="61">
        <v>1</v>
      </c>
      <c r="F30" s="59">
        <v>2</v>
      </c>
      <c r="G30" s="158">
        <f>H30-30</f>
        <v>46237</v>
      </c>
      <c r="H30" s="158">
        <v>46267</v>
      </c>
      <c r="I30" s="128" t="s">
        <v>523</v>
      </c>
      <c r="J30" s="143">
        <v>46252</v>
      </c>
      <c r="K30" s="63">
        <v>46253</v>
      </c>
      <c r="L30" s="147" t="s">
        <v>524</v>
      </c>
      <c r="M30" s="12">
        <v>46260</v>
      </c>
      <c r="N30" s="16" t="s">
        <v>530</v>
      </c>
      <c r="O30" s="207" t="s">
        <v>531</v>
      </c>
      <c r="P30" s="63">
        <v>46253</v>
      </c>
      <c r="Q30" s="147" t="s">
        <v>525</v>
      </c>
      <c r="R30" s="12"/>
      <c r="S30" s="37"/>
      <c r="T30" s="17"/>
      <c r="U30" s="20"/>
    </row>
    <row r="31" spans="1:21" s="3" customFormat="1" ht="30" customHeight="1" x14ac:dyDescent="0.2">
      <c r="A31" s="72"/>
      <c r="B31" s="134" t="s">
        <v>187</v>
      </c>
      <c r="C31" s="135" t="s">
        <v>188</v>
      </c>
      <c r="D31" s="135" t="s">
        <v>376</v>
      </c>
      <c r="E31" s="61">
        <v>1</v>
      </c>
      <c r="F31" s="59">
        <v>2</v>
      </c>
      <c r="G31" s="158">
        <f>H31-30</f>
        <v>46306</v>
      </c>
      <c r="H31" s="158">
        <v>46336</v>
      </c>
      <c r="I31" s="63"/>
      <c r="J31" s="12"/>
      <c r="K31" s="12"/>
      <c r="L31" s="147"/>
      <c r="M31" s="12"/>
      <c r="N31" s="16"/>
      <c r="O31" s="11"/>
      <c r="P31" s="12"/>
      <c r="Q31" s="147"/>
      <c r="R31" s="12"/>
      <c r="S31" s="37"/>
      <c r="T31" s="17"/>
      <c r="U31" s="20"/>
    </row>
    <row r="32" spans="1:21" s="3" customFormat="1" ht="30" customHeight="1" x14ac:dyDescent="0.2">
      <c r="A32" s="72"/>
      <c r="B32" s="134" t="s">
        <v>189</v>
      </c>
      <c r="C32" s="135" t="s">
        <v>190</v>
      </c>
      <c r="D32" s="135" t="s">
        <v>377</v>
      </c>
      <c r="E32" s="61">
        <v>1</v>
      </c>
      <c r="F32" s="59">
        <v>2</v>
      </c>
      <c r="G32" s="158">
        <f>H32-30</f>
        <v>46311</v>
      </c>
      <c r="H32" s="158">
        <v>46341</v>
      </c>
      <c r="I32" s="63"/>
      <c r="J32" s="12"/>
      <c r="K32" s="12"/>
      <c r="L32" s="147"/>
      <c r="M32" s="12"/>
      <c r="N32" s="16"/>
      <c r="O32" s="11"/>
      <c r="P32" s="12"/>
      <c r="Q32" s="147"/>
      <c r="R32" s="12"/>
      <c r="S32" s="37"/>
      <c r="T32" s="17"/>
      <c r="U32" s="20"/>
    </row>
    <row r="33" spans="1:21" s="3" customFormat="1" ht="30" customHeight="1" x14ac:dyDescent="0.2">
      <c r="A33" s="72"/>
      <c r="B33" s="134" t="s">
        <v>191</v>
      </c>
      <c r="C33" s="135" t="s">
        <v>192</v>
      </c>
      <c r="D33" s="135" t="s">
        <v>378</v>
      </c>
      <c r="E33" s="61">
        <v>1</v>
      </c>
      <c r="F33" s="59">
        <v>2</v>
      </c>
      <c r="G33" s="158">
        <f>H33-30</f>
        <v>46280</v>
      </c>
      <c r="H33" s="158">
        <v>46310</v>
      </c>
      <c r="I33" s="63"/>
      <c r="J33" s="63"/>
      <c r="K33" s="12"/>
      <c r="L33" s="147"/>
      <c r="M33" s="63"/>
      <c r="N33" s="16"/>
      <c r="O33" s="10"/>
      <c r="P33" s="12"/>
      <c r="Q33" s="147"/>
      <c r="R33" s="12"/>
      <c r="S33" s="37"/>
      <c r="T33" s="17"/>
      <c r="U33" s="64"/>
    </row>
    <row r="34" spans="1:21" s="3" customFormat="1" ht="30" customHeight="1" x14ac:dyDescent="0.2">
      <c r="A34" s="72"/>
      <c r="B34" s="134" t="s">
        <v>193</v>
      </c>
      <c r="C34" s="135" t="s">
        <v>194</v>
      </c>
      <c r="D34" s="135" t="s">
        <v>379</v>
      </c>
      <c r="E34" s="61">
        <v>1</v>
      </c>
      <c r="F34" s="59">
        <v>2</v>
      </c>
      <c r="G34" s="158">
        <f>H34-30</f>
        <v>46280</v>
      </c>
      <c r="H34" s="158">
        <v>46310</v>
      </c>
      <c r="I34" s="63"/>
      <c r="J34" s="63"/>
      <c r="K34" s="63"/>
      <c r="L34" s="147"/>
      <c r="M34" s="12"/>
      <c r="N34" s="16"/>
      <c r="O34" s="11"/>
      <c r="P34" s="12"/>
      <c r="Q34" s="147"/>
      <c r="R34" s="12"/>
      <c r="S34" s="65"/>
      <c r="T34" s="17"/>
      <c r="U34" s="20"/>
    </row>
    <row r="35" spans="1:21" s="3" customFormat="1" ht="30" customHeight="1" x14ac:dyDescent="0.2">
      <c r="A35" s="72"/>
      <c r="B35" s="134" t="s">
        <v>195</v>
      </c>
      <c r="C35" s="135" t="s">
        <v>196</v>
      </c>
      <c r="D35" s="135" t="s">
        <v>380</v>
      </c>
      <c r="E35" s="61">
        <v>1</v>
      </c>
      <c r="F35" s="59">
        <v>2</v>
      </c>
      <c r="G35" s="158">
        <f t="shared" ref="G35:G36" si="2">H35-30</f>
        <v>46439</v>
      </c>
      <c r="H35" s="158">
        <v>46469</v>
      </c>
      <c r="I35" s="63"/>
      <c r="J35" s="63"/>
      <c r="K35" s="63"/>
      <c r="L35" s="147"/>
      <c r="M35" s="12"/>
      <c r="N35" s="16"/>
      <c r="O35" s="11"/>
      <c r="P35" s="12"/>
      <c r="Q35" s="147"/>
      <c r="R35" s="12"/>
      <c r="S35" s="37"/>
      <c r="T35" s="17"/>
      <c r="U35" s="20"/>
    </row>
    <row r="36" spans="1:21" s="3" customFormat="1" ht="30" customHeight="1" x14ac:dyDescent="0.2">
      <c r="A36" s="72"/>
      <c r="B36" s="134" t="s">
        <v>197</v>
      </c>
      <c r="C36" s="135" t="s">
        <v>198</v>
      </c>
      <c r="D36" s="135" t="s">
        <v>381</v>
      </c>
      <c r="E36" s="61">
        <v>1</v>
      </c>
      <c r="F36" s="59">
        <v>2</v>
      </c>
      <c r="G36" s="158">
        <f t="shared" si="2"/>
        <v>46439</v>
      </c>
      <c r="H36" s="158">
        <v>46469</v>
      </c>
      <c r="I36" s="63"/>
      <c r="J36" s="63"/>
      <c r="K36" s="63"/>
      <c r="L36" s="147"/>
      <c r="M36" s="12"/>
      <c r="N36" s="16"/>
      <c r="O36" s="11"/>
      <c r="P36" s="12"/>
      <c r="Q36" s="147"/>
      <c r="R36" s="12"/>
      <c r="S36" s="37"/>
      <c r="T36" s="17"/>
      <c r="U36" s="20"/>
    </row>
    <row r="37" spans="1:21" s="3" customFormat="1" ht="30" customHeight="1" x14ac:dyDescent="0.2">
      <c r="A37" s="72"/>
      <c r="B37" s="134"/>
      <c r="C37" s="135"/>
      <c r="D37" s="136"/>
      <c r="E37" s="61"/>
      <c r="F37" s="59"/>
      <c r="G37" s="159"/>
      <c r="H37" s="158"/>
      <c r="I37" s="63"/>
      <c r="J37" s="63"/>
      <c r="K37" s="63"/>
      <c r="L37" s="147"/>
      <c r="M37" s="12"/>
      <c r="N37" s="16"/>
      <c r="O37" s="11"/>
      <c r="P37" s="12"/>
      <c r="Q37" s="147"/>
      <c r="R37" s="12"/>
      <c r="S37" s="37"/>
      <c r="T37" s="17"/>
      <c r="U37" s="20"/>
    </row>
    <row r="38" spans="1:21" s="3" customFormat="1" ht="30" customHeight="1" x14ac:dyDescent="0.2">
      <c r="A38" s="72"/>
      <c r="B38" s="137"/>
      <c r="C38" s="138"/>
      <c r="D38" s="136"/>
      <c r="E38" s="70"/>
      <c r="F38" s="59"/>
      <c r="G38" s="159"/>
      <c r="H38" s="158"/>
      <c r="I38" s="63"/>
      <c r="J38" s="12"/>
      <c r="K38" s="12"/>
      <c r="L38" s="147"/>
      <c r="M38" s="12"/>
      <c r="N38" s="57"/>
      <c r="O38" s="10"/>
      <c r="P38" s="12"/>
      <c r="Q38" s="147"/>
      <c r="R38" s="12"/>
      <c r="S38" s="55"/>
      <c r="T38" s="17"/>
      <c r="U38" s="56"/>
    </row>
    <row r="39" spans="1:21" s="3" customFormat="1" ht="30" customHeight="1" x14ac:dyDescent="0.2">
      <c r="A39" s="72"/>
      <c r="B39" s="134" t="s">
        <v>199</v>
      </c>
      <c r="C39" s="135" t="s">
        <v>200</v>
      </c>
      <c r="D39" s="135" t="s">
        <v>382</v>
      </c>
      <c r="E39" s="61">
        <v>1</v>
      </c>
      <c r="F39" s="59">
        <v>2</v>
      </c>
      <c r="G39" s="158">
        <f t="shared" ref="G39:G62" si="3">H39-30</f>
        <v>46529</v>
      </c>
      <c r="H39" s="158">
        <v>46559</v>
      </c>
      <c r="I39" s="63"/>
      <c r="J39" s="12"/>
      <c r="K39" s="11"/>
      <c r="L39" s="147"/>
      <c r="M39" s="6"/>
      <c r="N39" s="7"/>
      <c r="O39" s="10"/>
      <c r="P39" s="6"/>
      <c r="Q39" s="147"/>
      <c r="R39" s="6"/>
      <c r="S39" s="7"/>
      <c r="T39" s="17"/>
      <c r="U39" s="20"/>
    </row>
    <row r="40" spans="1:21" s="3" customFormat="1" ht="30" customHeight="1" x14ac:dyDescent="0.2">
      <c r="A40" s="72"/>
      <c r="B40" s="134" t="s">
        <v>201</v>
      </c>
      <c r="C40" s="135" t="s">
        <v>202</v>
      </c>
      <c r="D40" s="135" t="s">
        <v>383</v>
      </c>
      <c r="E40" s="61">
        <v>1</v>
      </c>
      <c r="F40" s="59">
        <v>2</v>
      </c>
      <c r="G40" s="158">
        <f t="shared" si="3"/>
        <v>46523</v>
      </c>
      <c r="H40" s="158">
        <v>46553</v>
      </c>
      <c r="I40" s="63"/>
      <c r="J40" s="12"/>
      <c r="K40" s="11"/>
      <c r="L40" s="147"/>
      <c r="M40" s="6"/>
      <c r="N40" s="7"/>
      <c r="O40" s="10"/>
      <c r="P40" s="6"/>
      <c r="Q40" s="147"/>
      <c r="R40" s="6"/>
      <c r="S40" s="7"/>
      <c r="T40" s="17"/>
      <c r="U40" s="20"/>
    </row>
    <row r="41" spans="1:21" s="3" customFormat="1" ht="30" customHeight="1" x14ac:dyDescent="0.2">
      <c r="A41" s="72"/>
      <c r="B41" s="134" t="s">
        <v>203</v>
      </c>
      <c r="C41" s="135" t="s">
        <v>204</v>
      </c>
      <c r="D41" s="135" t="s">
        <v>384</v>
      </c>
      <c r="E41" s="61">
        <v>1</v>
      </c>
      <c r="F41" s="59">
        <v>2</v>
      </c>
      <c r="G41" s="158">
        <f t="shared" si="3"/>
        <v>46523</v>
      </c>
      <c r="H41" s="158">
        <v>46553</v>
      </c>
      <c r="I41" s="63"/>
      <c r="J41" s="12"/>
      <c r="K41" s="11"/>
      <c r="L41" s="147"/>
      <c r="M41" s="6"/>
      <c r="N41" s="7"/>
      <c r="O41" s="10"/>
      <c r="P41" s="6"/>
      <c r="Q41" s="147"/>
      <c r="R41" s="6"/>
      <c r="S41" s="7"/>
      <c r="T41" s="17"/>
      <c r="U41" s="20"/>
    </row>
    <row r="42" spans="1:21" s="3" customFormat="1" ht="30" customHeight="1" x14ac:dyDescent="0.2">
      <c r="A42" s="72"/>
      <c r="B42" s="134" t="s">
        <v>205</v>
      </c>
      <c r="C42" s="135" t="s">
        <v>206</v>
      </c>
      <c r="D42" s="135" t="s">
        <v>385</v>
      </c>
      <c r="E42" s="61">
        <v>1</v>
      </c>
      <c r="F42" s="59">
        <v>2</v>
      </c>
      <c r="G42" s="158">
        <f t="shared" si="3"/>
        <v>46507</v>
      </c>
      <c r="H42" s="158">
        <v>46537</v>
      </c>
      <c r="I42" s="63"/>
      <c r="J42" s="12"/>
      <c r="K42" s="11"/>
      <c r="L42" s="147"/>
      <c r="M42" s="6"/>
      <c r="N42" s="7"/>
      <c r="O42" s="10"/>
      <c r="P42" s="6"/>
      <c r="Q42" s="147"/>
      <c r="R42" s="6"/>
      <c r="S42" s="7"/>
      <c r="T42" s="17"/>
      <c r="U42" s="20"/>
    </row>
    <row r="43" spans="1:21" s="3" customFormat="1" ht="30" customHeight="1" x14ac:dyDescent="0.2">
      <c r="A43" s="72"/>
      <c r="B43" s="134" t="s">
        <v>207</v>
      </c>
      <c r="C43" s="135" t="s">
        <v>208</v>
      </c>
      <c r="D43" s="135" t="s">
        <v>386</v>
      </c>
      <c r="E43" s="61">
        <v>1</v>
      </c>
      <c r="F43" s="59">
        <v>2</v>
      </c>
      <c r="G43" s="158">
        <f t="shared" si="3"/>
        <v>46507</v>
      </c>
      <c r="H43" s="158">
        <v>46537</v>
      </c>
      <c r="I43" s="63"/>
      <c r="J43" s="12"/>
      <c r="K43" s="11"/>
      <c r="L43" s="147"/>
      <c r="M43" s="6"/>
      <c r="N43" s="7"/>
      <c r="O43" s="10"/>
      <c r="P43" s="6"/>
      <c r="Q43" s="147"/>
      <c r="R43" s="6"/>
      <c r="S43" s="7"/>
      <c r="T43" s="17"/>
      <c r="U43" s="20"/>
    </row>
    <row r="44" spans="1:21" s="3" customFormat="1" ht="30" customHeight="1" x14ac:dyDescent="0.2">
      <c r="A44" s="72"/>
      <c r="B44" s="134" t="s">
        <v>209</v>
      </c>
      <c r="C44" s="135" t="s">
        <v>210</v>
      </c>
      <c r="D44" s="135" t="s">
        <v>387</v>
      </c>
      <c r="E44" s="61">
        <v>1</v>
      </c>
      <c r="F44" s="59">
        <v>2</v>
      </c>
      <c r="G44" s="158">
        <f t="shared" si="3"/>
        <v>46470</v>
      </c>
      <c r="H44" s="158">
        <v>46500</v>
      </c>
      <c r="I44" s="63"/>
      <c r="J44" s="12"/>
      <c r="K44" s="11"/>
      <c r="L44" s="147"/>
      <c r="M44" s="6"/>
      <c r="N44" s="7"/>
      <c r="O44" s="10"/>
      <c r="P44" s="6"/>
      <c r="Q44" s="147"/>
      <c r="R44" s="6"/>
      <c r="S44" s="7"/>
      <c r="T44" s="17"/>
      <c r="U44" s="20"/>
    </row>
    <row r="45" spans="1:21" s="3" customFormat="1" ht="30" customHeight="1" x14ac:dyDescent="0.2">
      <c r="A45" s="72"/>
      <c r="B45" s="134" t="s">
        <v>211</v>
      </c>
      <c r="C45" s="135" t="s">
        <v>212</v>
      </c>
      <c r="D45" s="135" t="s">
        <v>388</v>
      </c>
      <c r="E45" s="61">
        <v>1</v>
      </c>
      <c r="F45" s="59">
        <v>2</v>
      </c>
      <c r="G45" s="158">
        <f t="shared" si="3"/>
        <v>46498</v>
      </c>
      <c r="H45" s="158">
        <v>46528</v>
      </c>
      <c r="I45" s="63"/>
      <c r="J45" s="12"/>
      <c r="K45" s="11"/>
      <c r="L45" s="147"/>
      <c r="M45" s="6"/>
      <c r="N45" s="7"/>
      <c r="O45" s="10"/>
      <c r="P45" s="6"/>
      <c r="Q45" s="147"/>
      <c r="R45" s="6"/>
      <c r="S45" s="7"/>
      <c r="T45" s="17"/>
      <c r="U45" s="20"/>
    </row>
    <row r="46" spans="1:21" s="3" customFormat="1" ht="30" customHeight="1" x14ac:dyDescent="0.2">
      <c r="A46" s="72"/>
      <c r="B46" s="134" t="s">
        <v>213</v>
      </c>
      <c r="C46" s="135" t="s">
        <v>214</v>
      </c>
      <c r="D46" s="135" t="s">
        <v>389</v>
      </c>
      <c r="E46" s="61">
        <v>1</v>
      </c>
      <c r="F46" s="59">
        <v>2</v>
      </c>
      <c r="G46" s="158">
        <f t="shared" si="3"/>
        <v>46492</v>
      </c>
      <c r="H46" s="158">
        <v>46522</v>
      </c>
      <c r="I46" s="63"/>
      <c r="J46" s="12"/>
      <c r="K46" s="11"/>
      <c r="L46" s="147"/>
      <c r="M46" s="6"/>
      <c r="N46" s="7"/>
      <c r="O46" s="10"/>
      <c r="P46" s="6"/>
      <c r="Q46" s="147"/>
      <c r="R46" s="6"/>
      <c r="S46" s="7"/>
      <c r="T46" s="17"/>
      <c r="U46" s="20"/>
    </row>
    <row r="47" spans="1:21" s="3" customFormat="1" ht="30" customHeight="1" x14ac:dyDescent="0.2">
      <c r="A47" s="72"/>
      <c r="B47" s="134" t="s">
        <v>215</v>
      </c>
      <c r="C47" s="135" t="s">
        <v>216</v>
      </c>
      <c r="D47" s="135" t="s">
        <v>390</v>
      </c>
      <c r="E47" s="61">
        <v>1</v>
      </c>
      <c r="F47" s="59">
        <v>2</v>
      </c>
      <c r="G47" s="158">
        <f t="shared" si="3"/>
        <v>46492</v>
      </c>
      <c r="H47" s="158">
        <v>46522</v>
      </c>
      <c r="I47" s="63"/>
      <c r="J47" s="12"/>
      <c r="K47" s="11"/>
      <c r="L47" s="147"/>
      <c r="M47" s="6"/>
      <c r="N47" s="7"/>
      <c r="O47" s="10"/>
      <c r="P47" s="6"/>
      <c r="Q47" s="147"/>
      <c r="R47" s="6"/>
      <c r="S47" s="7"/>
      <c r="T47" s="17"/>
      <c r="U47" s="20"/>
    </row>
    <row r="48" spans="1:21" s="3" customFormat="1" ht="30" customHeight="1" x14ac:dyDescent="0.2">
      <c r="A48" s="72"/>
      <c r="B48" s="134" t="s">
        <v>217</v>
      </c>
      <c r="C48" s="135" t="s">
        <v>218</v>
      </c>
      <c r="D48" s="135" t="s">
        <v>391</v>
      </c>
      <c r="E48" s="61">
        <v>1</v>
      </c>
      <c r="F48" s="59">
        <v>2</v>
      </c>
      <c r="G48" s="158">
        <f t="shared" si="3"/>
        <v>46470</v>
      </c>
      <c r="H48" s="158">
        <v>46500</v>
      </c>
      <c r="I48" s="63"/>
      <c r="J48" s="12"/>
      <c r="K48" s="11"/>
      <c r="L48" s="147"/>
      <c r="M48" s="6"/>
      <c r="N48" s="7"/>
      <c r="O48" s="10"/>
      <c r="P48" s="6"/>
      <c r="Q48" s="147"/>
      <c r="R48" s="6"/>
      <c r="S48" s="7"/>
      <c r="T48" s="17"/>
      <c r="U48" s="20"/>
    </row>
    <row r="49" spans="1:21" s="3" customFormat="1" ht="30" customHeight="1" x14ac:dyDescent="0.2">
      <c r="A49" s="72"/>
      <c r="B49" s="134" t="s">
        <v>219</v>
      </c>
      <c r="C49" s="135" t="s">
        <v>220</v>
      </c>
      <c r="D49" s="135" t="s">
        <v>392</v>
      </c>
      <c r="E49" s="61">
        <v>1</v>
      </c>
      <c r="F49" s="59">
        <v>2</v>
      </c>
      <c r="G49" s="158">
        <f t="shared" si="3"/>
        <v>46470</v>
      </c>
      <c r="H49" s="158">
        <v>46500</v>
      </c>
      <c r="I49" s="63"/>
      <c r="J49" s="12"/>
      <c r="K49" s="11"/>
      <c r="L49" s="147"/>
      <c r="M49" s="6"/>
      <c r="N49" s="7"/>
      <c r="O49" s="10"/>
      <c r="P49" s="6"/>
      <c r="Q49" s="147"/>
      <c r="R49" s="6"/>
      <c r="S49" s="7"/>
      <c r="T49" s="17"/>
      <c r="U49" s="20"/>
    </row>
    <row r="50" spans="1:21" s="3" customFormat="1" ht="30" customHeight="1" x14ac:dyDescent="0.2">
      <c r="A50" s="72"/>
      <c r="B50" s="134" t="s">
        <v>221</v>
      </c>
      <c r="C50" s="135" t="s">
        <v>222</v>
      </c>
      <c r="D50" s="135" t="s">
        <v>393</v>
      </c>
      <c r="E50" s="61">
        <v>1</v>
      </c>
      <c r="F50" s="59">
        <v>2</v>
      </c>
      <c r="G50" s="158">
        <f t="shared" si="3"/>
        <v>46568</v>
      </c>
      <c r="H50" s="158">
        <v>46598</v>
      </c>
      <c r="I50" s="63"/>
      <c r="J50" s="12"/>
      <c r="K50" s="11"/>
      <c r="L50" s="147"/>
      <c r="M50" s="6"/>
      <c r="N50" s="7"/>
      <c r="O50" s="10"/>
      <c r="P50" s="6"/>
      <c r="Q50" s="147"/>
      <c r="R50" s="6"/>
      <c r="S50" s="7"/>
      <c r="T50" s="17"/>
      <c r="U50" s="20"/>
    </row>
    <row r="51" spans="1:21" s="3" customFormat="1" ht="30" customHeight="1" x14ac:dyDescent="0.2">
      <c r="A51" s="72"/>
      <c r="B51" s="134" t="s">
        <v>223</v>
      </c>
      <c r="C51" s="135" t="s">
        <v>224</v>
      </c>
      <c r="D51" s="135" t="s">
        <v>394</v>
      </c>
      <c r="E51" s="61">
        <v>1</v>
      </c>
      <c r="F51" s="59">
        <v>2</v>
      </c>
      <c r="G51" s="158">
        <f t="shared" si="3"/>
        <v>46584</v>
      </c>
      <c r="H51" s="158">
        <v>46614</v>
      </c>
      <c r="I51" s="63"/>
      <c r="J51" s="12"/>
      <c r="K51" s="11"/>
      <c r="L51" s="147"/>
      <c r="M51" s="6"/>
      <c r="N51" s="7"/>
      <c r="O51" s="10"/>
      <c r="P51" s="6"/>
      <c r="Q51" s="147"/>
      <c r="R51" s="6"/>
      <c r="S51" s="7"/>
      <c r="T51" s="17"/>
      <c r="U51" s="20"/>
    </row>
    <row r="52" spans="1:21" s="3" customFormat="1" ht="30" customHeight="1" x14ac:dyDescent="0.2">
      <c r="A52" s="72"/>
      <c r="B52" s="134" t="s">
        <v>225</v>
      </c>
      <c r="C52" s="135" t="s">
        <v>226</v>
      </c>
      <c r="D52" s="135" t="s">
        <v>395</v>
      </c>
      <c r="E52" s="61">
        <v>1</v>
      </c>
      <c r="F52" s="59">
        <v>2</v>
      </c>
      <c r="G52" s="158">
        <f t="shared" si="3"/>
        <v>46477</v>
      </c>
      <c r="H52" s="158">
        <v>46507</v>
      </c>
      <c r="I52" s="63"/>
      <c r="J52" s="12"/>
      <c r="K52" s="11"/>
      <c r="L52" s="147"/>
      <c r="M52" s="6"/>
      <c r="N52" s="7"/>
      <c r="O52" s="10"/>
      <c r="P52" s="6"/>
      <c r="Q52" s="147"/>
      <c r="R52" s="6"/>
      <c r="S52" s="7"/>
      <c r="T52" s="17"/>
      <c r="U52" s="20"/>
    </row>
    <row r="53" spans="1:21" s="3" customFormat="1" ht="30" customHeight="1" x14ac:dyDescent="0.2">
      <c r="A53" s="72"/>
      <c r="B53" s="134" t="s">
        <v>227</v>
      </c>
      <c r="C53" s="135" t="s">
        <v>228</v>
      </c>
      <c r="D53" s="135" t="s">
        <v>396</v>
      </c>
      <c r="E53" s="61">
        <v>1</v>
      </c>
      <c r="F53" s="59">
        <v>2</v>
      </c>
      <c r="G53" s="158">
        <f t="shared" si="3"/>
        <v>46470</v>
      </c>
      <c r="H53" s="158">
        <v>46500</v>
      </c>
      <c r="I53" s="63"/>
      <c r="J53" s="12"/>
      <c r="K53" s="11"/>
      <c r="L53" s="147"/>
      <c r="M53" s="6"/>
      <c r="N53" s="7"/>
      <c r="O53" s="10"/>
      <c r="P53" s="6"/>
      <c r="Q53" s="147"/>
      <c r="R53" s="6"/>
      <c r="S53" s="7"/>
      <c r="T53" s="17"/>
      <c r="U53" s="20"/>
    </row>
    <row r="54" spans="1:21" s="3" customFormat="1" ht="30" customHeight="1" x14ac:dyDescent="0.2">
      <c r="A54" s="72"/>
      <c r="B54" s="134" t="s">
        <v>229</v>
      </c>
      <c r="C54" s="135" t="s">
        <v>230</v>
      </c>
      <c r="D54" s="135" t="s">
        <v>397</v>
      </c>
      <c r="E54" s="61">
        <v>1</v>
      </c>
      <c r="F54" s="59">
        <v>2</v>
      </c>
      <c r="G54" s="158">
        <f t="shared" si="3"/>
        <v>46538</v>
      </c>
      <c r="H54" s="158">
        <v>46568</v>
      </c>
      <c r="I54" s="63"/>
      <c r="J54" s="12"/>
      <c r="K54" s="11"/>
      <c r="L54" s="147"/>
      <c r="M54" s="6"/>
      <c r="N54" s="7"/>
      <c r="O54" s="10"/>
      <c r="P54" s="6"/>
      <c r="Q54" s="147"/>
      <c r="R54" s="6"/>
      <c r="S54" s="7"/>
      <c r="T54" s="17"/>
      <c r="U54" s="20"/>
    </row>
    <row r="55" spans="1:21" s="3" customFormat="1" ht="30" customHeight="1" x14ac:dyDescent="0.2">
      <c r="A55" s="72"/>
      <c r="B55" s="134" t="s">
        <v>231</v>
      </c>
      <c r="C55" s="135" t="s">
        <v>232</v>
      </c>
      <c r="D55" s="135" t="s">
        <v>398</v>
      </c>
      <c r="E55" s="61">
        <v>1</v>
      </c>
      <c r="F55" s="59">
        <v>2</v>
      </c>
      <c r="G55" s="158">
        <f t="shared" si="3"/>
        <v>46553</v>
      </c>
      <c r="H55" s="160">
        <v>46583</v>
      </c>
      <c r="I55" s="63"/>
      <c r="J55" s="12"/>
      <c r="K55" s="11"/>
      <c r="L55" s="147"/>
      <c r="M55" s="6"/>
      <c r="N55" s="7"/>
      <c r="O55" s="10"/>
      <c r="P55" s="6"/>
      <c r="Q55" s="147"/>
      <c r="R55" s="6"/>
      <c r="S55" s="7"/>
      <c r="T55" s="17"/>
      <c r="U55" s="20"/>
    </row>
    <row r="56" spans="1:21" s="3" customFormat="1" ht="30" customHeight="1" x14ac:dyDescent="0.2">
      <c r="A56" s="72"/>
      <c r="B56" s="134" t="s">
        <v>233</v>
      </c>
      <c r="C56" s="135" t="s">
        <v>234</v>
      </c>
      <c r="D56" s="135" t="s">
        <v>399</v>
      </c>
      <c r="E56" s="61">
        <v>1</v>
      </c>
      <c r="F56" s="59">
        <v>2</v>
      </c>
      <c r="G56" s="158">
        <f t="shared" si="3"/>
        <v>46477</v>
      </c>
      <c r="H56" s="158">
        <v>46507</v>
      </c>
      <c r="I56" s="63"/>
      <c r="J56" s="12"/>
      <c r="K56" s="11"/>
      <c r="L56" s="147"/>
      <c r="M56" s="6"/>
      <c r="N56" s="7"/>
      <c r="O56" s="10"/>
      <c r="P56" s="6"/>
      <c r="Q56" s="147"/>
      <c r="R56" s="6"/>
      <c r="S56" s="7"/>
      <c r="T56" s="17"/>
      <c r="U56" s="20"/>
    </row>
    <row r="57" spans="1:21" s="3" customFormat="1" ht="30" customHeight="1" x14ac:dyDescent="0.2">
      <c r="A57" s="72"/>
      <c r="B57" s="134" t="s">
        <v>235</v>
      </c>
      <c r="C57" s="135" t="s">
        <v>236</v>
      </c>
      <c r="D57" s="135" t="s">
        <v>400</v>
      </c>
      <c r="E57" s="61">
        <v>1</v>
      </c>
      <c r="F57" s="59">
        <v>2</v>
      </c>
      <c r="G57" s="158">
        <f t="shared" si="3"/>
        <v>46589</v>
      </c>
      <c r="H57" s="158">
        <v>46619</v>
      </c>
      <c r="I57" s="63"/>
      <c r="J57" s="12"/>
      <c r="K57" s="11"/>
      <c r="L57" s="147"/>
      <c r="M57" s="6"/>
      <c r="N57" s="7"/>
      <c r="O57" s="10"/>
      <c r="P57" s="6"/>
      <c r="Q57" s="147"/>
      <c r="R57" s="6"/>
      <c r="S57" s="7"/>
      <c r="T57" s="17"/>
      <c r="U57" s="20"/>
    </row>
    <row r="58" spans="1:21" s="3" customFormat="1" ht="30" customHeight="1" x14ac:dyDescent="0.2">
      <c r="A58" s="72"/>
      <c r="B58" s="134" t="s">
        <v>237</v>
      </c>
      <c r="C58" s="135" t="s">
        <v>238</v>
      </c>
      <c r="D58" s="135" t="s">
        <v>401</v>
      </c>
      <c r="E58" s="61">
        <v>1</v>
      </c>
      <c r="F58" s="59">
        <v>2</v>
      </c>
      <c r="G58" s="158">
        <f t="shared" si="3"/>
        <v>46599</v>
      </c>
      <c r="H58" s="158">
        <v>46629</v>
      </c>
      <c r="I58" s="63"/>
      <c r="J58" s="12"/>
      <c r="K58" s="11"/>
      <c r="L58" s="147"/>
      <c r="M58" s="6"/>
      <c r="N58" s="7"/>
      <c r="O58" s="10"/>
      <c r="P58" s="6"/>
      <c r="Q58" s="147"/>
      <c r="R58" s="6"/>
      <c r="S58" s="7"/>
      <c r="T58" s="17"/>
      <c r="U58" s="20"/>
    </row>
    <row r="59" spans="1:21" s="3" customFormat="1" ht="30" customHeight="1" x14ac:dyDescent="0.2">
      <c r="A59" s="72"/>
      <c r="B59" s="134" t="s">
        <v>239</v>
      </c>
      <c r="C59" s="135" t="s">
        <v>240</v>
      </c>
      <c r="D59" s="135" t="s">
        <v>402</v>
      </c>
      <c r="E59" s="61">
        <v>1</v>
      </c>
      <c r="F59" s="59">
        <v>2</v>
      </c>
      <c r="G59" s="158">
        <f t="shared" si="3"/>
        <v>46615</v>
      </c>
      <c r="H59" s="158">
        <v>46645</v>
      </c>
      <c r="I59" s="63"/>
      <c r="J59" s="12"/>
      <c r="K59" s="11"/>
      <c r="L59" s="147"/>
      <c r="M59" s="6"/>
      <c r="N59" s="7"/>
      <c r="O59" s="10"/>
      <c r="P59" s="6"/>
      <c r="Q59" s="147"/>
      <c r="R59" s="6"/>
      <c r="S59" s="7"/>
      <c r="T59" s="17"/>
      <c r="U59" s="20"/>
    </row>
    <row r="60" spans="1:21" s="3" customFormat="1" ht="30" customHeight="1" x14ac:dyDescent="0.2">
      <c r="A60" s="72"/>
      <c r="B60" s="134" t="s">
        <v>241</v>
      </c>
      <c r="C60" s="135" t="s">
        <v>242</v>
      </c>
      <c r="D60" s="135" t="s">
        <v>403</v>
      </c>
      <c r="E60" s="61">
        <v>1</v>
      </c>
      <c r="F60" s="59">
        <v>2</v>
      </c>
      <c r="G60" s="158">
        <f t="shared" si="3"/>
        <v>46630</v>
      </c>
      <c r="H60" s="158">
        <v>46660</v>
      </c>
      <c r="I60" s="63"/>
      <c r="J60" s="12"/>
      <c r="K60" s="11"/>
      <c r="L60" s="147"/>
      <c r="M60" s="6"/>
      <c r="N60" s="7"/>
      <c r="O60" s="10"/>
      <c r="P60" s="6"/>
      <c r="Q60" s="147"/>
      <c r="R60" s="6"/>
      <c r="S60" s="7"/>
      <c r="T60" s="17"/>
      <c r="U60" s="20"/>
    </row>
    <row r="61" spans="1:21" s="3" customFormat="1" ht="30" customHeight="1" x14ac:dyDescent="0.2">
      <c r="A61" s="72"/>
      <c r="B61" s="134" t="s">
        <v>243</v>
      </c>
      <c r="C61" s="135" t="s">
        <v>244</v>
      </c>
      <c r="D61" s="135" t="s">
        <v>404</v>
      </c>
      <c r="E61" s="61">
        <v>1</v>
      </c>
      <c r="F61" s="59">
        <v>2</v>
      </c>
      <c r="G61" s="158">
        <f t="shared" si="3"/>
        <v>46645</v>
      </c>
      <c r="H61" s="158">
        <v>46675</v>
      </c>
      <c r="I61" s="63"/>
      <c r="J61" s="12"/>
      <c r="K61" s="11"/>
      <c r="L61" s="147"/>
      <c r="M61" s="6"/>
      <c r="N61" s="7"/>
      <c r="O61" s="10"/>
      <c r="P61" s="6"/>
      <c r="Q61" s="147"/>
      <c r="R61" s="6"/>
      <c r="S61" s="7"/>
      <c r="T61" s="17"/>
      <c r="U61" s="20"/>
    </row>
    <row r="62" spans="1:21" s="3" customFormat="1" ht="30" customHeight="1" x14ac:dyDescent="0.2">
      <c r="A62" s="72"/>
      <c r="B62" s="134" t="s">
        <v>245</v>
      </c>
      <c r="C62" s="135" t="s">
        <v>246</v>
      </c>
      <c r="D62" s="135" t="s">
        <v>405</v>
      </c>
      <c r="E62" s="61">
        <v>1</v>
      </c>
      <c r="F62" s="59">
        <v>2</v>
      </c>
      <c r="G62" s="158">
        <f t="shared" si="3"/>
        <v>46553</v>
      </c>
      <c r="H62" s="158">
        <v>46583</v>
      </c>
      <c r="I62" s="63"/>
      <c r="J62" s="12"/>
      <c r="K62" s="11"/>
      <c r="L62" s="147"/>
      <c r="M62" s="6"/>
      <c r="N62" s="7"/>
      <c r="O62" s="10"/>
      <c r="P62" s="6"/>
      <c r="Q62" s="147"/>
      <c r="R62" s="6"/>
      <c r="S62" s="7"/>
      <c r="T62" s="17"/>
      <c r="U62" s="20"/>
    </row>
    <row r="63" spans="1:21" s="3" customFormat="1" ht="30" customHeight="1" x14ac:dyDescent="0.2">
      <c r="A63" s="72"/>
      <c r="B63" s="134"/>
      <c r="C63" s="135"/>
      <c r="D63" s="59"/>
      <c r="E63" s="59"/>
      <c r="F63" s="59"/>
      <c r="G63" s="160"/>
      <c r="H63" s="160"/>
      <c r="I63" s="63"/>
      <c r="J63" s="12"/>
      <c r="K63" s="11"/>
      <c r="L63" s="147"/>
      <c r="M63" s="6"/>
      <c r="N63" s="7"/>
      <c r="O63" s="10"/>
      <c r="P63" s="6"/>
      <c r="Q63" s="147"/>
      <c r="R63" s="6"/>
      <c r="S63" s="7"/>
      <c r="T63" s="17"/>
      <c r="U63" s="20"/>
    </row>
    <row r="64" spans="1:21" s="3" customFormat="1" ht="30" customHeight="1" x14ac:dyDescent="0.2">
      <c r="A64" s="72"/>
      <c r="B64" s="66"/>
      <c r="C64" s="59"/>
      <c r="D64" s="59"/>
      <c r="E64" s="59"/>
      <c r="F64" s="59"/>
      <c r="G64" s="160"/>
      <c r="H64" s="160"/>
      <c r="I64" s="63"/>
      <c r="J64" s="12"/>
      <c r="K64" s="11"/>
      <c r="L64" s="147"/>
      <c r="M64" s="6"/>
      <c r="N64" s="7"/>
      <c r="O64" s="10"/>
      <c r="P64" s="6"/>
      <c r="Q64" s="147"/>
      <c r="R64" s="6"/>
      <c r="S64" s="7"/>
      <c r="T64" s="17"/>
      <c r="U64" s="20"/>
    </row>
    <row r="65" spans="1:21" s="3" customFormat="1" ht="30" customHeight="1" x14ac:dyDescent="0.2">
      <c r="A65" s="72"/>
      <c r="B65" s="134" t="s">
        <v>247</v>
      </c>
      <c r="C65" s="135" t="s">
        <v>248</v>
      </c>
      <c r="D65" s="135" t="s">
        <v>406</v>
      </c>
      <c r="E65" s="61">
        <v>1</v>
      </c>
      <c r="F65" s="59">
        <v>2</v>
      </c>
      <c r="G65" s="158">
        <f t="shared" ref="G65:G100" si="4">H65-30</f>
        <v>46298</v>
      </c>
      <c r="H65" s="160">
        <v>46328</v>
      </c>
      <c r="I65" s="63"/>
      <c r="J65" s="12"/>
      <c r="K65" s="11"/>
      <c r="L65" s="147"/>
      <c r="M65" s="6"/>
      <c r="N65" s="7"/>
      <c r="O65" s="10"/>
      <c r="P65" s="6"/>
      <c r="Q65" s="147"/>
      <c r="R65" s="6"/>
      <c r="S65" s="7"/>
      <c r="T65" s="17"/>
      <c r="U65" s="20"/>
    </row>
    <row r="66" spans="1:21" s="3" customFormat="1" ht="30" customHeight="1" x14ac:dyDescent="0.2">
      <c r="A66" s="72"/>
      <c r="B66" s="134" t="s">
        <v>249</v>
      </c>
      <c r="C66" s="135" t="s">
        <v>250</v>
      </c>
      <c r="D66" s="135" t="s">
        <v>407</v>
      </c>
      <c r="E66" s="61">
        <v>1</v>
      </c>
      <c r="F66" s="59">
        <v>2</v>
      </c>
      <c r="G66" s="158">
        <f t="shared" si="4"/>
        <v>46313</v>
      </c>
      <c r="H66" s="160">
        <v>46343</v>
      </c>
      <c r="I66" s="63"/>
      <c r="J66" s="12"/>
      <c r="K66" s="11"/>
      <c r="L66" s="147"/>
      <c r="M66" s="6"/>
      <c r="N66" s="7"/>
      <c r="O66" s="10"/>
      <c r="P66" s="6"/>
      <c r="Q66" s="147"/>
      <c r="R66" s="6"/>
      <c r="S66" s="7"/>
      <c r="T66" s="17"/>
      <c r="U66" s="20"/>
    </row>
    <row r="67" spans="1:21" s="3" customFormat="1" ht="30" customHeight="1" x14ac:dyDescent="0.2">
      <c r="A67" s="72"/>
      <c r="B67" s="134" t="s">
        <v>251</v>
      </c>
      <c r="C67" s="135" t="s">
        <v>252</v>
      </c>
      <c r="D67" s="135" t="s">
        <v>408</v>
      </c>
      <c r="E67" s="61">
        <v>1</v>
      </c>
      <c r="F67" s="59">
        <v>2</v>
      </c>
      <c r="G67" s="158">
        <f t="shared" si="4"/>
        <v>46342</v>
      </c>
      <c r="H67" s="160">
        <v>46372</v>
      </c>
      <c r="I67" s="63"/>
      <c r="J67" s="12"/>
      <c r="K67" s="11"/>
      <c r="L67" s="147"/>
      <c r="M67" s="6"/>
      <c r="N67" s="7"/>
      <c r="O67" s="10"/>
      <c r="P67" s="6"/>
      <c r="Q67" s="147"/>
      <c r="R67" s="6"/>
      <c r="S67" s="7"/>
      <c r="T67" s="17"/>
      <c r="U67" s="20"/>
    </row>
    <row r="68" spans="1:21" s="3" customFormat="1" ht="30" customHeight="1" x14ac:dyDescent="0.2">
      <c r="A68" s="72"/>
      <c r="B68" s="134" t="s">
        <v>253</v>
      </c>
      <c r="C68" s="135" t="s">
        <v>254</v>
      </c>
      <c r="D68" s="135" t="s">
        <v>409</v>
      </c>
      <c r="E68" s="61">
        <v>1</v>
      </c>
      <c r="F68" s="59">
        <v>2</v>
      </c>
      <c r="G68" s="158">
        <f t="shared" si="4"/>
        <v>46327</v>
      </c>
      <c r="H68" s="160">
        <v>46357</v>
      </c>
      <c r="I68" s="63"/>
      <c r="J68" s="12"/>
      <c r="K68" s="11"/>
      <c r="L68" s="147"/>
      <c r="M68" s="6"/>
      <c r="N68" s="7"/>
      <c r="O68" s="10"/>
      <c r="P68" s="6"/>
      <c r="Q68" s="147"/>
      <c r="R68" s="6"/>
      <c r="S68" s="7"/>
      <c r="T68" s="17"/>
      <c r="U68" s="20"/>
    </row>
    <row r="69" spans="1:21" s="3" customFormat="1" ht="30" customHeight="1" x14ac:dyDescent="0.2">
      <c r="A69" s="72"/>
      <c r="B69" s="134" t="s">
        <v>255</v>
      </c>
      <c r="C69" s="135" t="s">
        <v>256</v>
      </c>
      <c r="D69" s="135" t="s">
        <v>350</v>
      </c>
      <c r="E69" s="61">
        <v>1</v>
      </c>
      <c r="F69" s="59">
        <v>2</v>
      </c>
      <c r="G69" s="158">
        <f t="shared" si="4"/>
        <v>46425</v>
      </c>
      <c r="H69" s="160">
        <v>46455</v>
      </c>
      <c r="I69" s="63"/>
      <c r="J69" s="12"/>
      <c r="K69" s="11"/>
      <c r="L69" s="147"/>
      <c r="M69" s="6"/>
      <c r="N69" s="7"/>
      <c r="O69" s="10"/>
      <c r="P69" s="6"/>
      <c r="Q69" s="147"/>
      <c r="R69" s="6"/>
      <c r="S69" s="7"/>
      <c r="T69" s="17"/>
      <c r="U69" s="20"/>
    </row>
    <row r="70" spans="1:21" s="3" customFormat="1" ht="30" customHeight="1" x14ac:dyDescent="0.2">
      <c r="A70" s="72"/>
      <c r="B70" s="134" t="s">
        <v>257</v>
      </c>
      <c r="C70" s="135" t="s">
        <v>258</v>
      </c>
      <c r="D70" s="135" t="s">
        <v>410</v>
      </c>
      <c r="E70" s="61">
        <v>1</v>
      </c>
      <c r="F70" s="59">
        <v>2</v>
      </c>
      <c r="G70" s="158">
        <f t="shared" si="4"/>
        <v>46451</v>
      </c>
      <c r="H70" s="160">
        <v>46481</v>
      </c>
      <c r="I70" s="63"/>
      <c r="J70" s="12"/>
      <c r="K70" s="11"/>
      <c r="L70" s="147"/>
      <c r="M70" s="6"/>
      <c r="N70" s="7"/>
      <c r="O70" s="10"/>
      <c r="P70" s="6"/>
      <c r="Q70" s="147"/>
      <c r="R70" s="6"/>
      <c r="S70" s="7"/>
      <c r="T70" s="17"/>
      <c r="U70" s="20"/>
    </row>
    <row r="71" spans="1:21" s="3" customFormat="1" ht="30" customHeight="1" x14ac:dyDescent="0.2">
      <c r="A71" s="72"/>
      <c r="B71" s="134" t="s">
        <v>259</v>
      </c>
      <c r="C71" s="135" t="s">
        <v>260</v>
      </c>
      <c r="D71" s="135" t="s">
        <v>411</v>
      </c>
      <c r="E71" s="61">
        <v>1</v>
      </c>
      <c r="F71" s="59">
        <v>2</v>
      </c>
      <c r="G71" s="158">
        <f t="shared" si="4"/>
        <v>46418</v>
      </c>
      <c r="H71" s="160">
        <v>46448</v>
      </c>
      <c r="I71" s="63"/>
      <c r="J71" s="12"/>
      <c r="K71" s="11"/>
      <c r="L71" s="147"/>
      <c r="M71" s="6"/>
      <c r="N71" s="7"/>
      <c r="O71" s="10"/>
      <c r="P71" s="6"/>
      <c r="Q71" s="147"/>
      <c r="R71" s="6"/>
      <c r="S71" s="7"/>
      <c r="T71" s="17"/>
      <c r="U71" s="20"/>
    </row>
    <row r="72" spans="1:21" s="3" customFormat="1" ht="30" customHeight="1" x14ac:dyDescent="0.2">
      <c r="A72" s="72"/>
      <c r="B72" s="134" t="s">
        <v>261</v>
      </c>
      <c r="C72" s="135" t="s">
        <v>262</v>
      </c>
      <c r="D72" s="135" t="s">
        <v>412</v>
      </c>
      <c r="E72" s="61">
        <v>1</v>
      </c>
      <c r="F72" s="59">
        <v>2</v>
      </c>
      <c r="G72" s="158">
        <f t="shared" si="4"/>
        <v>46435</v>
      </c>
      <c r="H72" s="160">
        <v>46465</v>
      </c>
      <c r="I72" s="63"/>
      <c r="J72" s="12"/>
      <c r="K72" s="11"/>
      <c r="L72" s="147"/>
      <c r="M72" s="6"/>
      <c r="N72" s="7"/>
      <c r="O72" s="10"/>
      <c r="P72" s="6"/>
      <c r="Q72" s="147"/>
      <c r="R72" s="6"/>
      <c r="S72" s="7"/>
      <c r="T72" s="17"/>
      <c r="U72" s="20"/>
    </row>
    <row r="73" spans="1:21" s="3" customFormat="1" ht="30" customHeight="1" x14ac:dyDescent="0.2">
      <c r="A73" s="72"/>
      <c r="B73" s="134" t="s">
        <v>263</v>
      </c>
      <c r="C73" s="135" t="s">
        <v>264</v>
      </c>
      <c r="D73" s="135" t="s">
        <v>351</v>
      </c>
      <c r="E73" s="61">
        <v>1</v>
      </c>
      <c r="F73" s="59">
        <v>2</v>
      </c>
      <c r="G73" s="158">
        <f t="shared" si="4"/>
        <v>46691</v>
      </c>
      <c r="H73" s="160">
        <v>46721</v>
      </c>
      <c r="I73" s="63"/>
      <c r="J73" s="12"/>
      <c r="K73" s="11"/>
      <c r="L73" s="147"/>
      <c r="M73" s="6"/>
      <c r="N73" s="7"/>
      <c r="O73" s="10"/>
      <c r="P73" s="6"/>
      <c r="Q73" s="147"/>
      <c r="R73" s="6"/>
      <c r="S73" s="7"/>
      <c r="T73" s="17"/>
      <c r="U73" s="20"/>
    </row>
    <row r="74" spans="1:21" s="3" customFormat="1" ht="30" customHeight="1" x14ac:dyDescent="0.2">
      <c r="A74" s="72"/>
      <c r="B74" s="134" t="s">
        <v>265</v>
      </c>
      <c r="C74" s="135" t="s">
        <v>266</v>
      </c>
      <c r="D74" s="135" t="s">
        <v>352</v>
      </c>
      <c r="E74" s="61">
        <v>1</v>
      </c>
      <c r="F74" s="59">
        <v>2</v>
      </c>
      <c r="G74" s="158">
        <f t="shared" si="4"/>
        <v>46699</v>
      </c>
      <c r="H74" s="160">
        <f>H73+8</f>
        <v>46729</v>
      </c>
      <c r="I74" s="63"/>
      <c r="J74" s="12"/>
      <c r="K74" s="11"/>
      <c r="L74" s="147"/>
      <c r="M74" s="6"/>
      <c r="N74" s="7"/>
      <c r="O74" s="10"/>
      <c r="P74" s="6"/>
      <c r="Q74" s="147"/>
      <c r="R74" s="6"/>
      <c r="S74" s="7"/>
      <c r="T74" s="17"/>
      <c r="U74" s="20"/>
    </row>
    <row r="75" spans="1:21" s="3" customFormat="1" ht="30" customHeight="1" x14ac:dyDescent="0.2">
      <c r="A75" s="72"/>
      <c r="B75" s="134" t="s">
        <v>267</v>
      </c>
      <c r="C75" s="135" t="s">
        <v>268</v>
      </c>
      <c r="D75" s="135" t="s">
        <v>353</v>
      </c>
      <c r="E75" s="61">
        <v>1</v>
      </c>
      <c r="F75" s="59">
        <v>2</v>
      </c>
      <c r="G75" s="158">
        <f t="shared" si="4"/>
        <v>46707</v>
      </c>
      <c r="H75" s="160">
        <f t="shared" ref="H75:H78" si="5">H74+8</f>
        <v>46737</v>
      </c>
      <c r="I75" s="63"/>
      <c r="J75" s="12"/>
      <c r="K75" s="11"/>
      <c r="L75" s="147"/>
      <c r="M75" s="6"/>
      <c r="N75" s="7"/>
      <c r="O75" s="10"/>
      <c r="P75" s="6"/>
      <c r="Q75" s="147"/>
      <c r="R75" s="6"/>
      <c r="S75" s="7"/>
      <c r="T75" s="17"/>
      <c r="U75" s="20"/>
    </row>
    <row r="76" spans="1:21" s="3" customFormat="1" ht="30" customHeight="1" x14ac:dyDescent="0.2">
      <c r="A76" s="72"/>
      <c r="B76" s="134" t="s">
        <v>269</v>
      </c>
      <c r="C76" s="135" t="s">
        <v>270</v>
      </c>
      <c r="D76" s="135" t="s">
        <v>413</v>
      </c>
      <c r="E76" s="61">
        <v>1</v>
      </c>
      <c r="F76" s="59">
        <v>2</v>
      </c>
      <c r="G76" s="158">
        <f t="shared" si="4"/>
        <v>46715</v>
      </c>
      <c r="H76" s="160">
        <f t="shared" si="5"/>
        <v>46745</v>
      </c>
      <c r="I76" s="63"/>
      <c r="J76" s="12"/>
      <c r="K76" s="11"/>
      <c r="L76" s="147"/>
      <c r="M76" s="6"/>
      <c r="N76" s="7"/>
      <c r="O76" s="10"/>
      <c r="P76" s="6"/>
      <c r="Q76" s="147"/>
      <c r="R76" s="6"/>
      <c r="S76" s="7"/>
      <c r="T76" s="17"/>
      <c r="U76" s="20"/>
    </row>
    <row r="77" spans="1:21" s="3" customFormat="1" ht="30" customHeight="1" x14ac:dyDescent="0.2">
      <c r="A77" s="72"/>
      <c r="B77" s="134" t="s">
        <v>271</v>
      </c>
      <c r="C77" s="135" t="s">
        <v>272</v>
      </c>
      <c r="D77" s="135" t="s">
        <v>414</v>
      </c>
      <c r="E77" s="61">
        <v>1</v>
      </c>
      <c r="F77" s="59">
        <v>2</v>
      </c>
      <c r="G77" s="158">
        <f t="shared" si="4"/>
        <v>46723</v>
      </c>
      <c r="H77" s="160">
        <f t="shared" si="5"/>
        <v>46753</v>
      </c>
      <c r="I77" s="63"/>
      <c r="J77" s="12"/>
      <c r="K77" s="11"/>
      <c r="L77" s="147"/>
      <c r="M77" s="6"/>
      <c r="N77" s="7"/>
      <c r="O77" s="10"/>
      <c r="P77" s="6"/>
      <c r="Q77" s="147"/>
      <c r="R77" s="6"/>
      <c r="S77" s="7"/>
      <c r="T77" s="17"/>
      <c r="U77" s="20"/>
    </row>
    <row r="78" spans="1:21" s="3" customFormat="1" ht="30" customHeight="1" x14ac:dyDescent="0.2">
      <c r="A78" s="72"/>
      <c r="B78" s="134" t="s">
        <v>273</v>
      </c>
      <c r="C78" s="135" t="s">
        <v>274</v>
      </c>
      <c r="D78" s="135" t="s">
        <v>415</v>
      </c>
      <c r="E78" s="61">
        <v>1</v>
      </c>
      <c r="F78" s="59">
        <v>2</v>
      </c>
      <c r="G78" s="158">
        <f t="shared" si="4"/>
        <v>46731</v>
      </c>
      <c r="H78" s="160">
        <f t="shared" si="5"/>
        <v>46761</v>
      </c>
      <c r="I78" s="63"/>
      <c r="J78" s="12"/>
      <c r="K78" s="11"/>
      <c r="L78" s="147"/>
      <c r="M78" s="6"/>
      <c r="N78" s="7"/>
      <c r="O78" s="10"/>
      <c r="P78" s="6"/>
      <c r="Q78" s="147"/>
      <c r="R78" s="6"/>
      <c r="S78" s="7"/>
      <c r="T78" s="17"/>
      <c r="U78" s="20"/>
    </row>
    <row r="79" spans="1:21" s="3" customFormat="1" ht="30" customHeight="1" x14ac:dyDescent="0.2">
      <c r="A79" s="72"/>
      <c r="B79" s="134" t="s">
        <v>275</v>
      </c>
      <c r="C79" s="135" t="s">
        <v>276</v>
      </c>
      <c r="D79" s="135" t="s">
        <v>416</v>
      </c>
      <c r="E79" s="61">
        <v>1</v>
      </c>
      <c r="F79" s="59">
        <v>2</v>
      </c>
      <c r="G79" s="158">
        <f t="shared" si="4"/>
        <v>46551</v>
      </c>
      <c r="H79" s="160">
        <v>46581</v>
      </c>
      <c r="I79" s="63"/>
      <c r="J79" s="12"/>
      <c r="K79" s="11"/>
      <c r="L79" s="147"/>
      <c r="M79" s="6"/>
      <c r="N79" s="7"/>
      <c r="O79" s="10"/>
      <c r="P79" s="6"/>
      <c r="Q79" s="147"/>
      <c r="R79" s="6"/>
      <c r="S79" s="7"/>
      <c r="T79" s="17"/>
      <c r="U79" s="20"/>
    </row>
    <row r="80" spans="1:21" s="3" customFormat="1" ht="30" customHeight="1" x14ac:dyDescent="0.2">
      <c r="A80" s="72"/>
      <c r="B80" s="134" t="s">
        <v>277</v>
      </c>
      <c r="C80" s="135" t="s">
        <v>278</v>
      </c>
      <c r="D80" s="135" t="s">
        <v>417</v>
      </c>
      <c r="E80" s="61">
        <v>1</v>
      </c>
      <c r="F80" s="59">
        <v>2</v>
      </c>
      <c r="G80" s="158">
        <f t="shared" si="4"/>
        <v>46558</v>
      </c>
      <c r="H80" s="160">
        <v>46588</v>
      </c>
      <c r="I80" s="63"/>
      <c r="J80" s="12"/>
      <c r="K80" s="11"/>
      <c r="L80" s="147"/>
      <c r="M80" s="6"/>
      <c r="N80" s="7"/>
      <c r="O80" s="10"/>
      <c r="P80" s="6"/>
      <c r="Q80" s="147"/>
      <c r="R80" s="6"/>
      <c r="S80" s="7"/>
      <c r="T80" s="17"/>
      <c r="U80" s="20"/>
    </row>
    <row r="81" spans="1:21" s="3" customFormat="1" ht="30" customHeight="1" x14ac:dyDescent="0.2">
      <c r="A81" s="72"/>
      <c r="B81" s="134" t="s">
        <v>279</v>
      </c>
      <c r="C81" s="135" t="s">
        <v>280</v>
      </c>
      <c r="D81" s="135" t="s">
        <v>418</v>
      </c>
      <c r="E81" s="61">
        <v>1</v>
      </c>
      <c r="F81" s="59">
        <v>2</v>
      </c>
      <c r="G81" s="158">
        <f t="shared" si="4"/>
        <v>46581</v>
      </c>
      <c r="H81" s="160">
        <v>46611</v>
      </c>
      <c r="I81" s="63"/>
      <c r="J81" s="12"/>
      <c r="K81" s="11"/>
      <c r="L81" s="147"/>
      <c r="M81" s="6"/>
      <c r="N81" s="7"/>
      <c r="O81" s="10"/>
      <c r="P81" s="6"/>
      <c r="Q81" s="147"/>
      <c r="R81" s="6"/>
      <c r="S81" s="7"/>
      <c r="T81" s="17"/>
      <c r="U81" s="20"/>
    </row>
    <row r="82" spans="1:21" s="3" customFormat="1" ht="30" customHeight="1" x14ac:dyDescent="0.2">
      <c r="A82" s="72"/>
      <c r="B82" s="134" t="s">
        <v>281</v>
      </c>
      <c r="C82" s="135" t="s">
        <v>282</v>
      </c>
      <c r="D82" s="135" t="s">
        <v>419</v>
      </c>
      <c r="E82" s="61">
        <v>1</v>
      </c>
      <c r="F82" s="59">
        <v>2</v>
      </c>
      <c r="G82" s="158">
        <f t="shared" si="4"/>
        <v>46565</v>
      </c>
      <c r="H82" s="160">
        <v>46595</v>
      </c>
      <c r="I82" s="63"/>
      <c r="J82" s="12"/>
      <c r="K82" s="11"/>
      <c r="L82" s="147"/>
      <c r="M82" s="6"/>
      <c r="N82" s="7"/>
      <c r="O82" s="10"/>
      <c r="P82" s="6"/>
      <c r="Q82" s="147"/>
      <c r="R82" s="6"/>
      <c r="S82" s="7"/>
      <c r="T82" s="17"/>
      <c r="U82" s="20"/>
    </row>
    <row r="83" spans="1:21" s="3" customFormat="1" ht="30" customHeight="1" x14ac:dyDescent="0.2">
      <c r="A83" s="72"/>
      <c r="B83" s="134" t="s">
        <v>283</v>
      </c>
      <c r="C83" s="135" t="s">
        <v>284</v>
      </c>
      <c r="D83" s="135" t="s">
        <v>420</v>
      </c>
      <c r="E83" s="61">
        <v>1</v>
      </c>
      <c r="F83" s="59">
        <v>2</v>
      </c>
      <c r="G83" s="158">
        <f t="shared" si="4"/>
        <v>46571</v>
      </c>
      <c r="H83" s="160">
        <v>46601</v>
      </c>
      <c r="I83" s="63"/>
      <c r="J83" s="12"/>
      <c r="K83" s="11"/>
      <c r="L83" s="147"/>
      <c r="M83" s="6"/>
      <c r="N83" s="7"/>
      <c r="O83" s="10"/>
      <c r="P83" s="6"/>
      <c r="Q83" s="147"/>
      <c r="R83" s="6"/>
      <c r="S83" s="7"/>
      <c r="T83" s="17"/>
      <c r="U83" s="20"/>
    </row>
    <row r="84" spans="1:21" s="3" customFormat="1" ht="30" customHeight="1" x14ac:dyDescent="0.2">
      <c r="A84" s="72"/>
      <c r="B84" s="134" t="s">
        <v>285</v>
      </c>
      <c r="C84" s="135" t="s">
        <v>286</v>
      </c>
      <c r="D84" s="135" t="s">
        <v>421</v>
      </c>
      <c r="E84" s="61">
        <v>1</v>
      </c>
      <c r="F84" s="59">
        <v>2</v>
      </c>
      <c r="G84" s="158">
        <f t="shared" si="4"/>
        <v>46587</v>
      </c>
      <c r="H84" s="160">
        <v>46617</v>
      </c>
      <c r="I84" s="63"/>
      <c r="J84" s="12"/>
      <c r="K84" s="11"/>
      <c r="L84" s="147"/>
      <c r="M84" s="6"/>
      <c r="N84" s="7"/>
      <c r="O84" s="10"/>
      <c r="P84" s="6"/>
      <c r="Q84" s="147"/>
      <c r="R84" s="6"/>
      <c r="S84" s="7"/>
      <c r="T84" s="17"/>
      <c r="U84" s="20"/>
    </row>
    <row r="85" spans="1:21" s="3" customFormat="1" ht="30" customHeight="1" x14ac:dyDescent="0.2">
      <c r="A85" s="72"/>
      <c r="B85" s="134" t="s">
        <v>287</v>
      </c>
      <c r="C85" s="135" t="s">
        <v>288</v>
      </c>
      <c r="D85" s="135" t="s">
        <v>422</v>
      </c>
      <c r="E85" s="61">
        <v>1</v>
      </c>
      <c r="F85" s="59">
        <v>2</v>
      </c>
      <c r="G85" s="158">
        <f t="shared" si="4"/>
        <v>46626</v>
      </c>
      <c r="H85" s="160">
        <v>46656</v>
      </c>
      <c r="I85" s="63"/>
      <c r="J85" s="12"/>
      <c r="K85" s="11"/>
      <c r="L85" s="147"/>
      <c r="M85" s="6"/>
      <c r="N85" s="7"/>
      <c r="O85" s="10"/>
      <c r="P85" s="6"/>
      <c r="Q85" s="147"/>
      <c r="R85" s="6"/>
      <c r="S85" s="7"/>
      <c r="T85" s="17"/>
      <c r="U85" s="20"/>
    </row>
    <row r="86" spans="1:21" s="3" customFormat="1" ht="30" customHeight="1" x14ac:dyDescent="0.2">
      <c r="A86" s="72"/>
      <c r="B86" s="134" t="s">
        <v>289</v>
      </c>
      <c r="C86" s="135" t="s">
        <v>290</v>
      </c>
      <c r="D86" s="135" t="s">
        <v>423</v>
      </c>
      <c r="E86" s="61">
        <v>1</v>
      </c>
      <c r="F86" s="59">
        <v>2</v>
      </c>
      <c r="G86" s="158">
        <f t="shared" si="4"/>
        <v>46602</v>
      </c>
      <c r="H86" s="160">
        <v>46632</v>
      </c>
      <c r="I86" s="63"/>
      <c r="J86" s="12"/>
      <c r="K86" s="11"/>
      <c r="L86" s="147"/>
      <c r="M86" s="6"/>
      <c r="N86" s="7"/>
      <c r="O86" s="10"/>
      <c r="P86" s="6"/>
      <c r="Q86" s="147"/>
      <c r="R86" s="6"/>
      <c r="S86" s="7"/>
      <c r="T86" s="17"/>
      <c r="U86" s="20"/>
    </row>
    <row r="87" spans="1:21" s="3" customFormat="1" ht="30" customHeight="1" x14ac:dyDescent="0.2">
      <c r="A87" s="72"/>
      <c r="B87" s="134" t="s">
        <v>291</v>
      </c>
      <c r="C87" s="135" t="s">
        <v>292</v>
      </c>
      <c r="D87" s="135" t="s">
        <v>424</v>
      </c>
      <c r="E87" s="61">
        <v>1</v>
      </c>
      <c r="F87" s="59">
        <v>2</v>
      </c>
      <c r="G87" s="158">
        <f t="shared" si="4"/>
        <v>46613</v>
      </c>
      <c r="H87" s="160">
        <v>46643</v>
      </c>
      <c r="I87" s="63"/>
      <c r="J87" s="12"/>
      <c r="K87" s="11"/>
      <c r="L87" s="147"/>
      <c r="M87" s="6"/>
      <c r="N87" s="7"/>
      <c r="O87" s="10"/>
      <c r="P87" s="6"/>
      <c r="Q87" s="147"/>
      <c r="R87" s="6"/>
      <c r="S87" s="7"/>
      <c r="T87" s="17"/>
      <c r="U87" s="20"/>
    </row>
    <row r="88" spans="1:21" s="3" customFormat="1" ht="30" customHeight="1" x14ac:dyDescent="0.2">
      <c r="A88" s="72"/>
      <c r="B88" s="134" t="s">
        <v>293</v>
      </c>
      <c r="C88" s="135" t="s">
        <v>294</v>
      </c>
      <c r="D88" s="135" t="s">
        <v>425</v>
      </c>
      <c r="E88" s="61">
        <v>1</v>
      </c>
      <c r="F88" s="59">
        <v>2</v>
      </c>
      <c r="G88" s="158">
        <f t="shared" si="4"/>
        <v>46923</v>
      </c>
      <c r="H88" s="160">
        <v>46953</v>
      </c>
      <c r="I88" s="63"/>
      <c r="J88" s="12"/>
      <c r="K88" s="11"/>
      <c r="L88" s="147"/>
      <c r="M88" s="6"/>
      <c r="N88" s="7"/>
      <c r="O88" s="10"/>
      <c r="P88" s="6"/>
      <c r="Q88" s="147"/>
      <c r="R88" s="6"/>
      <c r="S88" s="7"/>
      <c r="T88" s="17"/>
      <c r="U88" s="20"/>
    </row>
    <row r="89" spans="1:21" s="3" customFormat="1" ht="30" customHeight="1" x14ac:dyDescent="0.2">
      <c r="A89" s="72"/>
      <c r="B89" s="134" t="s">
        <v>295</v>
      </c>
      <c r="C89" s="135" t="s">
        <v>296</v>
      </c>
      <c r="D89" s="135" t="s">
        <v>426</v>
      </c>
      <c r="E89" s="61">
        <v>1</v>
      </c>
      <c r="F89" s="59">
        <v>2</v>
      </c>
      <c r="G89" s="158">
        <f t="shared" si="4"/>
        <v>46926</v>
      </c>
      <c r="H89" s="160">
        <f>H88+3</f>
        <v>46956</v>
      </c>
      <c r="I89" s="63"/>
      <c r="J89" s="12"/>
      <c r="K89" s="11"/>
      <c r="L89" s="147"/>
      <c r="M89" s="6"/>
      <c r="N89" s="7"/>
      <c r="O89" s="10"/>
      <c r="P89" s="6"/>
      <c r="Q89" s="147"/>
      <c r="R89" s="6"/>
      <c r="S89" s="7"/>
      <c r="T89" s="17"/>
      <c r="U89" s="20"/>
    </row>
    <row r="90" spans="1:21" s="3" customFormat="1" ht="30" customHeight="1" x14ac:dyDescent="0.2">
      <c r="A90" s="72"/>
      <c r="B90" s="134" t="s">
        <v>297</v>
      </c>
      <c r="C90" s="135" t="s">
        <v>298</v>
      </c>
      <c r="D90" s="135" t="s">
        <v>427</v>
      </c>
      <c r="E90" s="61">
        <v>1</v>
      </c>
      <c r="F90" s="59">
        <v>2</v>
      </c>
      <c r="G90" s="158">
        <f t="shared" si="4"/>
        <v>46924</v>
      </c>
      <c r="H90" s="160">
        <v>46954</v>
      </c>
      <c r="I90" s="63"/>
      <c r="J90" s="12"/>
      <c r="K90" s="11"/>
      <c r="L90" s="147"/>
      <c r="M90" s="6"/>
      <c r="N90" s="7"/>
      <c r="O90" s="10"/>
      <c r="P90" s="6"/>
      <c r="Q90" s="147"/>
      <c r="R90" s="6"/>
      <c r="S90" s="7"/>
      <c r="T90" s="17"/>
      <c r="U90" s="20"/>
    </row>
    <row r="91" spans="1:21" s="3" customFormat="1" ht="30" customHeight="1" x14ac:dyDescent="0.2">
      <c r="A91" s="72"/>
      <c r="B91" s="134" t="s">
        <v>299</v>
      </c>
      <c r="C91" s="135" t="s">
        <v>300</v>
      </c>
      <c r="D91" s="135" t="s">
        <v>428</v>
      </c>
      <c r="E91" s="61">
        <v>1</v>
      </c>
      <c r="F91" s="59">
        <v>2</v>
      </c>
      <c r="G91" s="158">
        <f t="shared" si="4"/>
        <v>46927</v>
      </c>
      <c r="H91" s="160">
        <f t="shared" ref="H91" si="6">H90+3</f>
        <v>46957</v>
      </c>
      <c r="I91" s="63"/>
      <c r="J91" s="12"/>
      <c r="K91" s="11"/>
      <c r="L91" s="147"/>
      <c r="M91" s="6"/>
      <c r="N91" s="7"/>
      <c r="O91" s="10"/>
      <c r="P91" s="6"/>
      <c r="Q91" s="147"/>
      <c r="R91" s="6"/>
      <c r="S91" s="7"/>
      <c r="T91" s="17"/>
      <c r="U91" s="20"/>
    </row>
    <row r="92" spans="1:21" s="3" customFormat="1" ht="30" customHeight="1" x14ac:dyDescent="0.2">
      <c r="A92" s="72"/>
      <c r="B92" s="134" t="s">
        <v>301</v>
      </c>
      <c r="C92" s="135" t="s">
        <v>302</v>
      </c>
      <c r="D92" s="135" t="s">
        <v>429</v>
      </c>
      <c r="E92" s="61">
        <v>1</v>
      </c>
      <c r="F92" s="59">
        <v>2</v>
      </c>
      <c r="G92" s="158">
        <f t="shared" si="4"/>
        <v>46925</v>
      </c>
      <c r="H92" s="160">
        <v>46955</v>
      </c>
      <c r="I92" s="63"/>
      <c r="J92" s="12"/>
      <c r="K92" s="11"/>
      <c r="L92" s="147"/>
      <c r="M92" s="6"/>
      <c r="N92" s="7"/>
      <c r="O92" s="10"/>
      <c r="P92" s="6"/>
      <c r="Q92" s="147"/>
      <c r="R92" s="6"/>
      <c r="S92" s="7"/>
      <c r="T92" s="17"/>
      <c r="U92" s="20"/>
    </row>
    <row r="93" spans="1:21" s="3" customFormat="1" ht="30" customHeight="1" x14ac:dyDescent="0.2">
      <c r="A93" s="72"/>
      <c r="B93" s="134" t="s">
        <v>303</v>
      </c>
      <c r="C93" s="135" t="s">
        <v>304</v>
      </c>
      <c r="D93" s="135" t="s">
        <v>430</v>
      </c>
      <c r="E93" s="61">
        <v>1</v>
      </c>
      <c r="F93" s="59">
        <v>2</v>
      </c>
      <c r="G93" s="158">
        <f t="shared" si="4"/>
        <v>46928</v>
      </c>
      <c r="H93" s="160">
        <f t="shared" ref="H93" si="7">H92+3</f>
        <v>46958</v>
      </c>
      <c r="I93" s="63"/>
      <c r="J93" s="12"/>
      <c r="K93" s="11"/>
      <c r="L93" s="147"/>
      <c r="M93" s="6"/>
      <c r="N93" s="7"/>
      <c r="O93" s="10"/>
      <c r="P93" s="6"/>
      <c r="Q93" s="147"/>
      <c r="R93" s="6"/>
      <c r="S93" s="7"/>
      <c r="T93" s="17"/>
      <c r="U93" s="20"/>
    </row>
    <row r="94" spans="1:21" s="3" customFormat="1" ht="30" customHeight="1" x14ac:dyDescent="0.2">
      <c r="A94" s="72"/>
      <c r="B94" s="134" t="s">
        <v>305</v>
      </c>
      <c r="C94" s="135" t="s">
        <v>306</v>
      </c>
      <c r="D94" s="135" t="s">
        <v>431</v>
      </c>
      <c r="E94" s="61">
        <v>1</v>
      </c>
      <c r="F94" s="59">
        <v>2</v>
      </c>
      <c r="G94" s="158">
        <f t="shared" si="4"/>
        <v>46571</v>
      </c>
      <c r="H94" s="160">
        <v>46601</v>
      </c>
      <c r="I94" s="63"/>
      <c r="J94" s="12"/>
      <c r="K94" s="11"/>
      <c r="L94" s="147"/>
      <c r="M94" s="6"/>
      <c r="N94" s="7"/>
      <c r="O94" s="10"/>
      <c r="P94" s="6"/>
      <c r="Q94" s="147"/>
      <c r="R94" s="6"/>
      <c r="S94" s="7"/>
      <c r="T94" s="17"/>
      <c r="U94" s="20"/>
    </row>
    <row r="95" spans="1:21" s="3" customFormat="1" ht="30" customHeight="1" x14ac:dyDescent="0.2">
      <c r="A95" s="72"/>
      <c r="B95" s="134" t="s">
        <v>307</v>
      </c>
      <c r="C95" s="135" t="s">
        <v>308</v>
      </c>
      <c r="D95" s="135" t="s">
        <v>432</v>
      </c>
      <c r="E95" s="61">
        <v>1</v>
      </c>
      <c r="F95" s="59">
        <v>2</v>
      </c>
      <c r="G95" s="158">
        <f t="shared" si="4"/>
        <v>46571</v>
      </c>
      <c r="H95" s="160">
        <v>46601</v>
      </c>
      <c r="I95" s="63"/>
      <c r="J95" s="12"/>
      <c r="K95" s="11"/>
      <c r="L95" s="147"/>
      <c r="M95" s="6"/>
      <c r="N95" s="7"/>
      <c r="O95" s="10"/>
      <c r="P95" s="6"/>
      <c r="Q95" s="147"/>
      <c r="R95" s="6"/>
      <c r="S95" s="7"/>
      <c r="T95" s="17"/>
      <c r="U95" s="20"/>
    </row>
    <row r="96" spans="1:21" s="3" customFormat="1" ht="30" customHeight="1" x14ac:dyDescent="0.2">
      <c r="A96" s="72"/>
      <c r="B96" s="134" t="s">
        <v>309</v>
      </c>
      <c r="C96" s="135" t="s">
        <v>310</v>
      </c>
      <c r="D96" s="135" t="s">
        <v>433</v>
      </c>
      <c r="E96" s="61">
        <v>1</v>
      </c>
      <c r="F96" s="59">
        <v>2</v>
      </c>
      <c r="G96" s="158">
        <f t="shared" si="4"/>
        <v>46931</v>
      </c>
      <c r="H96" s="160">
        <v>46961</v>
      </c>
      <c r="I96" s="63"/>
      <c r="J96" s="12"/>
      <c r="K96" s="11"/>
      <c r="L96" s="147"/>
      <c r="M96" s="6"/>
      <c r="N96" s="7"/>
      <c r="O96" s="10"/>
      <c r="P96" s="6"/>
      <c r="Q96" s="147"/>
      <c r="R96" s="6"/>
      <c r="S96" s="7"/>
      <c r="T96" s="17"/>
      <c r="U96" s="20"/>
    </row>
    <row r="97" spans="1:21" s="3" customFormat="1" ht="30" customHeight="1" x14ac:dyDescent="0.2">
      <c r="A97" s="72"/>
      <c r="B97" s="134" t="s">
        <v>311</v>
      </c>
      <c r="C97" s="135" t="s">
        <v>312</v>
      </c>
      <c r="D97" s="135" t="s">
        <v>434</v>
      </c>
      <c r="E97" s="61">
        <v>1</v>
      </c>
      <c r="F97" s="59">
        <v>2</v>
      </c>
      <c r="G97" s="158">
        <f t="shared" si="4"/>
        <v>46934</v>
      </c>
      <c r="H97" s="160">
        <f>H96+3</f>
        <v>46964</v>
      </c>
      <c r="I97" s="63"/>
      <c r="J97" s="12"/>
      <c r="K97" s="11"/>
      <c r="L97" s="147"/>
      <c r="M97" s="6"/>
      <c r="N97" s="7"/>
      <c r="O97" s="10"/>
      <c r="P97" s="6"/>
      <c r="Q97" s="147"/>
      <c r="R97" s="6"/>
      <c r="S97" s="7"/>
      <c r="T97" s="17"/>
      <c r="U97" s="20"/>
    </row>
    <row r="98" spans="1:21" s="3" customFormat="1" ht="30" customHeight="1" x14ac:dyDescent="0.2">
      <c r="A98" s="72"/>
      <c r="B98" s="134" t="s">
        <v>313</v>
      </c>
      <c r="C98" s="135" t="s">
        <v>314</v>
      </c>
      <c r="D98" s="135" t="s">
        <v>435</v>
      </c>
      <c r="E98" s="61">
        <v>1</v>
      </c>
      <c r="F98" s="59">
        <v>2</v>
      </c>
      <c r="G98" s="158">
        <f t="shared" si="4"/>
        <v>46937</v>
      </c>
      <c r="H98" s="160">
        <f t="shared" ref="H98:H100" si="8">H97+3</f>
        <v>46967</v>
      </c>
      <c r="I98" s="63"/>
      <c r="J98" s="12"/>
      <c r="K98" s="11"/>
      <c r="L98" s="147"/>
      <c r="M98" s="6"/>
      <c r="N98" s="7"/>
      <c r="O98" s="10"/>
      <c r="P98" s="6"/>
      <c r="Q98" s="147"/>
      <c r="R98" s="6"/>
      <c r="S98" s="7"/>
      <c r="T98" s="17"/>
      <c r="U98" s="20"/>
    </row>
    <row r="99" spans="1:21" s="3" customFormat="1" ht="30" customHeight="1" x14ac:dyDescent="0.2">
      <c r="A99" s="72"/>
      <c r="B99" s="134" t="s">
        <v>315</v>
      </c>
      <c r="C99" s="135" t="s">
        <v>316</v>
      </c>
      <c r="D99" s="135" t="s">
        <v>436</v>
      </c>
      <c r="E99" s="61">
        <v>1</v>
      </c>
      <c r="F99" s="59">
        <v>2</v>
      </c>
      <c r="G99" s="158">
        <f t="shared" si="4"/>
        <v>46940</v>
      </c>
      <c r="H99" s="160">
        <f t="shared" si="8"/>
        <v>46970</v>
      </c>
      <c r="I99" s="63"/>
      <c r="J99" s="12"/>
      <c r="K99" s="11"/>
      <c r="L99" s="147"/>
      <c r="M99" s="6"/>
      <c r="N99" s="7"/>
      <c r="O99" s="10"/>
      <c r="P99" s="6"/>
      <c r="Q99" s="147"/>
      <c r="R99" s="6"/>
      <c r="S99" s="7"/>
      <c r="T99" s="17"/>
      <c r="U99" s="20"/>
    </row>
    <row r="100" spans="1:21" s="3" customFormat="1" ht="30" customHeight="1" x14ac:dyDescent="0.2">
      <c r="A100" s="72"/>
      <c r="B100" s="134" t="s">
        <v>317</v>
      </c>
      <c r="C100" s="135" t="s">
        <v>318</v>
      </c>
      <c r="D100" s="135" t="s">
        <v>437</v>
      </c>
      <c r="E100" s="61">
        <v>1</v>
      </c>
      <c r="F100" s="59">
        <v>2</v>
      </c>
      <c r="G100" s="158">
        <f t="shared" si="4"/>
        <v>46943</v>
      </c>
      <c r="H100" s="160">
        <f t="shared" si="8"/>
        <v>46973</v>
      </c>
      <c r="I100" s="63"/>
      <c r="J100" s="12"/>
      <c r="K100" s="11"/>
      <c r="L100" s="147"/>
      <c r="M100" s="6"/>
      <c r="N100" s="7"/>
      <c r="O100" s="10"/>
      <c r="P100" s="6"/>
      <c r="Q100" s="147"/>
      <c r="R100" s="6"/>
      <c r="S100" s="7"/>
      <c r="T100" s="17"/>
      <c r="U100" s="20"/>
    </row>
    <row r="101" spans="1:21" s="3" customFormat="1" ht="30" customHeight="1" x14ac:dyDescent="0.2">
      <c r="A101" s="72"/>
      <c r="B101" s="134"/>
      <c r="C101" s="135"/>
      <c r="D101" s="59"/>
      <c r="E101" s="59"/>
      <c r="F101" s="59"/>
      <c r="G101" s="160"/>
      <c r="H101" s="160"/>
      <c r="I101" s="63"/>
      <c r="J101" s="12"/>
      <c r="K101" s="11"/>
      <c r="L101" s="147"/>
      <c r="M101" s="6"/>
      <c r="N101" s="7"/>
      <c r="O101" s="10"/>
      <c r="P101" s="6"/>
      <c r="Q101" s="147"/>
      <c r="R101" s="6"/>
      <c r="S101" s="7"/>
      <c r="T101" s="17"/>
      <c r="U101" s="20"/>
    </row>
    <row r="102" spans="1:21" s="3" customFormat="1" ht="30" customHeight="1" x14ac:dyDescent="0.2">
      <c r="A102" s="72"/>
      <c r="B102" s="66"/>
      <c r="C102" s="59"/>
      <c r="D102" s="59"/>
      <c r="E102" s="59"/>
      <c r="F102" s="59"/>
      <c r="G102" s="160"/>
      <c r="H102" s="160"/>
      <c r="I102" s="63"/>
      <c r="J102" s="12"/>
      <c r="K102" s="11"/>
      <c r="L102" s="147"/>
      <c r="M102" s="6"/>
      <c r="N102" s="7"/>
      <c r="O102" s="10"/>
      <c r="P102" s="6"/>
      <c r="Q102" s="147"/>
      <c r="R102" s="6"/>
      <c r="S102" s="7"/>
      <c r="T102" s="17"/>
      <c r="U102" s="20"/>
    </row>
    <row r="103" spans="1:21" s="3" customFormat="1" ht="30" customHeight="1" x14ac:dyDescent="0.2">
      <c r="A103" s="72"/>
      <c r="B103" s="134" t="s">
        <v>319</v>
      </c>
      <c r="C103" s="135" t="s">
        <v>320</v>
      </c>
      <c r="D103" s="135" t="s">
        <v>438</v>
      </c>
      <c r="E103" s="59"/>
      <c r="F103" s="59">
        <v>2</v>
      </c>
      <c r="G103" s="158">
        <f t="shared" ref="G103:G114" si="9">H103-30</f>
        <v>46459</v>
      </c>
      <c r="H103" s="160">
        <v>46489</v>
      </c>
      <c r="I103" s="63"/>
      <c r="J103" s="12"/>
      <c r="K103" s="11"/>
      <c r="L103" s="147"/>
      <c r="M103" s="6"/>
      <c r="N103" s="7"/>
      <c r="O103" s="10"/>
      <c r="P103" s="6"/>
      <c r="Q103" s="147"/>
      <c r="R103" s="6"/>
      <c r="S103" s="7"/>
      <c r="T103" s="17"/>
      <c r="U103" s="20"/>
    </row>
    <row r="104" spans="1:21" s="3" customFormat="1" ht="30" customHeight="1" x14ac:dyDescent="0.2">
      <c r="A104" s="72"/>
      <c r="B104" s="134" t="s">
        <v>321</v>
      </c>
      <c r="C104" s="135" t="s">
        <v>322</v>
      </c>
      <c r="D104" s="135" t="s">
        <v>439</v>
      </c>
      <c r="E104" s="59"/>
      <c r="F104" s="59">
        <v>2</v>
      </c>
      <c r="G104" s="158">
        <f t="shared" si="9"/>
        <v>46466</v>
      </c>
      <c r="H104" s="160">
        <f>H103+7</f>
        <v>46496</v>
      </c>
      <c r="I104" s="63"/>
      <c r="J104" s="12"/>
      <c r="K104" s="11"/>
      <c r="L104" s="147"/>
      <c r="M104" s="6"/>
      <c r="N104" s="7"/>
      <c r="O104" s="10"/>
      <c r="P104" s="6"/>
      <c r="Q104" s="147"/>
      <c r="R104" s="6"/>
      <c r="S104" s="7"/>
      <c r="T104" s="17"/>
      <c r="U104" s="20"/>
    </row>
    <row r="105" spans="1:21" s="3" customFormat="1" ht="30" customHeight="1" x14ac:dyDescent="0.2">
      <c r="A105" s="72"/>
      <c r="B105" s="134" t="s">
        <v>323</v>
      </c>
      <c r="C105" s="135" t="s">
        <v>324</v>
      </c>
      <c r="D105" s="135" t="s">
        <v>449</v>
      </c>
      <c r="E105" s="59"/>
      <c r="F105" s="59">
        <v>2</v>
      </c>
      <c r="G105" s="158">
        <f t="shared" si="9"/>
        <v>46473</v>
      </c>
      <c r="H105" s="160">
        <f t="shared" ref="H105:H111" si="10">H104+7</f>
        <v>46503</v>
      </c>
      <c r="I105" s="63"/>
      <c r="J105" s="12"/>
      <c r="K105" s="11"/>
      <c r="L105" s="147"/>
      <c r="M105" s="6"/>
      <c r="N105" s="7"/>
      <c r="O105" s="10"/>
      <c r="P105" s="6"/>
      <c r="Q105" s="147"/>
      <c r="R105" s="6"/>
      <c r="S105" s="7"/>
      <c r="T105" s="17"/>
      <c r="U105" s="20"/>
    </row>
    <row r="106" spans="1:21" s="3" customFormat="1" ht="30" customHeight="1" x14ac:dyDescent="0.2">
      <c r="A106" s="72"/>
      <c r="B106" s="134" t="s">
        <v>325</v>
      </c>
      <c r="C106" s="135" t="s">
        <v>326</v>
      </c>
      <c r="D106" s="135" t="s">
        <v>440</v>
      </c>
      <c r="E106" s="59"/>
      <c r="F106" s="59">
        <v>2</v>
      </c>
      <c r="G106" s="158">
        <f t="shared" si="9"/>
        <v>46480</v>
      </c>
      <c r="H106" s="160">
        <f t="shared" si="10"/>
        <v>46510</v>
      </c>
      <c r="I106" s="63"/>
      <c r="J106" s="12"/>
      <c r="K106" s="11"/>
      <c r="L106" s="147"/>
      <c r="M106" s="6"/>
      <c r="N106" s="7"/>
      <c r="O106" s="10"/>
      <c r="P106" s="6"/>
      <c r="Q106" s="147"/>
      <c r="R106" s="6"/>
      <c r="S106" s="7"/>
      <c r="T106" s="17"/>
      <c r="U106" s="20"/>
    </row>
    <row r="107" spans="1:21" s="3" customFormat="1" ht="30" customHeight="1" x14ac:dyDescent="0.2">
      <c r="A107" s="72"/>
      <c r="B107" s="134" t="s">
        <v>327</v>
      </c>
      <c r="C107" s="135" t="s">
        <v>328</v>
      </c>
      <c r="D107" s="135" t="s">
        <v>441</v>
      </c>
      <c r="E107" s="59"/>
      <c r="F107" s="59">
        <v>2</v>
      </c>
      <c r="G107" s="158">
        <f t="shared" si="9"/>
        <v>46487</v>
      </c>
      <c r="H107" s="160">
        <f t="shared" si="10"/>
        <v>46517</v>
      </c>
      <c r="I107" s="63"/>
      <c r="J107" s="12"/>
      <c r="K107" s="11"/>
      <c r="L107" s="147"/>
      <c r="M107" s="6"/>
      <c r="N107" s="7"/>
      <c r="O107" s="10"/>
      <c r="P107" s="6"/>
      <c r="Q107" s="147"/>
      <c r="R107" s="6"/>
      <c r="S107" s="7"/>
      <c r="T107" s="17"/>
      <c r="U107" s="20"/>
    </row>
    <row r="108" spans="1:21" s="3" customFormat="1" ht="30" customHeight="1" x14ac:dyDescent="0.2">
      <c r="A108" s="72"/>
      <c r="B108" s="134" t="s">
        <v>329</v>
      </c>
      <c r="C108" s="135" t="s">
        <v>330</v>
      </c>
      <c r="D108" s="135" t="s">
        <v>442</v>
      </c>
      <c r="E108" s="59"/>
      <c r="F108" s="59">
        <v>2</v>
      </c>
      <c r="G108" s="158">
        <f t="shared" si="9"/>
        <v>46494</v>
      </c>
      <c r="H108" s="160">
        <f t="shared" si="10"/>
        <v>46524</v>
      </c>
      <c r="I108" s="63"/>
      <c r="J108" s="12"/>
      <c r="K108" s="11"/>
      <c r="L108" s="147"/>
      <c r="M108" s="6"/>
      <c r="N108" s="7"/>
      <c r="O108" s="10"/>
      <c r="P108" s="6"/>
      <c r="Q108" s="147"/>
      <c r="R108" s="6"/>
      <c r="S108" s="7"/>
      <c r="T108" s="17"/>
      <c r="U108" s="20"/>
    </row>
    <row r="109" spans="1:21" s="3" customFormat="1" ht="30" customHeight="1" x14ac:dyDescent="0.2">
      <c r="A109" s="72"/>
      <c r="B109" s="134" t="s">
        <v>331</v>
      </c>
      <c r="C109" s="135" t="s">
        <v>332</v>
      </c>
      <c r="D109" s="135" t="s">
        <v>443</v>
      </c>
      <c r="E109" s="59"/>
      <c r="F109" s="59">
        <v>2</v>
      </c>
      <c r="G109" s="158">
        <f t="shared" si="9"/>
        <v>46501</v>
      </c>
      <c r="H109" s="160">
        <f t="shared" si="10"/>
        <v>46531</v>
      </c>
      <c r="I109" s="63"/>
      <c r="J109" s="12"/>
      <c r="K109" s="11"/>
      <c r="L109" s="147"/>
      <c r="M109" s="6"/>
      <c r="N109" s="7"/>
      <c r="O109" s="10"/>
      <c r="P109" s="6"/>
      <c r="Q109" s="147"/>
      <c r="R109" s="6"/>
      <c r="S109" s="7"/>
      <c r="T109" s="17"/>
      <c r="U109" s="20"/>
    </row>
    <row r="110" spans="1:21" s="3" customFormat="1" ht="30" customHeight="1" x14ac:dyDescent="0.2">
      <c r="A110" s="72"/>
      <c r="B110" s="134" t="s">
        <v>333</v>
      </c>
      <c r="C110" s="135" t="s">
        <v>334</v>
      </c>
      <c r="D110" s="135" t="s">
        <v>444</v>
      </c>
      <c r="E110" s="59"/>
      <c r="F110" s="59">
        <v>2</v>
      </c>
      <c r="G110" s="158">
        <f t="shared" si="9"/>
        <v>46508</v>
      </c>
      <c r="H110" s="160">
        <f t="shared" si="10"/>
        <v>46538</v>
      </c>
      <c r="I110" s="63"/>
      <c r="J110" s="12"/>
      <c r="K110" s="11"/>
      <c r="L110" s="147"/>
      <c r="M110" s="6"/>
      <c r="N110" s="7"/>
      <c r="O110" s="10"/>
      <c r="P110" s="6"/>
      <c r="Q110" s="147"/>
      <c r="R110" s="6"/>
      <c r="S110" s="7"/>
      <c r="T110" s="17"/>
      <c r="U110" s="20"/>
    </row>
    <row r="111" spans="1:21" s="3" customFormat="1" ht="30" customHeight="1" x14ac:dyDescent="0.2">
      <c r="A111" s="72"/>
      <c r="B111" s="134" t="s">
        <v>335</v>
      </c>
      <c r="C111" s="135" t="s">
        <v>336</v>
      </c>
      <c r="D111" s="135" t="s">
        <v>445</v>
      </c>
      <c r="E111" s="59"/>
      <c r="F111" s="59">
        <v>2</v>
      </c>
      <c r="G111" s="158">
        <f t="shared" si="9"/>
        <v>46515</v>
      </c>
      <c r="H111" s="160">
        <f t="shared" si="10"/>
        <v>46545</v>
      </c>
      <c r="I111" s="63"/>
      <c r="J111" s="12"/>
      <c r="K111" s="11"/>
      <c r="L111" s="147"/>
      <c r="M111" s="6"/>
      <c r="N111" s="7"/>
      <c r="O111" s="10"/>
      <c r="P111" s="6"/>
      <c r="Q111" s="147"/>
      <c r="R111" s="6"/>
      <c r="S111" s="7"/>
      <c r="T111" s="17"/>
      <c r="U111" s="20"/>
    </row>
    <row r="112" spans="1:21" s="3" customFormat="1" ht="30" customHeight="1" x14ac:dyDescent="0.2">
      <c r="A112" s="72"/>
      <c r="B112" s="134" t="s">
        <v>337</v>
      </c>
      <c r="C112" s="135" t="s">
        <v>338</v>
      </c>
      <c r="D112" s="135" t="s">
        <v>446</v>
      </c>
      <c r="E112" s="59"/>
      <c r="F112" s="59">
        <v>2</v>
      </c>
      <c r="G112" s="158">
        <f t="shared" si="9"/>
        <v>46584</v>
      </c>
      <c r="H112" s="160">
        <v>46614</v>
      </c>
      <c r="I112" s="63"/>
      <c r="J112" s="12"/>
      <c r="K112" s="11"/>
      <c r="L112" s="147"/>
      <c r="M112" s="6"/>
      <c r="N112" s="7"/>
      <c r="O112" s="10"/>
      <c r="P112" s="6"/>
      <c r="Q112" s="147"/>
      <c r="R112" s="6"/>
      <c r="S112" s="7"/>
      <c r="T112" s="17"/>
      <c r="U112" s="20"/>
    </row>
    <row r="113" spans="1:21" s="3" customFormat="1" ht="30" customHeight="1" x14ac:dyDescent="0.2">
      <c r="A113" s="72"/>
      <c r="B113" s="134" t="s">
        <v>339</v>
      </c>
      <c r="C113" s="135" t="s">
        <v>340</v>
      </c>
      <c r="D113" s="135" t="s">
        <v>447</v>
      </c>
      <c r="E113" s="59"/>
      <c r="F113" s="59">
        <v>2</v>
      </c>
      <c r="G113" s="158">
        <f t="shared" si="9"/>
        <v>46599</v>
      </c>
      <c r="H113" s="160">
        <f>H112+15</f>
        <v>46629</v>
      </c>
      <c r="I113" s="63"/>
      <c r="J113" s="12"/>
      <c r="K113" s="11"/>
      <c r="L113" s="147"/>
      <c r="M113" s="6"/>
      <c r="N113" s="7"/>
      <c r="O113" s="10"/>
      <c r="P113" s="6"/>
      <c r="Q113" s="147"/>
      <c r="R113" s="6"/>
      <c r="S113" s="7"/>
      <c r="T113" s="17"/>
      <c r="U113" s="20"/>
    </row>
    <row r="114" spans="1:21" s="3" customFormat="1" ht="30" customHeight="1" x14ac:dyDescent="0.2">
      <c r="A114" s="9"/>
      <c r="B114" s="134" t="s">
        <v>341</v>
      </c>
      <c r="C114" s="135" t="s">
        <v>342</v>
      </c>
      <c r="D114" s="135" t="s">
        <v>448</v>
      </c>
      <c r="E114" s="11"/>
      <c r="F114" s="59">
        <v>2</v>
      </c>
      <c r="G114" s="158">
        <f t="shared" si="9"/>
        <v>46614</v>
      </c>
      <c r="H114" s="160">
        <f>H113+15</f>
        <v>46644</v>
      </c>
      <c r="I114" s="12"/>
      <c r="J114" s="12"/>
      <c r="K114" s="11"/>
      <c r="L114" s="147"/>
      <c r="M114" s="6"/>
      <c r="N114" s="7"/>
      <c r="O114" s="10"/>
      <c r="P114" s="6"/>
      <c r="Q114" s="147"/>
      <c r="R114" s="6"/>
      <c r="S114" s="7"/>
      <c r="T114" s="17"/>
      <c r="U114" s="20"/>
    </row>
    <row r="115" spans="1:21" s="3" customFormat="1" ht="30" customHeight="1" x14ac:dyDescent="0.2">
      <c r="A115" s="9"/>
      <c r="B115" s="134" t="s">
        <v>533</v>
      </c>
      <c r="C115" s="135" t="s">
        <v>535</v>
      </c>
      <c r="D115" s="131" t="s">
        <v>537</v>
      </c>
      <c r="E115" s="11"/>
      <c r="F115" s="11"/>
      <c r="G115" s="161"/>
      <c r="H115" s="161"/>
      <c r="I115" s="12"/>
      <c r="J115" s="12"/>
      <c r="K115" s="11"/>
      <c r="L115" s="147"/>
      <c r="M115" s="6"/>
      <c r="N115" s="7"/>
      <c r="O115" s="10"/>
      <c r="P115" s="6"/>
      <c r="Q115" s="147"/>
      <c r="R115" s="6"/>
      <c r="S115" s="7"/>
      <c r="T115" s="17"/>
      <c r="U115" s="20"/>
    </row>
    <row r="116" spans="1:21" s="3" customFormat="1" ht="30" customHeight="1" x14ac:dyDescent="0.2">
      <c r="A116" s="9"/>
      <c r="B116" s="134" t="s">
        <v>534</v>
      </c>
      <c r="C116" s="135" t="s">
        <v>536</v>
      </c>
      <c r="D116" s="131" t="s">
        <v>537</v>
      </c>
      <c r="E116" s="11"/>
      <c r="F116" s="11"/>
      <c r="G116" s="161"/>
      <c r="H116" s="161"/>
      <c r="I116" s="12"/>
      <c r="J116" s="12"/>
      <c r="K116" s="11"/>
      <c r="L116" s="147"/>
      <c r="M116" s="6"/>
      <c r="N116" s="7"/>
      <c r="O116" s="10"/>
      <c r="P116" s="6"/>
      <c r="Q116" s="147"/>
      <c r="R116" s="6"/>
      <c r="S116" s="7"/>
      <c r="T116" s="17"/>
      <c r="U116" s="20"/>
    </row>
    <row r="117" spans="1:21" s="81" customFormat="1" ht="30" customHeight="1" x14ac:dyDescent="0.2">
      <c r="A117" s="231"/>
      <c r="B117" s="232"/>
      <c r="C117" s="233"/>
      <c r="D117" s="142"/>
      <c r="E117" s="234"/>
      <c r="F117" s="234"/>
      <c r="G117" s="161"/>
      <c r="H117" s="161"/>
      <c r="I117" s="144"/>
      <c r="J117" s="144"/>
      <c r="K117" s="234"/>
      <c r="L117" s="225"/>
      <c r="M117" s="235"/>
      <c r="N117" s="236"/>
      <c r="O117" s="227"/>
      <c r="P117" s="235"/>
      <c r="Q117" s="225"/>
      <c r="R117" s="235"/>
      <c r="S117" s="236"/>
      <c r="T117" s="237"/>
      <c r="U117" s="238"/>
    </row>
    <row r="118" spans="1:21" s="3" customFormat="1" ht="30" customHeight="1" x14ac:dyDescent="0.2">
      <c r="A118" s="9"/>
      <c r="B118" s="139" t="s">
        <v>346</v>
      </c>
      <c r="C118" s="140" t="s">
        <v>343</v>
      </c>
      <c r="D118" s="59"/>
      <c r="E118" s="11"/>
      <c r="F118" s="11"/>
      <c r="G118" s="161"/>
      <c r="H118" s="161"/>
      <c r="I118" s="12"/>
      <c r="J118" s="12"/>
      <c r="K118" s="11"/>
      <c r="L118" s="147"/>
      <c r="M118" s="6"/>
      <c r="N118" s="7"/>
      <c r="O118" s="10"/>
      <c r="P118" s="6"/>
      <c r="Q118" s="147"/>
      <c r="R118" s="6"/>
      <c r="S118" s="7"/>
      <c r="T118" s="17"/>
      <c r="U118" s="20"/>
    </row>
    <row r="119" spans="1:21" s="3" customFormat="1" ht="30" customHeight="1" x14ac:dyDescent="0.2">
      <c r="A119" s="9"/>
      <c r="B119" s="139"/>
      <c r="C119" s="140"/>
      <c r="D119" s="59"/>
      <c r="E119" s="11"/>
      <c r="F119" s="11"/>
      <c r="G119" s="161"/>
      <c r="H119" s="161"/>
      <c r="I119" s="12"/>
      <c r="J119" s="12"/>
      <c r="K119" s="11"/>
      <c r="L119" s="147"/>
      <c r="M119" s="6"/>
      <c r="N119" s="7"/>
      <c r="O119" s="10"/>
      <c r="P119" s="6"/>
      <c r="Q119" s="147"/>
      <c r="R119" s="6"/>
      <c r="S119" s="7"/>
      <c r="T119" s="17"/>
      <c r="U119" s="20"/>
    </row>
    <row r="120" spans="1:21" s="3" customFormat="1" ht="30" customHeight="1" x14ac:dyDescent="0.2">
      <c r="A120" s="9"/>
      <c r="B120" s="139"/>
      <c r="C120" s="131"/>
      <c r="D120" s="59"/>
      <c r="E120" s="11"/>
      <c r="F120" s="11"/>
      <c r="G120" s="161"/>
      <c r="H120" s="161"/>
      <c r="I120" s="12"/>
      <c r="J120" s="12"/>
      <c r="K120" s="11"/>
      <c r="L120" s="147"/>
      <c r="M120" s="6"/>
      <c r="N120" s="7"/>
      <c r="O120" s="10"/>
      <c r="P120" s="6"/>
      <c r="Q120" s="147"/>
      <c r="R120" s="6"/>
      <c r="S120" s="7"/>
      <c r="T120" s="17"/>
      <c r="U120" s="20"/>
    </row>
    <row r="121" spans="1:21" s="3" customFormat="1" ht="30" customHeight="1" x14ac:dyDescent="0.2">
      <c r="A121" s="9"/>
      <c r="B121" s="139" t="s">
        <v>345</v>
      </c>
      <c r="C121" s="140" t="s">
        <v>344</v>
      </c>
      <c r="D121" s="59"/>
      <c r="E121" s="11"/>
      <c r="F121" s="11"/>
      <c r="G121" s="161"/>
      <c r="H121" s="161"/>
      <c r="I121" s="12"/>
      <c r="J121" s="12"/>
      <c r="K121" s="11"/>
      <c r="L121" s="147"/>
      <c r="M121" s="6"/>
      <c r="N121" s="7"/>
      <c r="O121" s="10"/>
      <c r="P121" s="6"/>
      <c r="Q121" s="147"/>
      <c r="R121" s="6"/>
      <c r="S121" s="7"/>
      <c r="T121" s="17"/>
      <c r="U121" s="20"/>
    </row>
    <row r="122" spans="1:21" s="3" customFormat="1" ht="30" customHeight="1" x14ac:dyDescent="0.2">
      <c r="A122" s="9"/>
      <c r="B122" s="66"/>
      <c r="C122" s="59"/>
      <c r="D122" s="59"/>
      <c r="E122" s="11"/>
      <c r="F122" s="11"/>
      <c r="G122" s="161"/>
      <c r="H122" s="161"/>
      <c r="I122" s="12"/>
      <c r="J122" s="12"/>
      <c r="K122" s="11"/>
      <c r="L122" s="147"/>
      <c r="M122" s="6"/>
      <c r="N122" s="7"/>
      <c r="O122" s="10"/>
      <c r="P122" s="6"/>
      <c r="Q122" s="147"/>
      <c r="R122" s="6"/>
      <c r="S122" s="7"/>
      <c r="T122" s="17"/>
      <c r="U122" s="20"/>
    </row>
    <row r="123" spans="1:21" s="3" customFormat="1" ht="30" customHeight="1" x14ac:dyDescent="0.2">
      <c r="A123" s="9"/>
      <c r="B123" s="66"/>
      <c r="C123" s="59"/>
      <c r="D123" s="59"/>
      <c r="E123" s="11"/>
      <c r="F123" s="11"/>
      <c r="G123" s="161"/>
      <c r="H123" s="161"/>
      <c r="I123" s="12"/>
      <c r="J123" s="12"/>
      <c r="K123" s="11"/>
      <c r="L123" s="147"/>
      <c r="M123" s="6"/>
      <c r="N123" s="7"/>
      <c r="O123" s="10"/>
      <c r="P123" s="6"/>
      <c r="Q123" s="147"/>
      <c r="R123" s="6"/>
      <c r="S123" s="7"/>
      <c r="T123" s="17"/>
      <c r="U123" s="20"/>
    </row>
    <row r="124" spans="1:21" s="3" customFormat="1" ht="30" customHeight="1" x14ac:dyDescent="0.2">
      <c r="A124" s="9"/>
      <c r="B124" s="66"/>
      <c r="C124" s="59"/>
      <c r="D124" s="59"/>
      <c r="E124" s="11"/>
      <c r="F124" s="11"/>
      <c r="G124" s="161"/>
      <c r="H124" s="161"/>
      <c r="I124" s="12"/>
      <c r="J124" s="12"/>
      <c r="K124" s="11"/>
      <c r="L124" s="147"/>
      <c r="M124" s="6"/>
      <c r="N124" s="7"/>
      <c r="O124" s="10"/>
      <c r="P124" s="6"/>
      <c r="Q124" s="147"/>
      <c r="R124" s="6"/>
      <c r="S124" s="7"/>
      <c r="T124" s="17"/>
      <c r="U124" s="20"/>
    </row>
    <row r="125" spans="1:21" s="3" customFormat="1" ht="30" customHeight="1" x14ac:dyDescent="0.2">
      <c r="A125" s="9"/>
      <c r="B125" s="66"/>
      <c r="C125" s="59"/>
      <c r="D125" s="59"/>
      <c r="E125" s="11"/>
      <c r="F125" s="11"/>
      <c r="G125" s="161"/>
      <c r="H125" s="161"/>
      <c r="I125" s="12"/>
      <c r="J125" s="12"/>
      <c r="K125" s="11"/>
      <c r="L125" s="147"/>
      <c r="M125" s="6"/>
      <c r="N125" s="7"/>
      <c r="O125" s="10"/>
      <c r="P125" s="6"/>
      <c r="Q125" s="147"/>
      <c r="R125" s="6"/>
      <c r="S125" s="7"/>
      <c r="T125" s="17"/>
      <c r="U125" s="20"/>
    </row>
    <row r="126" spans="1:21" s="3" customFormat="1" ht="30" customHeight="1" x14ac:dyDescent="0.2">
      <c r="A126" s="9"/>
      <c r="B126" s="66"/>
      <c r="C126" s="59"/>
      <c r="D126" s="59"/>
      <c r="E126" s="11"/>
      <c r="F126" s="11"/>
      <c r="G126" s="161"/>
      <c r="H126" s="161"/>
      <c r="I126" s="12"/>
      <c r="J126" s="12"/>
      <c r="K126" s="11"/>
      <c r="L126" s="147"/>
      <c r="M126" s="6"/>
      <c r="N126" s="7"/>
      <c r="O126" s="10"/>
      <c r="P126" s="6"/>
      <c r="Q126" s="147"/>
      <c r="R126" s="6"/>
      <c r="S126" s="7"/>
      <c r="T126" s="17"/>
      <c r="U126" s="20"/>
    </row>
    <row r="127" spans="1:21" s="3" customFormat="1" ht="30" customHeight="1" x14ac:dyDescent="0.2">
      <c r="A127" s="9"/>
      <c r="B127" s="66"/>
      <c r="C127" s="59"/>
      <c r="D127" s="59"/>
      <c r="E127" s="11"/>
      <c r="F127" s="11"/>
      <c r="G127" s="162"/>
      <c r="H127" s="161"/>
      <c r="I127" s="12"/>
      <c r="J127" s="12"/>
      <c r="K127" s="11"/>
      <c r="L127" s="147"/>
      <c r="M127" s="6"/>
      <c r="N127" s="7"/>
      <c r="O127" s="10"/>
      <c r="P127" s="6"/>
      <c r="Q127" s="147"/>
      <c r="R127" s="6"/>
      <c r="S127" s="7"/>
      <c r="T127" s="17"/>
      <c r="U127" s="20"/>
    </row>
    <row r="128" spans="1:21" s="3" customFormat="1" ht="30" customHeight="1" x14ac:dyDescent="0.2">
      <c r="A128" s="9"/>
      <c r="B128" s="66"/>
      <c r="C128" s="59"/>
      <c r="D128" s="59"/>
      <c r="E128" s="11"/>
      <c r="F128" s="11"/>
      <c r="G128" s="162"/>
      <c r="H128" s="161"/>
      <c r="I128" s="12"/>
      <c r="J128" s="12"/>
      <c r="K128" s="11"/>
      <c r="L128" s="147"/>
      <c r="M128" s="6"/>
      <c r="N128" s="7"/>
      <c r="O128" s="10"/>
      <c r="P128" s="6"/>
      <c r="Q128" s="147"/>
      <c r="R128" s="6"/>
      <c r="S128" s="7"/>
      <c r="T128" s="17"/>
      <c r="U128" s="20"/>
    </row>
    <row r="129" spans="1:21" s="3" customFormat="1" ht="30" customHeight="1" x14ac:dyDescent="0.2">
      <c r="A129" s="9"/>
      <c r="B129" s="66"/>
      <c r="C129" s="59"/>
      <c r="D129" s="59"/>
      <c r="E129" s="11"/>
      <c r="F129" s="11"/>
      <c r="G129" s="162"/>
      <c r="H129" s="161"/>
      <c r="I129" s="12"/>
      <c r="J129" s="12"/>
      <c r="K129" s="11"/>
      <c r="L129" s="147"/>
      <c r="M129" s="6"/>
      <c r="N129" s="7"/>
      <c r="O129" s="10"/>
      <c r="P129" s="6"/>
      <c r="Q129" s="147"/>
      <c r="R129" s="6"/>
      <c r="S129" s="7"/>
      <c r="T129" s="17"/>
      <c r="U129" s="20"/>
    </row>
    <row r="130" spans="1:21" s="3" customFormat="1" ht="30" customHeight="1" x14ac:dyDescent="0.2">
      <c r="A130" s="9"/>
      <c r="B130" s="66"/>
      <c r="C130" s="59"/>
      <c r="D130" s="59"/>
      <c r="E130" s="11"/>
      <c r="F130" s="11"/>
      <c r="G130" s="162"/>
      <c r="H130" s="161"/>
      <c r="I130" s="12"/>
      <c r="J130" s="12"/>
      <c r="K130" s="11"/>
      <c r="L130" s="147"/>
      <c r="M130" s="6"/>
      <c r="N130" s="7"/>
      <c r="O130" s="10"/>
      <c r="P130" s="6"/>
      <c r="Q130" s="147"/>
      <c r="R130" s="6"/>
      <c r="S130" s="7"/>
      <c r="T130" s="17"/>
      <c r="U130" s="20"/>
    </row>
    <row r="131" spans="1:21" s="3" customFormat="1" ht="30" customHeight="1" x14ac:dyDescent="0.2">
      <c r="A131" s="9"/>
      <c r="B131" s="66"/>
      <c r="C131" s="59"/>
      <c r="D131" s="59"/>
      <c r="E131" s="11"/>
      <c r="F131" s="11"/>
      <c r="G131" s="162"/>
      <c r="H131" s="161"/>
      <c r="I131" s="12"/>
      <c r="J131" s="12"/>
      <c r="K131" s="11"/>
      <c r="L131" s="147"/>
      <c r="M131" s="6"/>
      <c r="N131" s="7"/>
      <c r="O131" s="10"/>
      <c r="P131" s="6"/>
      <c r="Q131" s="147"/>
      <c r="R131" s="6"/>
      <c r="S131" s="7"/>
      <c r="T131" s="17"/>
      <c r="U131" s="20"/>
    </row>
    <row r="132" spans="1:21" s="3" customFormat="1" ht="30" customHeight="1" x14ac:dyDescent="0.2">
      <c r="A132" s="9"/>
      <c r="B132" s="66"/>
      <c r="C132" s="59"/>
      <c r="D132" s="59"/>
      <c r="E132" s="11"/>
      <c r="F132" s="11"/>
      <c r="G132" s="12"/>
      <c r="H132" s="151"/>
      <c r="I132" s="12"/>
      <c r="J132" s="12"/>
      <c r="K132" s="11"/>
      <c r="L132" s="13"/>
      <c r="M132" s="6"/>
      <c r="N132" s="7"/>
      <c r="O132" s="10"/>
      <c r="P132" s="6"/>
      <c r="Q132" s="147"/>
      <c r="R132" s="6"/>
      <c r="S132" s="7"/>
      <c r="T132" s="17"/>
      <c r="U132" s="20"/>
    </row>
    <row r="133" spans="1:21" s="3" customFormat="1" ht="30" customHeight="1" x14ac:dyDescent="0.2">
      <c r="A133" s="9"/>
      <c r="B133" s="66"/>
      <c r="C133" s="59"/>
      <c r="D133" s="73"/>
      <c r="E133" s="16"/>
      <c r="F133" s="11"/>
      <c r="G133" s="12"/>
      <c r="H133" s="151"/>
      <c r="I133" s="12"/>
      <c r="J133" s="12"/>
      <c r="K133" s="12"/>
      <c r="L133" s="12"/>
      <c r="M133" s="12"/>
      <c r="N133" s="12"/>
      <c r="O133" s="18"/>
      <c r="P133" s="12"/>
      <c r="Q133" s="12"/>
      <c r="R133" s="11"/>
      <c r="S133" s="12"/>
      <c r="T133" s="18"/>
      <c r="U133" s="42"/>
    </row>
    <row r="134" spans="1:21" s="3" customFormat="1" ht="30" customHeight="1" x14ac:dyDescent="0.2">
      <c r="A134" s="9"/>
      <c r="B134" s="14"/>
      <c r="C134" s="59"/>
      <c r="D134" s="38"/>
      <c r="E134" s="16"/>
      <c r="F134" s="11"/>
      <c r="G134" s="12"/>
      <c r="H134" s="151"/>
      <c r="I134" s="12"/>
      <c r="J134" s="13"/>
      <c r="K134" s="10"/>
      <c r="L134" s="13"/>
      <c r="M134" s="16"/>
      <c r="N134" s="13"/>
      <c r="O134" s="10"/>
      <c r="P134" s="40"/>
      <c r="Q134" s="13"/>
      <c r="R134" s="16"/>
      <c r="S134" s="15"/>
      <c r="T134" s="10"/>
      <c r="U134" s="20"/>
    </row>
    <row r="135" spans="1:21" ht="30" customHeight="1" thickBot="1" x14ac:dyDescent="0.25">
      <c r="A135" s="43"/>
      <c r="B135" s="44"/>
      <c r="C135" s="74"/>
      <c r="D135" s="45"/>
      <c r="E135" s="46"/>
      <c r="F135" s="45"/>
      <c r="G135" s="47"/>
      <c r="H135" s="47"/>
      <c r="I135" s="47"/>
      <c r="J135" s="47"/>
      <c r="K135" s="48"/>
      <c r="L135" s="49"/>
      <c r="M135" s="50"/>
      <c r="N135" s="51"/>
      <c r="O135" s="48"/>
      <c r="P135" s="45"/>
      <c r="Q135" s="45"/>
      <c r="R135" s="45"/>
      <c r="S135" s="53"/>
      <c r="T135" s="52"/>
      <c r="U135" s="54"/>
    </row>
    <row r="138" spans="1:21" s="34" customFormat="1" ht="20.25" customHeight="1" x14ac:dyDescent="0.2">
      <c r="M138" s="35"/>
      <c r="O138" s="35"/>
      <c r="R138" s="35"/>
      <c r="U138" s="35"/>
    </row>
    <row r="139" spans="1:21" s="34" customFormat="1" ht="20.25" customHeight="1" x14ac:dyDescent="0.2">
      <c r="M139" s="35"/>
      <c r="O139" s="35"/>
      <c r="R139" s="35"/>
      <c r="U139" s="35"/>
    </row>
    <row r="140" spans="1:21" s="34" customFormat="1" ht="20.25" customHeight="1" x14ac:dyDescent="0.2">
      <c r="M140" s="35"/>
      <c r="O140" s="35"/>
      <c r="R140" s="35"/>
      <c r="U140" s="35"/>
    </row>
  </sheetData>
  <autoFilter ref="A5:G8" xr:uid="{00000000-0001-0000-0200-000000000000}"/>
  <mergeCells count="29">
    <mergeCell ref="H5:H8"/>
    <mergeCell ref="A5:A8"/>
    <mergeCell ref="B5:B8"/>
    <mergeCell ref="C5:C8"/>
    <mergeCell ref="E5:E8"/>
    <mergeCell ref="F5:F8"/>
    <mergeCell ref="D5:D8"/>
    <mergeCell ref="C1:O1"/>
    <mergeCell ref="T1:U1"/>
    <mergeCell ref="T2:U2"/>
    <mergeCell ref="T3:U3"/>
    <mergeCell ref="P2:S2"/>
    <mergeCell ref="C2:O3"/>
    <mergeCell ref="C4:O4"/>
    <mergeCell ref="K7:L7"/>
    <mergeCell ref="M7:O7"/>
    <mergeCell ref="T4:U4"/>
    <mergeCell ref="G5:G8"/>
    <mergeCell ref="I5:L5"/>
    <mergeCell ref="M5:O5"/>
    <mergeCell ref="R7:T7"/>
    <mergeCell ref="P5:T5"/>
    <mergeCell ref="U5:U8"/>
    <mergeCell ref="I6:L6"/>
    <mergeCell ref="M6:O6"/>
    <mergeCell ref="P6:Q6"/>
    <mergeCell ref="R6:T6"/>
    <mergeCell ref="I7:J7"/>
    <mergeCell ref="P7:Q7"/>
  </mergeCells>
  <phoneticPr fontId="19" type="noConversion"/>
  <dataValidations count="1">
    <dataValidation type="custom" allowBlank="1" showInputMessage="1" showErrorMessage="1" errorTitle="I WILL NOT REPEAT USE UPPERCASE" promptTitle="USE CAPITAL LETTERS ONLY" prompt="UPPER CASE LETTER" sqref="B9:B24 B26 B30:B33 B28 B35:B37 B56:B58 B65:B72 B85:B101 B112:B115 B103:B108" xr:uid="{A992486E-3A39-4C62-BD76-D645A8165BDF}">
      <formula1>EXACT(B9,UPPER(B9))</formula1>
    </dataValidation>
  </dataValidations>
  <hyperlinks>
    <hyperlink ref="C4:O4" r:id="rId1" display="OFFSHORE ANCHOR PATTERN AND DP DRAWINGS" xr:uid="{1FA191AF-00E9-4E29-B7D9-243BB1F5FFA8}"/>
  </hyperlinks>
  <printOptions horizontalCentered="1"/>
  <pageMargins left="0.25" right="0.25" top="0.5" bottom="0.5" header="0.25" footer="0.25"/>
  <pageSetup paperSize="8" scale="53" orientation="landscape" r:id="rId2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9272-F37E-42BF-8F91-A7F60441953F}">
  <dimension ref="A1:T76"/>
  <sheetViews>
    <sheetView view="pageBreakPreview" zoomScaleNormal="85" zoomScaleSheetLayoutView="100" workbookViewId="0">
      <pane ySplit="8" topLeftCell="A34" activePane="bottomLeft" state="frozen"/>
      <selection pane="bottomLeft" activeCell="D49" sqref="D49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3" width="21.83203125" style="1" customWidth="1"/>
    <col min="4" max="4" width="30.5" style="1" customWidth="1"/>
    <col min="5" max="6" width="11.1640625" style="1" customWidth="1"/>
    <col min="7" max="7" width="16.6640625" style="1" customWidth="1"/>
    <col min="8" max="8" width="14.33203125" style="1" customWidth="1"/>
    <col min="9" max="9" width="22.83203125" style="1" customWidth="1"/>
    <col min="10" max="10" width="13.33203125" style="2" customWidth="1"/>
    <col min="11" max="11" width="29.33203125" style="4" customWidth="1"/>
    <col min="12" max="12" width="30.83203125" style="2" customWidth="1"/>
    <col min="13" max="13" width="15.5" style="4" customWidth="1"/>
    <col min="14" max="14" width="9.6640625" style="19" customWidth="1"/>
    <col min="15" max="15" width="29.83203125" style="2" customWidth="1"/>
    <col min="16" max="16" width="15.5" style="2" customWidth="1"/>
    <col min="17" max="17" width="25.5" style="2" customWidth="1"/>
    <col min="18" max="18" width="12.6640625" style="4" customWidth="1"/>
    <col min="19" max="19" width="10.83203125" style="19" customWidth="1"/>
    <col min="20" max="20" width="15.16406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252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4"/>
      <c r="O1" s="25" t="s">
        <v>19</v>
      </c>
      <c r="P1" s="26"/>
      <c r="Q1" s="26"/>
      <c r="R1" s="27"/>
      <c r="S1" s="255"/>
      <c r="T1" s="256"/>
    </row>
    <row r="2" spans="1:20" s="5" customFormat="1" ht="24.95" customHeight="1" x14ac:dyDescent="0.2">
      <c r="A2" s="23"/>
      <c r="B2" s="24"/>
      <c r="C2" s="260" t="s">
        <v>348</v>
      </c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4"/>
      <c r="O2" s="259"/>
      <c r="P2" s="259"/>
      <c r="Q2" s="259"/>
      <c r="R2" s="259"/>
      <c r="S2" s="257"/>
      <c r="T2" s="258"/>
    </row>
    <row r="3" spans="1:20" s="5" customFormat="1" ht="24.95" customHeight="1" x14ac:dyDescent="0.2">
      <c r="A3" s="23"/>
      <c r="B3" s="24"/>
      <c r="C3" s="337" t="s">
        <v>75</v>
      </c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38"/>
      <c r="O3" s="28" t="s">
        <v>8</v>
      </c>
      <c r="P3" s="130">
        <v>0</v>
      </c>
      <c r="Q3" s="29"/>
      <c r="R3" s="30"/>
      <c r="S3" s="257"/>
      <c r="T3" s="258"/>
    </row>
    <row r="4" spans="1:20" s="5" customFormat="1" ht="24.95" customHeight="1" thickBot="1" x14ac:dyDescent="0.25">
      <c r="A4" s="23"/>
      <c r="B4" s="24"/>
      <c r="C4" s="321" t="s">
        <v>22</v>
      </c>
      <c r="D4" s="322"/>
      <c r="E4" s="323"/>
      <c r="F4" s="322"/>
      <c r="G4" s="322"/>
      <c r="H4" s="322"/>
      <c r="I4" s="322"/>
      <c r="J4" s="322"/>
      <c r="K4" s="322"/>
      <c r="L4" s="322"/>
      <c r="M4" s="322"/>
      <c r="N4" s="324"/>
      <c r="O4" s="31" t="s">
        <v>7</v>
      </c>
      <c r="P4" s="111">
        <f ca="1">TODAY()</f>
        <v>46273</v>
      </c>
      <c r="Q4" s="32"/>
      <c r="R4" s="33"/>
      <c r="S4" s="245"/>
      <c r="T4" s="246"/>
    </row>
    <row r="5" spans="1:20" s="8" customFormat="1" ht="15" customHeight="1" x14ac:dyDescent="0.2">
      <c r="A5" s="263" t="s">
        <v>0</v>
      </c>
      <c r="B5" s="325" t="s">
        <v>1</v>
      </c>
      <c r="C5" s="328" t="s">
        <v>24</v>
      </c>
      <c r="D5" s="328" t="s">
        <v>16</v>
      </c>
      <c r="E5" s="328" t="s">
        <v>11</v>
      </c>
      <c r="F5" s="328" t="s">
        <v>12</v>
      </c>
      <c r="G5" s="328" t="s">
        <v>10</v>
      </c>
      <c r="H5" s="333" t="s">
        <v>25</v>
      </c>
      <c r="I5" s="334"/>
      <c r="J5" s="334"/>
      <c r="K5" s="335"/>
      <c r="L5" s="247"/>
      <c r="M5" s="247"/>
      <c r="N5" s="247"/>
      <c r="O5" s="247"/>
      <c r="P5" s="247"/>
      <c r="Q5" s="247"/>
      <c r="R5" s="247"/>
      <c r="S5" s="247"/>
      <c r="T5" s="315" t="s">
        <v>2</v>
      </c>
    </row>
    <row r="6" spans="1:20" s="8" customFormat="1" ht="24.95" customHeight="1" x14ac:dyDescent="0.2">
      <c r="A6" s="264"/>
      <c r="B6" s="326"/>
      <c r="C6" s="329"/>
      <c r="D6" s="329"/>
      <c r="E6" s="331"/>
      <c r="F6" s="329"/>
      <c r="G6" s="329"/>
      <c r="H6" s="300" t="s">
        <v>4</v>
      </c>
      <c r="I6" s="301"/>
      <c r="J6" s="301"/>
      <c r="K6" s="302"/>
      <c r="L6" s="336"/>
      <c r="M6" s="336"/>
      <c r="N6" s="336"/>
      <c r="O6" s="287"/>
      <c r="P6" s="287"/>
      <c r="Q6" s="319"/>
      <c r="R6" s="319"/>
      <c r="S6" s="320"/>
      <c r="T6" s="316"/>
    </row>
    <row r="7" spans="1:20" s="8" customFormat="1" ht="24.95" customHeight="1" x14ac:dyDescent="0.2">
      <c r="A7" s="264"/>
      <c r="B7" s="326"/>
      <c r="C7" s="329"/>
      <c r="D7" s="329"/>
      <c r="E7" s="331"/>
      <c r="F7" s="329"/>
      <c r="G7" s="329"/>
      <c r="H7" s="300"/>
      <c r="I7" s="302"/>
      <c r="J7" s="301"/>
      <c r="K7" s="302"/>
      <c r="L7" s="318"/>
      <c r="M7" s="319"/>
      <c r="N7" s="320"/>
      <c r="O7" s="287"/>
      <c r="P7" s="287"/>
      <c r="Q7" s="287"/>
      <c r="R7" s="287"/>
      <c r="S7" s="287"/>
      <c r="T7" s="316"/>
    </row>
    <row r="8" spans="1:20" s="8" customFormat="1" ht="15" customHeight="1" thickBot="1" x14ac:dyDescent="0.25">
      <c r="A8" s="265"/>
      <c r="B8" s="327"/>
      <c r="C8" s="330"/>
      <c r="D8" s="330"/>
      <c r="E8" s="332"/>
      <c r="F8" s="330"/>
      <c r="G8" s="330"/>
      <c r="H8" s="95" t="s">
        <v>3</v>
      </c>
      <c r="I8" s="96" t="s">
        <v>6</v>
      </c>
      <c r="J8" s="109"/>
      <c r="K8" s="110"/>
      <c r="L8" s="95"/>
      <c r="M8" s="96"/>
      <c r="N8" s="89"/>
      <c r="O8" s="95"/>
      <c r="P8" s="96"/>
      <c r="Q8" s="91"/>
      <c r="R8" s="90"/>
      <c r="S8" s="89"/>
      <c r="T8" s="317"/>
    </row>
    <row r="9" spans="1:20" s="3" customFormat="1" ht="30" customHeight="1" x14ac:dyDescent="0.2">
      <c r="A9" s="71"/>
      <c r="B9" s="125" t="s">
        <v>59</v>
      </c>
      <c r="C9" s="84" t="s">
        <v>60</v>
      </c>
      <c r="D9" s="126"/>
      <c r="E9" s="126">
        <v>0</v>
      </c>
      <c r="F9" s="126"/>
      <c r="G9" s="127"/>
      <c r="H9" s="127">
        <v>45762</v>
      </c>
      <c r="I9" s="127" t="s">
        <v>61</v>
      </c>
      <c r="J9" s="69"/>
      <c r="K9" s="69"/>
      <c r="L9" s="69"/>
      <c r="M9" s="58"/>
      <c r="N9" s="36"/>
      <c r="O9" s="41"/>
      <c r="P9" s="41"/>
      <c r="Q9" s="41"/>
      <c r="R9" s="39"/>
      <c r="S9" s="36"/>
      <c r="T9" s="86"/>
    </row>
    <row r="10" spans="1:20" s="3" customFormat="1" ht="30" customHeight="1" thickBot="1" x14ac:dyDescent="0.25">
      <c r="A10" s="72"/>
      <c r="B10" s="87" t="s">
        <v>80</v>
      </c>
      <c r="C10" s="84" t="s">
        <v>76</v>
      </c>
      <c r="D10" s="88"/>
      <c r="E10" s="61">
        <v>0</v>
      </c>
      <c r="F10" s="59"/>
      <c r="G10" s="85"/>
      <c r="H10" s="63">
        <v>45890</v>
      </c>
      <c r="I10" s="127" t="s">
        <v>61</v>
      </c>
      <c r="J10" s="63"/>
      <c r="K10" s="63"/>
      <c r="L10" s="63"/>
      <c r="M10" s="57"/>
      <c r="N10" s="17"/>
      <c r="O10" s="12"/>
      <c r="P10" s="12"/>
      <c r="Q10" s="12"/>
      <c r="R10" s="37"/>
      <c r="S10" s="17"/>
      <c r="T10" s="20"/>
    </row>
    <row r="11" spans="1:20" s="3" customFormat="1" ht="30" customHeight="1" x14ac:dyDescent="0.2">
      <c r="A11" s="71"/>
      <c r="B11" s="87" t="s">
        <v>81</v>
      </c>
      <c r="C11" s="84" t="s">
        <v>77</v>
      </c>
      <c r="D11" s="88"/>
      <c r="E11" s="61">
        <v>0</v>
      </c>
      <c r="F11" s="59"/>
      <c r="G11" s="85"/>
      <c r="H11" s="63">
        <v>45890</v>
      </c>
      <c r="I11" s="127" t="s">
        <v>61</v>
      </c>
      <c r="J11" s="63"/>
      <c r="K11" s="63"/>
      <c r="L11" s="63"/>
      <c r="M11" s="57"/>
      <c r="N11" s="17"/>
      <c r="O11" s="12"/>
      <c r="P11" s="12"/>
      <c r="Q11" s="12"/>
      <c r="R11" s="37"/>
      <c r="S11" s="17"/>
      <c r="T11" s="20"/>
    </row>
    <row r="12" spans="1:20" s="3" customFormat="1" ht="30" customHeight="1" thickBot="1" x14ac:dyDescent="0.25">
      <c r="A12" s="72"/>
      <c r="B12" s="87" t="s">
        <v>82</v>
      </c>
      <c r="C12" s="84" t="s">
        <v>78</v>
      </c>
      <c r="D12" s="88"/>
      <c r="E12" s="61">
        <v>0</v>
      </c>
      <c r="F12" s="59"/>
      <c r="G12" s="85"/>
      <c r="H12" s="63">
        <v>45890</v>
      </c>
      <c r="I12" s="127" t="s">
        <v>61</v>
      </c>
      <c r="J12" s="63"/>
      <c r="K12" s="63"/>
      <c r="L12" s="63"/>
      <c r="M12" s="57"/>
      <c r="N12" s="17"/>
      <c r="O12" s="12"/>
      <c r="P12" s="12"/>
      <c r="Q12" s="12"/>
      <c r="R12" s="37"/>
      <c r="S12" s="17"/>
      <c r="T12" s="20"/>
    </row>
    <row r="13" spans="1:20" s="3" customFormat="1" ht="30" customHeight="1" x14ac:dyDescent="0.2">
      <c r="A13" s="71"/>
      <c r="B13" s="87" t="s">
        <v>83</v>
      </c>
      <c r="C13" s="84" t="s">
        <v>79</v>
      </c>
      <c r="D13" s="88"/>
      <c r="E13" s="61">
        <v>0</v>
      </c>
      <c r="F13" s="59"/>
      <c r="G13" s="85"/>
      <c r="H13" s="63">
        <v>45890</v>
      </c>
      <c r="I13" s="127" t="s">
        <v>61</v>
      </c>
      <c r="J13" s="63"/>
      <c r="K13" s="63"/>
      <c r="L13" s="63"/>
      <c r="M13" s="57"/>
      <c r="N13" s="17"/>
      <c r="O13" s="12"/>
      <c r="P13" s="12"/>
      <c r="Q13" s="12"/>
      <c r="R13" s="37"/>
      <c r="S13" s="17"/>
      <c r="T13" s="20"/>
    </row>
    <row r="14" spans="1:20" s="3" customFormat="1" ht="30" customHeight="1" thickBot="1" x14ac:dyDescent="0.25">
      <c r="A14" s="72"/>
      <c r="B14" s="87" t="s">
        <v>84</v>
      </c>
      <c r="C14" s="84" t="s">
        <v>86</v>
      </c>
      <c r="D14" s="88"/>
      <c r="E14" s="61">
        <v>5</v>
      </c>
      <c r="F14" s="59"/>
      <c r="G14" s="85"/>
      <c r="H14" s="63">
        <v>46008</v>
      </c>
      <c r="I14" s="63" t="s">
        <v>88</v>
      </c>
      <c r="J14" s="63"/>
      <c r="K14" s="63"/>
      <c r="L14" s="63"/>
      <c r="M14" s="57"/>
      <c r="N14" s="17"/>
      <c r="O14" s="12"/>
      <c r="P14" s="12"/>
      <c r="Q14" s="12"/>
      <c r="R14" s="37"/>
      <c r="S14" s="17"/>
      <c r="T14" s="20"/>
    </row>
    <row r="15" spans="1:20" s="3" customFormat="1" ht="30" customHeight="1" x14ac:dyDescent="0.2">
      <c r="A15" s="71"/>
      <c r="B15" s="87" t="s">
        <v>85</v>
      </c>
      <c r="C15" s="84" t="s">
        <v>87</v>
      </c>
      <c r="D15" s="88"/>
      <c r="E15" s="61">
        <v>3</v>
      </c>
      <c r="F15" s="59"/>
      <c r="G15" s="85"/>
      <c r="H15" s="63">
        <v>46008</v>
      </c>
      <c r="I15" s="63" t="s">
        <v>88</v>
      </c>
      <c r="J15" s="63"/>
      <c r="K15" s="63"/>
      <c r="L15" s="12"/>
      <c r="M15" s="57"/>
      <c r="N15" s="17"/>
      <c r="O15" s="12"/>
      <c r="P15" s="12"/>
      <c r="Q15" s="12"/>
      <c r="R15" s="37"/>
      <c r="S15" s="17"/>
      <c r="T15" s="20"/>
    </row>
    <row r="16" spans="1:20" s="3" customFormat="1" ht="30" customHeight="1" thickBot="1" x14ac:dyDescent="0.25">
      <c r="A16" s="72"/>
      <c r="B16" s="87" t="s">
        <v>89</v>
      </c>
      <c r="C16" s="84" t="s">
        <v>92</v>
      </c>
      <c r="D16" s="88"/>
      <c r="E16" s="61">
        <v>0</v>
      </c>
      <c r="F16" s="59"/>
      <c r="G16" s="85"/>
      <c r="H16" s="63">
        <v>46009</v>
      </c>
      <c r="I16" s="63" t="s">
        <v>88</v>
      </c>
      <c r="J16" s="63"/>
      <c r="K16" s="63"/>
      <c r="L16" s="63"/>
      <c r="M16" s="57"/>
      <c r="N16" s="17"/>
      <c r="O16" s="12"/>
      <c r="P16" s="12"/>
      <c r="Q16" s="12"/>
      <c r="R16" s="37"/>
      <c r="S16" s="17"/>
      <c r="T16" s="20"/>
    </row>
    <row r="17" spans="1:20" s="3" customFormat="1" ht="30" customHeight="1" x14ac:dyDescent="0.2">
      <c r="A17" s="71"/>
      <c r="B17" s="87" t="s">
        <v>90</v>
      </c>
      <c r="C17" s="84" t="s">
        <v>93</v>
      </c>
      <c r="D17" s="88"/>
      <c r="E17" s="61">
        <v>0</v>
      </c>
      <c r="F17" s="59"/>
      <c r="G17" s="85"/>
      <c r="H17" s="63">
        <v>46009</v>
      </c>
      <c r="I17" s="63" t="s">
        <v>88</v>
      </c>
      <c r="J17" s="12"/>
      <c r="K17" s="12"/>
      <c r="L17" s="12"/>
      <c r="M17" s="57"/>
      <c r="N17" s="17"/>
      <c r="O17" s="12"/>
      <c r="P17" s="12"/>
      <c r="Q17" s="12"/>
      <c r="R17" s="37"/>
      <c r="S17" s="17"/>
      <c r="T17" s="20"/>
    </row>
    <row r="18" spans="1:20" s="3" customFormat="1" ht="30" customHeight="1" thickBot="1" x14ac:dyDescent="0.25">
      <c r="A18" s="72"/>
      <c r="B18" s="87" t="s">
        <v>91</v>
      </c>
      <c r="C18" s="84" t="s">
        <v>94</v>
      </c>
      <c r="D18" s="88"/>
      <c r="E18" s="61">
        <v>0</v>
      </c>
      <c r="F18" s="59"/>
      <c r="G18" s="85"/>
      <c r="H18" s="63">
        <v>46009</v>
      </c>
      <c r="I18" s="63" t="s">
        <v>88</v>
      </c>
      <c r="J18" s="12"/>
      <c r="K18" s="12"/>
      <c r="L18" s="12"/>
      <c r="M18" s="57"/>
      <c r="N18" s="17"/>
      <c r="O18" s="12"/>
      <c r="P18" s="12"/>
      <c r="Q18" s="12"/>
      <c r="R18" s="37"/>
      <c r="S18" s="17"/>
      <c r="T18" s="20"/>
    </row>
    <row r="19" spans="1:20" s="3" customFormat="1" ht="30" customHeight="1" x14ac:dyDescent="0.2">
      <c r="A19" s="71"/>
      <c r="B19" s="87" t="s">
        <v>98</v>
      </c>
      <c r="C19" s="84" t="s">
        <v>97</v>
      </c>
      <c r="D19" s="88"/>
      <c r="E19" s="61">
        <v>0</v>
      </c>
      <c r="F19" s="59"/>
      <c r="G19" s="85"/>
      <c r="H19" s="63">
        <v>46056</v>
      </c>
      <c r="I19" s="63" t="s">
        <v>88</v>
      </c>
      <c r="J19" s="12"/>
      <c r="K19" s="12"/>
      <c r="L19" s="12"/>
      <c r="M19" s="57"/>
      <c r="N19" s="17"/>
      <c r="O19" s="12"/>
      <c r="P19" s="12"/>
      <c r="Q19" s="12"/>
      <c r="R19" s="37"/>
      <c r="S19" s="17"/>
      <c r="T19" s="20"/>
    </row>
    <row r="20" spans="1:20" s="3" customFormat="1" ht="30" customHeight="1" thickBot="1" x14ac:dyDescent="0.25">
      <c r="A20" s="72"/>
      <c r="B20" s="87" t="s">
        <v>99</v>
      </c>
      <c r="C20" s="84" t="s">
        <v>110</v>
      </c>
      <c r="D20" s="88"/>
      <c r="E20" s="62">
        <v>1</v>
      </c>
      <c r="F20" s="59"/>
      <c r="G20" s="85"/>
      <c r="H20" s="63">
        <v>46063</v>
      </c>
      <c r="I20" s="63" t="s">
        <v>88</v>
      </c>
      <c r="J20" s="12"/>
      <c r="K20" s="12"/>
      <c r="L20" s="12"/>
      <c r="M20" s="57"/>
      <c r="N20" s="17"/>
      <c r="O20" s="12"/>
      <c r="P20" s="12"/>
      <c r="Q20" s="12"/>
      <c r="R20" s="37"/>
      <c r="S20" s="17"/>
      <c r="T20" s="20"/>
    </row>
    <row r="21" spans="1:20" s="3" customFormat="1" ht="30" customHeight="1" x14ac:dyDescent="0.2">
      <c r="A21" s="71"/>
      <c r="B21" s="87" t="s">
        <v>100</v>
      </c>
      <c r="C21" s="84" t="s">
        <v>111</v>
      </c>
      <c r="D21" s="88"/>
      <c r="E21" s="61">
        <v>1</v>
      </c>
      <c r="F21" s="59"/>
      <c r="G21" s="85"/>
      <c r="H21" s="63">
        <v>46063</v>
      </c>
      <c r="I21" s="63" t="s">
        <v>88</v>
      </c>
      <c r="J21" s="63"/>
      <c r="K21" s="63"/>
      <c r="L21" s="63"/>
      <c r="M21" s="55"/>
      <c r="N21" s="17"/>
      <c r="O21" s="12"/>
      <c r="P21" s="12"/>
      <c r="Q21" s="12"/>
      <c r="R21" s="37"/>
      <c r="S21" s="17"/>
      <c r="T21" s="20"/>
    </row>
    <row r="22" spans="1:20" s="3" customFormat="1" ht="30" customHeight="1" thickBot="1" x14ac:dyDescent="0.25">
      <c r="A22" s="72"/>
      <c r="B22" s="87" t="s">
        <v>101</v>
      </c>
      <c r="C22" s="84" t="s">
        <v>112</v>
      </c>
      <c r="D22" s="88"/>
      <c r="E22" s="62">
        <v>1</v>
      </c>
      <c r="F22" s="59"/>
      <c r="G22" s="85"/>
      <c r="H22" s="63">
        <v>46063</v>
      </c>
      <c r="I22" s="63" t="s">
        <v>88</v>
      </c>
      <c r="J22" s="12"/>
      <c r="K22" s="12"/>
      <c r="L22" s="12"/>
      <c r="M22" s="68"/>
      <c r="N22" s="17"/>
      <c r="O22" s="12"/>
      <c r="P22" s="12"/>
      <c r="Q22" s="12"/>
      <c r="R22" s="37"/>
      <c r="S22" s="17"/>
      <c r="T22" s="20"/>
    </row>
    <row r="23" spans="1:20" s="3" customFormat="1" ht="30" customHeight="1" x14ac:dyDescent="0.2">
      <c r="A23" s="71"/>
      <c r="B23" s="87" t="s">
        <v>102</v>
      </c>
      <c r="C23" s="84" t="s">
        <v>113</v>
      </c>
      <c r="D23" s="88"/>
      <c r="E23" s="61">
        <v>1</v>
      </c>
      <c r="F23" s="59"/>
      <c r="G23" s="85"/>
      <c r="H23" s="63">
        <v>46063</v>
      </c>
      <c r="I23" s="63" t="s">
        <v>88</v>
      </c>
      <c r="J23" s="63"/>
      <c r="K23" s="63"/>
      <c r="L23" s="12"/>
      <c r="M23" s="68"/>
      <c r="N23" s="17"/>
      <c r="O23" s="63"/>
      <c r="P23" s="63"/>
      <c r="Q23" s="12"/>
      <c r="R23" s="37"/>
      <c r="S23" s="17"/>
      <c r="T23" s="20"/>
    </row>
    <row r="24" spans="1:20" s="3" customFormat="1" ht="30" customHeight="1" thickBot="1" x14ac:dyDescent="0.25">
      <c r="A24" s="72"/>
      <c r="B24" s="87" t="s">
        <v>103</v>
      </c>
      <c r="C24" s="84" t="s">
        <v>114</v>
      </c>
      <c r="D24" s="88"/>
      <c r="E24" s="61">
        <v>0</v>
      </c>
      <c r="F24" s="59"/>
      <c r="G24" s="85"/>
      <c r="H24" s="63">
        <v>46063</v>
      </c>
      <c r="I24" s="63" t="s">
        <v>88</v>
      </c>
      <c r="J24" s="12"/>
      <c r="K24" s="12"/>
      <c r="L24" s="12"/>
      <c r="M24" s="68"/>
      <c r="N24" s="17"/>
      <c r="O24" s="63"/>
      <c r="P24" s="12"/>
      <c r="Q24" s="12"/>
      <c r="R24" s="37"/>
      <c r="S24" s="17"/>
      <c r="T24" s="20"/>
    </row>
    <row r="25" spans="1:20" s="3" customFormat="1" ht="30" customHeight="1" x14ac:dyDescent="0.2">
      <c r="A25" s="71"/>
      <c r="B25" s="87" t="s">
        <v>104</v>
      </c>
      <c r="C25" s="84" t="s">
        <v>115</v>
      </c>
      <c r="D25" s="88"/>
      <c r="E25" s="61">
        <v>0</v>
      </c>
      <c r="F25" s="59"/>
      <c r="G25" s="85"/>
      <c r="H25" s="63">
        <v>46063</v>
      </c>
      <c r="I25" s="63" t="s">
        <v>88</v>
      </c>
      <c r="J25" s="12"/>
      <c r="K25" s="12"/>
      <c r="L25" s="12"/>
      <c r="M25" s="68"/>
      <c r="N25" s="17"/>
      <c r="O25" s="12"/>
      <c r="P25" s="12"/>
      <c r="Q25" s="12"/>
      <c r="R25" s="37"/>
      <c r="S25" s="17"/>
      <c r="T25" s="20"/>
    </row>
    <row r="26" spans="1:20" s="3" customFormat="1" ht="30" customHeight="1" thickBot="1" x14ac:dyDescent="0.25">
      <c r="A26" s="72"/>
      <c r="B26" s="87" t="s">
        <v>105</v>
      </c>
      <c r="C26" s="84" t="s">
        <v>116</v>
      </c>
      <c r="D26" s="88"/>
      <c r="E26" s="62">
        <v>0</v>
      </c>
      <c r="F26" s="59"/>
      <c r="G26" s="85"/>
      <c r="H26" s="63">
        <v>46063</v>
      </c>
      <c r="I26" s="63" t="s">
        <v>88</v>
      </c>
      <c r="J26" s="12"/>
      <c r="K26" s="12"/>
      <c r="L26" s="12"/>
      <c r="M26" s="16"/>
      <c r="N26" s="6"/>
      <c r="O26" s="12"/>
      <c r="P26" s="12"/>
      <c r="Q26" s="12"/>
      <c r="R26" s="37"/>
      <c r="S26" s="17"/>
      <c r="T26" s="20"/>
    </row>
    <row r="27" spans="1:20" s="3" customFormat="1" ht="30" customHeight="1" x14ac:dyDescent="0.2">
      <c r="A27" s="71"/>
      <c r="B27" s="87" t="s">
        <v>106</v>
      </c>
      <c r="C27" s="84" t="s">
        <v>117</v>
      </c>
      <c r="D27" s="88"/>
      <c r="E27" s="62">
        <v>0</v>
      </c>
      <c r="F27" s="59"/>
      <c r="G27" s="85"/>
      <c r="H27" s="63">
        <v>46063</v>
      </c>
      <c r="I27" s="63" t="s">
        <v>88</v>
      </c>
      <c r="J27" s="12"/>
      <c r="K27" s="12"/>
      <c r="L27" s="12"/>
      <c r="M27" s="16"/>
      <c r="N27" s="6"/>
      <c r="O27" s="12"/>
      <c r="P27" s="12"/>
      <c r="Q27" s="12"/>
      <c r="R27" s="37"/>
      <c r="S27" s="17"/>
      <c r="T27" s="20"/>
    </row>
    <row r="28" spans="1:20" s="3" customFormat="1" ht="30" customHeight="1" thickBot="1" x14ac:dyDescent="0.25">
      <c r="A28" s="72"/>
      <c r="B28" s="87" t="s">
        <v>107</v>
      </c>
      <c r="C28" s="84" t="s">
        <v>118</v>
      </c>
      <c r="D28" s="88"/>
      <c r="E28" s="61">
        <v>0</v>
      </c>
      <c r="F28" s="59"/>
      <c r="G28" s="85"/>
      <c r="H28" s="63">
        <v>46063</v>
      </c>
      <c r="I28" s="63" t="s">
        <v>88</v>
      </c>
      <c r="J28" s="12"/>
      <c r="K28" s="12"/>
      <c r="L28" s="12"/>
      <c r="M28" s="16"/>
      <c r="N28" s="6"/>
      <c r="O28" s="12"/>
      <c r="P28" s="12"/>
      <c r="Q28" s="12"/>
      <c r="R28" s="37"/>
      <c r="S28" s="17"/>
      <c r="T28" s="20"/>
    </row>
    <row r="29" spans="1:20" s="3" customFormat="1" ht="30" customHeight="1" x14ac:dyDescent="0.2">
      <c r="A29" s="71"/>
      <c r="B29" s="87" t="s">
        <v>108</v>
      </c>
      <c r="C29" s="84" t="s">
        <v>119</v>
      </c>
      <c r="D29" s="88"/>
      <c r="E29" s="61" t="s">
        <v>121</v>
      </c>
      <c r="F29" s="59"/>
      <c r="G29" s="85"/>
      <c r="H29" s="63">
        <v>46063</v>
      </c>
      <c r="I29" s="63" t="s">
        <v>88</v>
      </c>
      <c r="J29" s="12"/>
      <c r="K29" s="12"/>
      <c r="L29" s="12"/>
      <c r="M29" s="16"/>
      <c r="N29" s="6"/>
      <c r="O29" s="12"/>
      <c r="P29" s="12"/>
      <c r="Q29" s="12"/>
      <c r="R29" s="37"/>
      <c r="S29" s="17"/>
      <c r="T29" s="20"/>
    </row>
    <row r="30" spans="1:20" s="3" customFormat="1" ht="30" customHeight="1" thickBot="1" x14ac:dyDescent="0.25">
      <c r="A30" s="72"/>
      <c r="B30" s="87" t="s">
        <v>109</v>
      </c>
      <c r="C30" s="84" t="s">
        <v>120</v>
      </c>
      <c r="D30" s="88"/>
      <c r="E30" s="61" t="s">
        <v>121</v>
      </c>
      <c r="F30" s="59"/>
      <c r="G30" s="85"/>
      <c r="H30" s="63">
        <v>46063</v>
      </c>
      <c r="I30" s="63" t="s">
        <v>88</v>
      </c>
      <c r="J30" s="12"/>
      <c r="K30" s="12"/>
      <c r="L30" s="12"/>
      <c r="M30" s="16"/>
      <c r="N30" s="6"/>
      <c r="O30" s="12"/>
      <c r="P30" s="12"/>
      <c r="Q30" s="12"/>
      <c r="R30" s="37"/>
      <c r="S30" s="17"/>
      <c r="T30" s="20"/>
    </row>
    <row r="31" spans="1:20" s="3" customFormat="1" ht="30" customHeight="1" x14ac:dyDescent="0.2">
      <c r="A31" s="71"/>
      <c r="B31" s="87" t="s">
        <v>122</v>
      </c>
      <c r="C31" s="84" t="s">
        <v>123</v>
      </c>
      <c r="D31" s="88"/>
      <c r="E31" s="61">
        <v>0</v>
      </c>
      <c r="F31" s="59"/>
      <c r="G31" s="85"/>
      <c r="H31" s="63">
        <v>46065</v>
      </c>
      <c r="I31" s="63" t="s">
        <v>88</v>
      </c>
      <c r="J31" s="12"/>
      <c r="K31" s="12"/>
      <c r="L31" s="12"/>
      <c r="M31" s="16"/>
      <c r="N31" s="6"/>
      <c r="O31" s="12"/>
      <c r="P31" s="12"/>
      <c r="Q31" s="12"/>
      <c r="R31" s="37"/>
      <c r="S31" s="17"/>
      <c r="T31" s="20"/>
    </row>
    <row r="32" spans="1:20" s="3" customFormat="1" ht="30" customHeight="1" thickBot="1" x14ac:dyDescent="0.25">
      <c r="A32" s="72"/>
      <c r="B32" s="87" t="s">
        <v>124</v>
      </c>
      <c r="C32" s="84" t="s">
        <v>128</v>
      </c>
      <c r="D32" s="88"/>
      <c r="E32" s="61">
        <v>1</v>
      </c>
      <c r="F32" s="59"/>
      <c r="G32" s="85"/>
      <c r="H32" s="63">
        <v>46106</v>
      </c>
      <c r="I32" s="63" t="s">
        <v>88</v>
      </c>
      <c r="J32" s="12"/>
      <c r="K32" s="12"/>
      <c r="L32" s="12"/>
      <c r="M32" s="16"/>
      <c r="N32" s="6"/>
      <c r="O32" s="12"/>
      <c r="P32" s="12"/>
      <c r="Q32" s="12"/>
      <c r="R32" s="37"/>
      <c r="S32" s="17"/>
      <c r="T32" s="20"/>
    </row>
    <row r="33" spans="1:20" s="3" customFormat="1" ht="30" customHeight="1" x14ac:dyDescent="0.2">
      <c r="A33" s="71"/>
      <c r="B33" s="87" t="s">
        <v>125</v>
      </c>
      <c r="C33" s="84" t="s">
        <v>123</v>
      </c>
      <c r="D33" s="88"/>
      <c r="E33" s="61">
        <v>2</v>
      </c>
      <c r="F33" s="59"/>
      <c r="G33" s="85"/>
      <c r="H33" s="63">
        <v>46106</v>
      </c>
      <c r="I33" s="63" t="s">
        <v>88</v>
      </c>
      <c r="J33" s="12"/>
      <c r="K33" s="63"/>
      <c r="L33" s="63"/>
      <c r="M33" s="16"/>
      <c r="N33" s="17"/>
      <c r="O33" s="12"/>
      <c r="P33" s="12"/>
      <c r="Q33" s="12"/>
      <c r="R33" s="37"/>
      <c r="S33" s="17"/>
      <c r="T33" s="64"/>
    </row>
    <row r="34" spans="1:20" s="3" customFormat="1" ht="30" customHeight="1" thickBot="1" x14ac:dyDescent="0.25">
      <c r="A34" s="72"/>
      <c r="B34" s="87" t="s">
        <v>126</v>
      </c>
      <c r="C34" s="84" t="s">
        <v>129</v>
      </c>
      <c r="D34" s="88"/>
      <c r="E34" s="61">
        <v>1</v>
      </c>
      <c r="F34" s="59"/>
      <c r="G34" s="85"/>
      <c r="H34" s="63">
        <v>46106</v>
      </c>
      <c r="I34" s="63" t="s">
        <v>88</v>
      </c>
      <c r="J34" s="63"/>
      <c r="K34" s="63"/>
      <c r="L34" s="12"/>
      <c r="M34" s="16"/>
      <c r="N34" s="6"/>
      <c r="O34" s="12"/>
      <c r="P34" s="12"/>
      <c r="Q34" s="12"/>
      <c r="R34" s="65"/>
      <c r="S34" s="17"/>
      <c r="T34" s="20"/>
    </row>
    <row r="35" spans="1:20" s="3" customFormat="1" ht="30" customHeight="1" x14ac:dyDescent="0.2">
      <c r="A35" s="71"/>
      <c r="B35" s="87" t="s">
        <v>127</v>
      </c>
      <c r="C35" s="84" t="s">
        <v>130</v>
      </c>
      <c r="D35" s="88"/>
      <c r="E35" s="61">
        <v>0</v>
      </c>
      <c r="F35" s="59"/>
      <c r="G35" s="85"/>
      <c r="H35" s="63">
        <v>46106</v>
      </c>
      <c r="I35" s="63" t="s">
        <v>88</v>
      </c>
      <c r="J35" s="63"/>
      <c r="K35" s="63"/>
      <c r="L35" s="12"/>
      <c r="M35" s="16"/>
      <c r="N35" s="6"/>
      <c r="O35" s="12"/>
      <c r="P35" s="12"/>
      <c r="Q35" s="12"/>
      <c r="R35" s="37"/>
      <c r="S35" s="17"/>
      <c r="T35" s="20"/>
    </row>
    <row r="36" spans="1:20" s="3" customFormat="1" ht="30" customHeight="1" thickBot="1" x14ac:dyDescent="0.25">
      <c r="A36" s="72"/>
      <c r="B36" s="87" t="s">
        <v>132</v>
      </c>
      <c r="C36" s="84" t="s">
        <v>76</v>
      </c>
      <c r="D36" s="88"/>
      <c r="E36" s="61">
        <v>1</v>
      </c>
      <c r="F36" s="59"/>
      <c r="G36" s="85"/>
      <c r="H36" s="63">
        <v>46123</v>
      </c>
      <c r="I36" s="63" t="s">
        <v>61</v>
      </c>
      <c r="J36" s="63"/>
      <c r="K36" s="63"/>
      <c r="L36" s="12"/>
      <c r="M36" s="16"/>
      <c r="N36" s="6"/>
      <c r="O36" s="12"/>
      <c r="P36" s="12"/>
      <c r="Q36" s="12"/>
      <c r="R36" s="37"/>
      <c r="S36" s="17"/>
      <c r="T36" s="20"/>
    </row>
    <row r="37" spans="1:20" s="3" customFormat="1" ht="30" customHeight="1" x14ac:dyDescent="0.2">
      <c r="A37" s="71"/>
      <c r="B37" s="87" t="s">
        <v>136</v>
      </c>
      <c r="C37" s="84" t="s">
        <v>118</v>
      </c>
      <c r="D37" s="88"/>
      <c r="E37" s="70">
        <v>1</v>
      </c>
      <c r="F37" s="59"/>
      <c r="G37" s="85"/>
      <c r="H37" s="63">
        <v>46156</v>
      </c>
      <c r="I37" s="12" t="s">
        <v>61</v>
      </c>
      <c r="J37" s="12"/>
      <c r="K37" s="13"/>
      <c r="L37" s="12"/>
      <c r="M37" s="57"/>
      <c r="N37" s="17"/>
      <c r="O37" s="12"/>
      <c r="P37" s="13"/>
      <c r="Q37" s="12"/>
      <c r="R37" s="55"/>
      <c r="S37" s="17"/>
      <c r="T37" s="56"/>
    </row>
    <row r="38" spans="1:20" s="3" customFormat="1" ht="30" customHeight="1" thickBot="1" x14ac:dyDescent="0.25">
      <c r="A38" s="72"/>
      <c r="B38" s="87" t="s">
        <v>137</v>
      </c>
      <c r="C38" s="84" t="s">
        <v>138</v>
      </c>
      <c r="D38" s="88"/>
      <c r="E38" s="59">
        <v>0</v>
      </c>
      <c r="F38" s="59"/>
      <c r="G38" s="85"/>
      <c r="H38" s="63">
        <v>46156</v>
      </c>
      <c r="I38" s="12" t="s">
        <v>61</v>
      </c>
      <c r="J38" s="11"/>
      <c r="K38" s="13"/>
      <c r="L38" s="6"/>
      <c r="M38" s="7"/>
      <c r="N38" s="17"/>
      <c r="O38" s="6"/>
      <c r="P38" s="6"/>
      <c r="Q38" s="6"/>
      <c r="R38" s="7"/>
      <c r="S38" s="17"/>
      <c r="T38" s="20"/>
    </row>
    <row r="39" spans="1:20" s="3" customFormat="1" ht="30" customHeight="1" x14ac:dyDescent="0.2">
      <c r="A39" s="71"/>
      <c r="B39" s="87" t="s">
        <v>139</v>
      </c>
      <c r="C39" s="84" t="s">
        <v>141</v>
      </c>
      <c r="D39" s="88"/>
      <c r="E39" s="59">
        <v>0</v>
      </c>
      <c r="F39" s="59"/>
      <c r="G39" s="85"/>
      <c r="H39" s="63">
        <v>46163</v>
      </c>
      <c r="I39" s="12" t="s">
        <v>61</v>
      </c>
      <c r="J39" s="11"/>
      <c r="K39" s="13"/>
      <c r="L39" s="6"/>
      <c r="M39" s="7"/>
      <c r="N39" s="17"/>
      <c r="O39" s="6"/>
      <c r="P39" s="6"/>
      <c r="Q39" s="6"/>
      <c r="R39" s="7"/>
      <c r="S39" s="17"/>
      <c r="T39" s="20"/>
    </row>
    <row r="40" spans="1:20" s="3" customFormat="1" ht="30" customHeight="1" thickBot="1" x14ac:dyDescent="0.25">
      <c r="A40" s="72"/>
      <c r="B40" s="87" t="s">
        <v>140</v>
      </c>
      <c r="C40" s="84" t="s">
        <v>142</v>
      </c>
      <c r="D40" s="88"/>
      <c r="E40" s="59">
        <v>0</v>
      </c>
      <c r="F40" s="59"/>
      <c r="G40" s="85"/>
      <c r="H40" s="63">
        <v>46163</v>
      </c>
      <c r="I40" s="12" t="s">
        <v>61</v>
      </c>
      <c r="J40" s="11"/>
      <c r="K40" s="13"/>
      <c r="L40" s="6"/>
      <c r="M40" s="7"/>
      <c r="N40" s="17"/>
      <c r="O40" s="6"/>
      <c r="P40" s="6"/>
      <c r="Q40" s="6"/>
      <c r="R40" s="7"/>
      <c r="S40" s="17"/>
      <c r="T40" s="20"/>
    </row>
    <row r="41" spans="1:20" s="3" customFormat="1" ht="30" customHeight="1" x14ac:dyDescent="0.2">
      <c r="A41" s="71"/>
      <c r="B41" s="87" t="s">
        <v>481</v>
      </c>
      <c r="C41" s="84" t="s">
        <v>483</v>
      </c>
      <c r="D41" s="88"/>
      <c r="E41" s="59">
        <v>0</v>
      </c>
      <c r="F41" s="59"/>
      <c r="G41" s="85"/>
      <c r="H41" s="63">
        <v>46185</v>
      </c>
      <c r="I41" s="12" t="s">
        <v>88</v>
      </c>
      <c r="J41" s="11"/>
      <c r="K41" s="13"/>
      <c r="L41" s="6"/>
      <c r="M41" s="7"/>
      <c r="N41" s="17"/>
      <c r="O41" s="6"/>
      <c r="P41" s="6"/>
      <c r="Q41" s="6"/>
      <c r="R41" s="7"/>
      <c r="S41" s="17"/>
      <c r="T41" s="20"/>
    </row>
    <row r="42" spans="1:20" s="3" customFormat="1" ht="30" customHeight="1" thickBot="1" x14ac:dyDescent="0.25">
      <c r="A42" s="72"/>
      <c r="B42" s="87" t="s">
        <v>482</v>
      </c>
      <c r="C42" s="84" t="s">
        <v>484</v>
      </c>
      <c r="D42" s="88"/>
      <c r="E42" s="59">
        <v>0</v>
      </c>
      <c r="F42" s="59"/>
      <c r="G42" s="85"/>
      <c r="H42" s="63">
        <v>46185</v>
      </c>
      <c r="I42" s="12" t="s">
        <v>88</v>
      </c>
      <c r="J42" s="11"/>
      <c r="K42" s="13"/>
      <c r="L42" s="6"/>
      <c r="M42" s="7"/>
      <c r="N42" s="17"/>
      <c r="O42" s="6"/>
      <c r="P42" s="6"/>
      <c r="Q42" s="6"/>
      <c r="R42" s="7"/>
      <c r="S42" s="17"/>
      <c r="T42" s="20"/>
    </row>
    <row r="43" spans="1:20" s="3" customFormat="1" ht="30" customHeight="1" x14ac:dyDescent="0.2">
      <c r="A43" s="71"/>
      <c r="B43" s="87" t="s">
        <v>497</v>
      </c>
      <c r="C43" s="84" t="s">
        <v>186</v>
      </c>
      <c r="D43" s="88"/>
      <c r="E43" s="59">
        <v>1</v>
      </c>
      <c r="F43" s="59"/>
      <c r="G43" s="85"/>
      <c r="H43" s="63">
        <v>46210</v>
      </c>
      <c r="I43" s="12" t="s">
        <v>61</v>
      </c>
      <c r="J43" s="11"/>
      <c r="K43" s="13"/>
      <c r="L43" s="6"/>
      <c r="M43" s="7"/>
      <c r="N43" s="17"/>
      <c r="O43" s="6"/>
      <c r="P43" s="6"/>
      <c r="Q43" s="6"/>
      <c r="R43" s="7"/>
      <c r="S43" s="17"/>
      <c r="T43" s="20"/>
    </row>
    <row r="44" spans="1:20" s="3" customFormat="1" ht="30" customHeight="1" x14ac:dyDescent="0.2">
      <c r="A44" s="72"/>
      <c r="B44" s="66" t="s">
        <v>502</v>
      </c>
      <c r="C44" s="84" t="s">
        <v>168</v>
      </c>
      <c r="D44" s="59"/>
      <c r="E44" s="59">
        <v>1</v>
      </c>
      <c r="F44" s="59"/>
      <c r="G44" s="85"/>
      <c r="H44" s="63">
        <v>46214</v>
      </c>
      <c r="I44" s="12" t="s">
        <v>61</v>
      </c>
      <c r="J44" s="11"/>
      <c r="K44" s="13"/>
      <c r="L44" s="6"/>
      <c r="M44" s="7"/>
      <c r="N44" s="17"/>
      <c r="O44" s="6"/>
      <c r="P44" s="6"/>
      <c r="Q44" s="6"/>
      <c r="R44" s="7"/>
      <c r="S44" s="17"/>
      <c r="T44" s="20"/>
    </row>
    <row r="45" spans="1:20" s="3" customFormat="1" ht="30" customHeight="1" x14ac:dyDescent="0.2">
      <c r="A45" s="72"/>
      <c r="B45" s="66" t="s">
        <v>503</v>
      </c>
      <c r="C45" s="84" t="s">
        <v>162</v>
      </c>
      <c r="D45" s="59"/>
      <c r="E45" s="59">
        <v>1</v>
      </c>
      <c r="F45" s="59"/>
      <c r="G45" s="85"/>
      <c r="H45" s="63">
        <v>46223</v>
      </c>
      <c r="I45" s="12" t="s">
        <v>61</v>
      </c>
      <c r="J45" s="11"/>
      <c r="K45" s="13"/>
      <c r="L45" s="6"/>
      <c r="M45" s="7"/>
      <c r="N45" s="17"/>
      <c r="O45" s="6"/>
      <c r="P45" s="6"/>
      <c r="Q45" s="6"/>
      <c r="R45" s="7"/>
      <c r="S45" s="17"/>
      <c r="T45" s="20"/>
    </row>
    <row r="46" spans="1:20" s="3" customFormat="1" ht="30" customHeight="1" x14ac:dyDescent="0.2">
      <c r="A46" s="72"/>
      <c r="B46" s="66" t="s">
        <v>526</v>
      </c>
      <c r="C46" s="84" t="s">
        <v>248</v>
      </c>
      <c r="D46" s="59"/>
      <c r="E46" s="59">
        <v>1</v>
      </c>
      <c r="F46" s="59"/>
      <c r="G46" s="85"/>
      <c r="H46" s="63">
        <v>46253</v>
      </c>
      <c r="I46" s="12" t="s">
        <v>61</v>
      </c>
      <c r="J46" s="11"/>
      <c r="K46" s="13"/>
      <c r="L46" s="6"/>
      <c r="M46" s="7"/>
      <c r="N46" s="17"/>
      <c r="O46" s="6"/>
      <c r="P46" s="6"/>
      <c r="Q46" s="6"/>
      <c r="R46" s="7"/>
      <c r="S46" s="17"/>
      <c r="T46" s="20"/>
    </row>
    <row r="47" spans="1:20" s="3" customFormat="1" ht="30" customHeight="1" x14ac:dyDescent="0.2">
      <c r="A47" s="72"/>
      <c r="B47" s="66"/>
      <c r="C47" s="84"/>
      <c r="D47" s="59"/>
      <c r="E47" s="59"/>
      <c r="F47" s="59"/>
      <c r="G47" s="85"/>
      <c r="H47" s="63"/>
      <c r="I47" s="12"/>
      <c r="J47" s="11"/>
      <c r="K47" s="13"/>
      <c r="L47" s="6"/>
      <c r="M47" s="7"/>
      <c r="N47" s="17"/>
      <c r="O47" s="6"/>
      <c r="P47" s="6"/>
      <c r="Q47" s="6"/>
      <c r="R47" s="7"/>
      <c r="S47" s="17"/>
      <c r="T47" s="20"/>
    </row>
    <row r="48" spans="1:20" s="3" customFormat="1" ht="30" customHeight="1" x14ac:dyDescent="0.2">
      <c r="A48" s="72"/>
      <c r="B48" s="66"/>
      <c r="C48" s="84"/>
      <c r="D48" s="59"/>
      <c r="E48" s="59"/>
      <c r="F48" s="59"/>
      <c r="G48" s="85"/>
      <c r="H48" s="63"/>
      <c r="I48" s="12"/>
      <c r="J48" s="11"/>
      <c r="K48" s="13"/>
      <c r="L48" s="6"/>
      <c r="M48" s="7"/>
      <c r="N48" s="17"/>
      <c r="O48" s="6"/>
      <c r="P48" s="6"/>
      <c r="Q48" s="6"/>
      <c r="R48" s="7"/>
      <c r="S48" s="17"/>
      <c r="T48" s="20"/>
    </row>
    <row r="49" spans="1:20" s="3" customFormat="1" ht="30" customHeight="1" x14ac:dyDescent="0.2">
      <c r="A49" s="72"/>
      <c r="B49" s="66"/>
      <c r="C49" s="84"/>
      <c r="D49" s="59"/>
      <c r="E49" s="59"/>
      <c r="F49" s="59"/>
      <c r="G49" s="85"/>
      <c r="H49" s="63"/>
      <c r="I49" s="12"/>
      <c r="J49" s="11"/>
      <c r="K49" s="13"/>
      <c r="L49" s="6"/>
      <c r="M49" s="7"/>
      <c r="N49" s="17"/>
      <c r="O49" s="6"/>
      <c r="P49" s="6"/>
      <c r="Q49" s="6"/>
      <c r="R49" s="7"/>
      <c r="S49" s="17"/>
      <c r="T49" s="20"/>
    </row>
    <row r="50" spans="1:20" s="3" customFormat="1" ht="30" customHeight="1" x14ac:dyDescent="0.2">
      <c r="A50" s="72"/>
      <c r="B50" s="66"/>
      <c r="C50" s="84"/>
      <c r="D50" s="59"/>
      <c r="E50" s="59"/>
      <c r="F50" s="59"/>
      <c r="G50" s="85"/>
      <c r="H50" s="63"/>
      <c r="I50" s="12"/>
      <c r="J50" s="11"/>
      <c r="K50" s="13"/>
      <c r="L50" s="6"/>
      <c r="M50" s="7"/>
      <c r="N50" s="17"/>
      <c r="O50" s="6"/>
      <c r="P50" s="6"/>
      <c r="Q50" s="6"/>
      <c r="R50" s="7"/>
      <c r="S50" s="17"/>
      <c r="T50" s="20"/>
    </row>
    <row r="51" spans="1:20" s="3" customFormat="1" ht="30" customHeight="1" x14ac:dyDescent="0.2">
      <c r="A51" s="72"/>
      <c r="B51" s="75"/>
      <c r="C51" s="84"/>
      <c r="D51" s="59"/>
      <c r="E51" s="59"/>
      <c r="F51" s="59"/>
      <c r="G51" s="85"/>
      <c r="H51" s="63"/>
      <c r="I51" s="12"/>
      <c r="J51" s="11"/>
      <c r="K51" s="13"/>
      <c r="L51" s="6"/>
      <c r="M51" s="7"/>
      <c r="N51" s="17"/>
      <c r="O51" s="6"/>
      <c r="P51" s="6"/>
      <c r="Q51" s="6"/>
      <c r="R51" s="7"/>
      <c r="S51" s="17"/>
      <c r="T51" s="20"/>
    </row>
    <row r="52" spans="1:20" s="3" customFormat="1" ht="30" customHeight="1" x14ac:dyDescent="0.2">
      <c r="A52" s="72"/>
      <c r="B52" s="66"/>
      <c r="C52" s="84"/>
      <c r="D52" s="59"/>
      <c r="E52" s="59"/>
      <c r="F52" s="59"/>
      <c r="G52" s="85"/>
      <c r="H52" s="63"/>
      <c r="I52" s="12"/>
      <c r="J52" s="11"/>
      <c r="K52" s="13"/>
      <c r="L52" s="6"/>
      <c r="M52" s="7"/>
      <c r="N52" s="17"/>
      <c r="O52" s="6"/>
      <c r="P52" s="6"/>
      <c r="Q52" s="6"/>
      <c r="R52" s="7"/>
      <c r="S52" s="17"/>
      <c r="T52" s="20"/>
    </row>
    <row r="53" spans="1:20" s="3" customFormat="1" ht="30" customHeight="1" x14ac:dyDescent="0.2">
      <c r="A53" s="72"/>
      <c r="B53" s="66"/>
      <c r="C53" s="59"/>
      <c r="D53" s="59"/>
      <c r="E53" s="59"/>
      <c r="F53" s="59"/>
      <c r="G53" s="85"/>
      <c r="H53" s="63"/>
      <c r="I53" s="12"/>
      <c r="J53" s="11"/>
      <c r="K53" s="13"/>
      <c r="L53" s="6"/>
      <c r="M53" s="7"/>
      <c r="N53" s="17"/>
      <c r="O53" s="6"/>
      <c r="P53" s="6"/>
      <c r="Q53" s="6"/>
      <c r="R53" s="7"/>
      <c r="S53" s="17"/>
      <c r="T53" s="20"/>
    </row>
    <row r="54" spans="1:20" s="3" customFormat="1" ht="30" customHeight="1" x14ac:dyDescent="0.2">
      <c r="A54" s="72"/>
      <c r="B54" s="66"/>
      <c r="C54" s="59"/>
      <c r="D54" s="59"/>
      <c r="E54" s="59"/>
      <c r="F54" s="59"/>
      <c r="G54" s="85"/>
      <c r="H54" s="63"/>
      <c r="I54" s="12"/>
      <c r="J54" s="11"/>
      <c r="K54" s="13"/>
      <c r="L54" s="6"/>
      <c r="M54" s="7"/>
      <c r="N54" s="17"/>
      <c r="O54" s="6"/>
      <c r="P54" s="6"/>
      <c r="Q54" s="6"/>
      <c r="R54" s="7"/>
      <c r="S54" s="17"/>
      <c r="T54" s="20"/>
    </row>
    <row r="55" spans="1:20" s="3" customFormat="1" ht="30" customHeight="1" x14ac:dyDescent="0.2">
      <c r="A55" s="72"/>
      <c r="B55" s="66"/>
      <c r="C55" s="59"/>
      <c r="D55" s="59"/>
      <c r="E55" s="59"/>
      <c r="F55" s="59"/>
      <c r="G55" s="85"/>
      <c r="H55" s="63"/>
      <c r="I55" s="12"/>
      <c r="J55" s="11"/>
      <c r="K55" s="13"/>
      <c r="L55" s="6"/>
      <c r="M55" s="7"/>
      <c r="N55" s="17"/>
      <c r="O55" s="6"/>
      <c r="P55" s="6"/>
      <c r="Q55" s="6"/>
      <c r="R55" s="7"/>
      <c r="S55" s="17"/>
      <c r="T55" s="20"/>
    </row>
    <row r="56" spans="1:20" s="3" customFormat="1" ht="30" customHeight="1" x14ac:dyDescent="0.2">
      <c r="A56" s="72"/>
      <c r="B56" s="66"/>
      <c r="C56" s="59"/>
      <c r="D56" s="59"/>
      <c r="E56" s="59"/>
      <c r="F56" s="59"/>
      <c r="G56" s="85"/>
      <c r="H56" s="63"/>
      <c r="I56" s="12"/>
      <c r="J56" s="11"/>
      <c r="K56" s="13"/>
      <c r="L56" s="6"/>
      <c r="M56" s="7"/>
      <c r="N56" s="17"/>
      <c r="O56" s="6"/>
      <c r="P56" s="6"/>
      <c r="Q56" s="6"/>
      <c r="R56" s="7"/>
      <c r="S56" s="17"/>
      <c r="T56" s="20"/>
    </row>
    <row r="57" spans="1:20" s="3" customFormat="1" ht="30" customHeight="1" x14ac:dyDescent="0.2">
      <c r="A57" s="72"/>
      <c r="B57" s="66"/>
      <c r="C57" s="59"/>
      <c r="D57" s="59"/>
      <c r="E57" s="59"/>
      <c r="F57" s="59"/>
      <c r="G57" s="63"/>
      <c r="H57" s="63"/>
      <c r="I57" s="12"/>
      <c r="J57" s="11"/>
      <c r="K57" s="13"/>
      <c r="L57" s="6"/>
      <c r="M57" s="7"/>
      <c r="N57" s="17"/>
      <c r="O57" s="6"/>
      <c r="P57" s="6"/>
      <c r="Q57" s="6"/>
      <c r="R57" s="7"/>
      <c r="S57" s="17"/>
      <c r="T57" s="20"/>
    </row>
    <row r="58" spans="1:20" s="3" customFormat="1" ht="30" customHeight="1" x14ac:dyDescent="0.2">
      <c r="A58" s="72"/>
      <c r="B58" s="66"/>
      <c r="C58" s="59"/>
      <c r="D58" s="59"/>
      <c r="E58" s="59"/>
      <c r="F58" s="59"/>
      <c r="G58" s="63"/>
      <c r="H58" s="63"/>
      <c r="I58" s="12"/>
      <c r="J58" s="11"/>
      <c r="K58" s="13"/>
      <c r="L58" s="6"/>
      <c r="M58" s="7"/>
      <c r="N58" s="17"/>
      <c r="O58" s="6"/>
      <c r="P58" s="6"/>
      <c r="Q58" s="6"/>
      <c r="R58" s="7"/>
      <c r="S58" s="17"/>
      <c r="T58" s="20"/>
    </row>
    <row r="59" spans="1:20" s="3" customFormat="1" ht="30" customHeight="1" x14ac:dyDescent="0.2">
      <c r="A59" s="72"/>
      <c r="B59" s="66"/>
      <c r="C59" s="59"/>
      <c r="D59" s="59"/>
      <c r="E59" s="59"/>
      <c r="F59" s="59"/>
      <c r="G59" s="63"/>
      <c r="H59" s="63"/>
      <c r="I59" s="12"/>
      <c r="J59" s="11"/>
      <c r="K59" s="13"/>
      <c r="L59" s="6"/>
      <c r="M59" s="7"/>
      <c r="N59" s="17"/>
      <c r="O59" s="6"/>
      <c r="P59" s="6"/>
      <c r="Q59" s="6"/>
      <c r="R59" s="7"/>
      <c r="S59" s="17"/>
      <c r="T59" s="20"/>
    </row>
    <row r="60" spans="1:20" s="3" customFormat="1" ht="30" customHeight="1" x14ac:dyDescent="0.2">
      <c r="A60" s="72"/>
      <c r="B60" s="66"/>
      <c r="C60" s="59"/>
      <c r="D60" s="59"/>
      <c r="E60" s="59"/>
      <c r="F60" s="59"/>
      <c r="G60" s="63"/>
      <c r="H60" s="63"/>
      <c r="I60" s="12"/>
      <c r="J60" s="11"/>
      <c r="K60" s="13"/>
      <c r="L60" s="6"/>
      <c r="M60" s="7"/>
      <c r="N60" s="17"/>
      <c r="O60" s="6"/>
      <c r="P60" s="6"/>
      <c r="Q60" s="6"/>
      <c r="R60" s="7"/>
      <c r="S60" s="17"/>
      <c r="T60" s="20"/>
    </row>
    <row r="61" spans="1:20" s="3" customFormat="1" ht="30" customHeight="1" x14ac:dyDescent="0.2">
      <c r="A61" s="72"/>
      <c r="B61" s="66"/>
      <c r="C61" s="59"/>
      <c r="D61" s="59"/>
      <c r="E61" s="59"/>
      <c r="F61" s="59"/>
      <c r="G61" s="63"/>
      <c r="H61" s="63"/>
      <c r="I61" s="12"/>
      <c r="J61" s="11"/>
      <c r="K61" s="13"/>
      <c r="L61" s="6"/>
      <c r="M61" s="7"/>
      <c r="N61" s="17"/>
      <c r="O61" s="6"/>
      <c r="P61" s="6"/>
      <c r="Q61" s="6"/>
      <c r="R61" s="7"/>
      <c r="S61" s="17"/>
      <c r="T61" s="20"/>
    </row>
    <row r="62" spans="1:20" s="3" customFormat="1" ht="30" customHeight="1" x14ac:dyDescent="0.2">
      <c r="A62" s="72"/>
      <c r="B62" s="66"/>
      <c r="C62" s="59"/>
      <c r="D62" s="59"/>
      <c r="E62" s="59"/>
      <c r="F62" s="59"/>
      <c r="G62" s="63"/>
      <c r="H62" s="63"/>
      <c r="I62" s="12"/>
      <c r="J62" s="11"/>
      <c r="K62" s="13"/>
      <c r="L62" s="6"/>
      <c r="M62" s="7"/>
      <c r="N62" s="17"/>
      <c r="O62" s="6"/>
      <c r="P62" s="6"/>
      <c r="Q62" s="6"/>
      <c r="R62" s="7"/>
      <c r="S62" s="17"/>
      <c r="T62" s="20"/>
    </row>
    <row r="63" spans="1:20" s="3" customFormat="1" ht="30" customHeight="1" x14ac:dyDescent="0.2">
      <c r="A63" s="9"/>
      <c r="B63" s="14"/>
      <c r="C63" s="59"/>
      <c r="D63" s="11"/>
      <c r="E63" s="11"/>
      <c r="F63" s="11"/>
      <c r="G63" s="12"/>
      <c r="H63" s="12"/>
      <c r="I63" s="12"/>
      <c r="J63" s="11"/>
      <c r="K63" s="13"/>
      <c r="L63" s="6"/>
      <c r="M63" s="7"/>
      <c r="N63" s="17"/>
      <c r="O63" s="6"/>
      <c r="P63" s="6"/>
      <c r="Q63" s="6"/>
      <c r="R63" s="7"/>
      <c r="S63" s="17"/>
      <c r="T63" s="20"/>
    </row>
    <row r="64" spans="1:20" s="3" customFormat="1" ht="30" customHeight="1" x14ac:dyDescent="0.2">
      <c r="A64" s="9"/>
      <c r="B64" s="14"/>
      <c r="C64" s="59"/>
      <c r="D64" s="11"/>
      <c r="E64" s="11"/>
      <c r="F64" s="11"/>
      <c r="G64" s="12"/>
      <c r="H64" s="12"/>
      <c r="I64" s="12"/>
      <c r="J64" s="11"/>
      <c r="K64" s="13"/>
      <c r="L64" s="6"/>
      <c r="M64" s="7"/>
      <c r="N64" s="17"/>
      <c r="O64" s="6"/>
      <c r="P64" s="6"/>
      <c r="Q64" s="6"/>
      <c r="R64" s="7"/>
      <c r="S64" s="17"/>
      <c r="T64" s="20"/>
    </row>
    <row r="65" spans="1:20" s="3" customFormat="1" ht="30" customHeight="1" x14ac:dyDescent="0.2">
      <c r="A65" s="9"/>
      <c r="B65" s="14"/>
      <c r="C65" s="59"/>
      <c r="D65" s="11"/>
      <c r="E65" s="11"/>
      <c r="F65" s="11"/>
      <c r="G65" s="12"/>
      <c r="H65" s="12"/>
      <c r="I65" s="12"/>
      <c r="J65" s="11"/>
      <c r="K65" s="13"/>
      <c r="L65" s="6"/>
      <c r="M65" s="7"/>
      <c r="N65" s="17"/>
      <c r="O65" s="6"/>
      <c r="P65" s="6"/>
      <c r="Q65" s="6"/>
      <c r="R65" s="7"/>
      <c r="S65" s="17"/>
      <c r="T65" s="20"/>
    </row>
    <row r="66" spans="1:20" s="3" customFormat="1" ht="30" customHeight="1" x14ac:dyDescent="0.2">
      <c r="A66" s="9"/>
      <c r="B66" s="14"/>
      <c r="C66" s="59"/>
      <c r="D66" s="11"/>
      <c r="E66" s="11"/>
      <c r="F66" s="11"/>
      <c r="G66" s="12"/>
      <c r="H66" s="12"/>
      <c r="I66" s="12"/>
      <c r="J66" s="11"/>
      <c r="K66" s="13"/>
      <c r="L66" s="6"/>
      <c r="M66" s="7"/>
      <c r="N66" s="17"/>
      <c r="O66" s="6"/>
      <c r="P66" s="6"/>
      <c r="Q66" s="6"/>
      <c r="R66" s="7"/>
      <c r="S66" s="17"/>
      <c r="T66" s="20"/>
    </row>
    <row r="67" spans="1:20" s="3" customFormat="1" ht="30" customHeight="1" x14ac:dyDescent="0.2">
      <c r="A67" s="9"/>
      <c r="B67" s="14"/>
      <c r="C67" s="59"/>
      <c r="D67" s="11"/>
      <c r="E67" s="11"/>
      <c r="F67" s="11"/>
      <c r="G67" s="12"/>
      <c r="H67" s="12"/>
      <c r="I67" s="12"/>
      <c r="J67" s="11"/>
      <c r="K67" s="13"/>
      <c r="L67" s="6"/>
      <c r="M67" s="7"/>
      <c r="N67" s="17"/>
      <c r="O67" s="6"/>
      <c r="P67" s="6"/>
      <c r="Q67" s="6"/>
      <c r="R67" s="7"/>
      <c r="S67" s="17"/>
      <c r="T67" s="20"/>
    </row>
    <row r="68" spans="1:20" s="3" customFormat="1" ht="30" customHeight="1" x14ac:dyDescent="0.2">
      <c r="A68" s="9"/>
      <c r="B68" s="14"/>
      <c r="C68" s="59"/>
      <c r="D68" s="11"/>
      <c r="E68" s="11"/>
      <c r="F68" s="11"/>
      <c r="G68" s="12"/>
      <c r="H68" s="12"/>
      <c r="I68" s="12"/>
      <c r="J68" s="11"/>
      <c r="K68" s="13"/>
      <c r="L68" s="6"/>
      <c r="M68" s="7"/>
      <c r="N68" s="17"/>
      <c r="O68" s="6"/>
      <c r="P68" s="6"/>
      <c r="Q68" s="6"/>
      <c r="R68" s="7"/>
      <c r="S68" s="17"/>
      <c r="T68" s="20"/>
    </row>
    <row r="69" spans="1:20" s="3" customFormat="1" ht="30" customHeight="1" x14ac:dyDescent="0.2">
      <c r="A69" s="9"/>
      <c r="B69" s="14"/>
      <c r="C69" s="59"/>
      <c r="D69" s="38"/>
      <c r="E69" s="16"/>
      <c r="F69" s="11"/>
      <c r="G69" s="12"/>
      <c r="H69" s="12"/>
      <c r="I69" s="12"/>
      <c r="J69" s="12"/>
      <c r="K69" s="12"/>
      <c r="L69" s="12"/>
      <c r="M69" s="12"/>
      <c r="N69" s="18"/>
      <c r="O69" s="12"/>
      <c r="P69" s="12"/>
      <c r="Q69" s="11"/>
      <c r="R69" s="12"/>
      <c r="S69" s="18"/>
      <c r="T69" s="42"/>
    </row>
    <row r="70" spans="1:20" s="3" customFormat="1" ht="30" customHeight="1" x14ac:dyDescent="0.2">
      <c r="A70" s="9"/>
      <c r="B70" s="14"/>
      <c r="C70" s="59"/>
      <c r="D70" s="38"/>
      <c r="E70" s="16"/>
      <c r="F70" s="11"/>
      <c r="G70" s="12"/>
      <c r="H70" s="12"/>
      <c r="I70" s="13"/>
      <c r="J70" s="10"/>
      <c r="K70" s="13"/>
      <c r="L70" s="16"/>
      <c r="M70" s="13"/>
      <c r="N70" s="10"/>
      <c r="O70" s="40"/>
      <c r="P70" s="13"/>
      <c r="Q70" s="16"/>
      <c r="R70" s="15"/>
      <c r="S70" s="10"/>
      <c r="T70" s="20"/>
    </row>
    <row r="71" spans="1:20" ht="30" customHeight="1" thickBot="1" x14ac:dyDescent="0.25">
      <c r="A71" s="43"/>
      <c r="B71" s="44"/>
      <c r="C71" s="74"/>
      <c r="D71" s="45"/>
      <c r="E71" s="46"/>
      <c r="F71" s="45"/>
      <c r="G71" s="47"/>
      <c r="H71" s="47"/>
      <c r="I71" s="47"/>
      <c r="J71" s="48"/>
      <c r="K71" s="49"/>
      <c r="L71" s="50"/>
      <c r="M71" s="51"/>
      <c r="N71" s="52"/>
      <c r="O71" s="45"/>
      <c r="P71" s="45"/>
      <c r="Q71" s="45"/>
      <c r="R71" s="53"/>
      <c r="S71" s="52"/>
      <c r="T71" s="54"/>
    </row>
    <row r="74" spans="1:20" s="34" customFormat="1" ht="20.25" customHeight="1" x14ac:dyDescent="0.2">
      <c r="L74" s="35"/>
      <c r="N74" s="35"/>
      <c r="Q74" s="35"/>
      <c r="T74" s="35"/>
    </row>
    <row r="75" spans="1:20" s="34" customFormat="1" ht="20.25" customHeight="1" x14ac:dyDescent="0.2">
      <c r="L75" s="35"/>
      <c r="N75" s="35"/>
      <c r="Q75" s="35"/>
      <c r="T75" s="35"/>
    </row>
    <row r="76" spans="1:20" s="34" customFormat="1" ht="20.25" customHeight="1" x14ac:dyDescent="0.2">
      <c r="L76" s="35"/>
      <c r="N76" s="35"/>
      <c r="Q76" s="35"/>
      <c r="T76" s="35"/>
    </row>
  </sheetData>
  <autoFilter ref="A5:F8" xr:uid="{6A8B9272-F37E-42BF-8F91-A7F60441953F}"/>
  <mergeCells count="29">
    <mergeCell ref="C3:N3"/>
    <mergeCell ref="S3:T3"/>
    <mergeCell ref="C1:N1"/>
    <mergeCell ref="S1:T1"/>
    <mergeCell ref="C2:M2"/>
    <mergeCell ref="O2:R2"/>
    <mergeCell ref="S2:T2"/>
    <mergeCell ref="C4:N4"/>
    <mergeCell ref="S4:T4"/>
    <mergeCell ref="A5:A8"/>
    <mergeCell ref="B5:B8"/>
    <mergeCell ref="C5:C8"/>
    <mergeCell ref="D5:D8"/>
    <mergeCell ref="E5:E8"/>
    <mergeCell ref="F5:F8"/>
    <mergeCell ref="G5:G8"/>
    <mergeCell ref="H5:K5"/>
    <mergeCell ref="H6:K6"/>
    <mergeCell ref="L6:N6"/>
    <mergeCell ref="O6:P6"/>
    <mergeCell ref="Q6:S6"/>
    <mergeCell ref="H7:I7"/>
    <mergeCell ref="J7:K7"/>
    <mergeCell ref="T5:T8"/>
    <mergeCell ref="L7:N7"/>
    <mergeCell ref="O7:P7"/>
    <mergeCell ref="Q7:S7"/>
    <mergeCell ref="L5:N5"/>
    <mergeCell ref="O5:S5"/>
  </mergeCells>
  <printOptions horizontalCentered="1"/>
  <pageMargins left="0.25" right="0.25" top="0.5" bottom="0.5" header="0.25" footer="0.25"/>
  <pageSetup paperSize="8" scale="55" orientation="landscape" r:id="rId1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62ccaa-bc1c-44a4-9d4e-5daf93e8a66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6441B9C9A66498B3D39E40627BFAB" ma:contentTypeVersion="14" ma:contentTypeDescription="Create a new document." ma:contentTypeScope="" ma:versionID="5611c2f7ebf95a68d4d3a15c6763ced2">
  <xsd:schema xmlns:xsd="http://www.w3.org/2001/XMLSchema" xmlns:xs="http://www.w3.org/2001/XMLSchema" xmlns:p="http://schemas.microsoft.com/office/2006/metadata/properties" xmlns:ns3="af62ccaa-bc1c-44a4-9d4e-5daf93e8a66f" xmlns:ns4="762999f0-fb6f-41ed-bcba-21cc9bb6eb07" targetNamespace="http://schemas.microsoft.com/office/2006/metadata/properties" ma:root="true" ma:fieldsID="384dd28e32c6d6ece703f2740e54aa54" ns3:_="" ns4:_="">
    <xsd:import namespace="af62ccaa-bc1c-44a4-9d4e-5daf93e8a66f"/>
    <xsd:import namespace="762999f0-fb6f-41ed-bcba-21cc9bb6eb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62ccaa-bc1c-44a4-9d4e-5daf93e8a6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999f0-fb6f-41ed-bcba-21cc9bb6eb0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8626DC-8D6B-4034-A420-AE03BF42A00C}">
  <ds:schemaRefs>
    <ds:schemaRef ds:uri="http://schemas.microsoft.com/office/2006/documentManagement/types"/>
    <ds:schemaRef ds:uri="http://purl.org/dc/elements/1.1/"/>
    <ds:schemaRef ds:uri="762999f0-fb6f-41ed-bcba-21cc9bb6eb07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af62ccaa-bc1c-44a4-9d4e-5daf93e8a66f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A8777C4-CFB1-4EC0-95EF-9FE165ADA0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62ccaa-bc1c-44a4-9d4e-5daf93e8a66f"/>
    <ds:schemaRef ds:uri="762999f0-fb6f-41ed-bcba-21cc9bb6eb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611540-FEB4-495F-89CA-6067A783F7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Installation Procedures </vt:lpstr>
      <vt:lpstr>Setup Plans &amp; Anchor Patterns</vt:lpstr>
      <vt:lpstr>Sketches</vt:lpstr>
      <vt:lpstr>'Installation Procedures '!Print_Titles</vt:lpstr>
      <vt:lpstr>'Setup Plans &amp; Anchor Patterns'!Print_Titles</vt:lpstr>
      <vt:lpstr>Sketches!Print_Titles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MUHAMMEDS</dc:creator>
  <cp:lastModifiedBy>Mathews Thomas (Energy)</cp:lastModifiedBy>
  <cp:lastPrinted>2026-08-19T04:21:41Z</cp:lastPrinted>
  <dcterms:created xsi:type="dcterms:W3CDTF">2007-10-29T11:02:38Z</dcterms:created>
  <dcterms:modified xsi:type="dcterms:W3CDTF">2026-09-08T09:56:37Z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0x010100A456441B9C9A66498B3D39E40627BFAB</vt:lpwstr>
  </property>
</Properties>
</file>